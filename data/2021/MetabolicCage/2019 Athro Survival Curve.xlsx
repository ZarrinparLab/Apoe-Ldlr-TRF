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B88F8367-270F-C144-B554-3B6BA9100E68}" xr6:coauthVersionLast="40" xr6:coauthVersionMax="40" xr10:uidLastSave="{00000000-0000-0000-0000-000000000000}"/>
  <bookViews>
    <workbookView xWindow="1480" yWindow="460" windowWidth="25440" windowHeight="14700" xr2:uid="{9FEAE7A1-159B-014A-83A0-434AE74EFF21}"/>
  </bookViews>
  <sheets>
    <sheet name="Survival Curve" sheetId="1" r:id="rId1"/>
    <sheet name="Log Rank Test" sheetId="4" r:id="rId2"/>
    <sheet name="Mice Condi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4" l="1"/>
  <c r="B9" i="4"/>
  <c r="B8" i="4"/>
  <c r="B12" i="4" s="1"/>
  <c r="B31" i="4"/>
  <c r="B29" i="4"/>
  <c r="K26" i="4"/>
  <c r="D26" i="4" s="1"/>
  <c r="K27" i="4"/>
  <c r="D27" i="4" s="1"/>
  <c r="H27" i="4" s="1"/>
  <c r="K25" i="4"/>
  <c r="D25" i="4" s="1"/>
  <c r="H25" i="4" s="1"/>
  <c r="J26" i="4"/>
  <c r="J27" i="4"/>
  <c r="J25" i="4"/>
  <c r="D6" i="4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M45" i="1"/>
  <c r="L45" i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N33" i="1" s="1"/>
  <c r="N34" i="1" s="1"/>
  <c r="L32" i="1"/>
  <c r="M32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E45" i="1"/>
  <c r="D45" i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D32" i="1"/>
  <c r="E32" i="1" s="1"/>
  <c r="L26" i="1"/>
  <c r="M26" i="1" s="1"/>
  <c r="L25" i="1"/>
  <c r="M25" i="1" s="1"/>
  <c r="L24" i="1"/>
  <c r="M24" i="1" s="1"/>
  <c r="L3" i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M8" i="1"/>
  <c r="L8" i="1"/>
  <c r="L7" i="1"/>
  <c r="M7" i="1" s="1"/>
  <c r="L6" i="1"/>
  <c r="M6" i="1" s="1"/>
  <c r="M5" i="1"/>
  <c r="L5" i="1"/>
  <c r="L4" i="1"/>
  <c r="M4" i="1" s="1"/>
  <c r="N4" i="1" s="1"/>
  <c r="N5" i="1" s="1"/>
  <c r="M3" i="1"/>
  <c r="D4" i="1"/>
  <c r="E4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3" i="1"/>
  <c r="E3" i="1" s="1"/>
  <c r="B33" i="4" l="1"/>
  <c r="H26" i="4"/>
  <c r="B32" i="4" s="1"/>
  <c r="B34" i="4" s="1"/>
  <c r="B30" i="4"/>
  <c r="H6" i="4"/>
  <c r="N35" i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F47" i="1"/>
  <c r="F48" i="1" s="1"/>
  <c r="F49" i="1" s="1"/>
  <c r="F50" i="1" s="1"/>
  <c r="F51" i="1" s="1"/>
  <c r="F52" i="1" s="1"/>
  <c r="F53" i="1" s="1"/>
  <c r="F54" i="1" s="1"/>
  <c r="F55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B37" i="4" l="1"/>
  <c r="B35" i="4"/>
  <c r="B39" i="4"/>
  <c r="B11" i="4"/>
  <c r="B13" i="4" s="1"/>
  <c r="B14" i="4" s="1"/>
  <c r="B16" i="4" l="1"/>
  <c r="B18" i="4" s="1"/>
</calcChain>
</file>

<file path=xl/sharedStrings.xml><?xml version="1.0" encoding="utf-8"?>
<sst xmlns="http://schemas.openxmlformats.org/spreadsheetml/2006/main" count="115" uniqueCount="66">
  <si>
    <t>Study Period (wks of treatment)</t>
  </si>
  <si>
    <t>TRF-Apoe</t>
  </si>
  <si>
    <t>AD LIB-Ldlr</t>
  </si>
  <si>
    <t>AD LIB-Apoe</t>
  </si>
  <si>
    <t>TRF-Ldlr</t>
  </si>
  <si>
    <t>123N</t>
  </si>
  <si>
    <t>123L</t>
  </si>
  <si>
    <t>123R</t>
  </si>
  <si>
    <t>123B</t>
  </si>
  <si>
    <t>124N</t>
  </si>
  <si>
    <t>124L</t>
  </si>
  <si>
    <t>125N</t>
  </si>
  <si>
    <t>125L</t>
  </si>
  <si>
    <t>125R</t>
  </si>
  <si>
    <t>125B</t>
  </si>
  <si>
    <t>126N</t>
  </si>
  <si>
    <t>126L</t>
  </si>
  <si>
    <t>130N</t>
  </si>
  <si>
    <t>130L</t>
  </si>
  <si>
    <t>130R</t>
  </si>
  <si>
    <t>131N</t>
  </si>
  <si>
    <t>131L</t>
  </si>
  <si>
    <t>131R</t>
  </si>
  <si>
    <t>132N</t>
  </si>
  <si>
    <t>132L</t>
  </si>
  <si>
    <t>132R</t>
  </si>
  <si>
    <t>133N</t>
  </si>
  <si>
    <t>133L</t>
  </si>
  <si>
    <t>133R</t>
  </si>
  <si>
    <t>No. of Mice Died (d)</t>
  </si>
  <si>
    <t>Live this week (n)</t>
  </si>
  <si>
    <t>Death (d/n)</t>
  </si>
  <si>
    <t>Survival (1-d/n)</t>
  </si>
  <si>
    <t>Probability of survivors at the end of time (L)</t>
  </si>
  <si>
    <t>Weeks of Treatment</t>
  </si>
  <si>
    <t>Proportion Surviving</t>
  </si>
  <si>
    <t>Failure</t>
  </si>
  <si>
    <t>Times</t>
  </si>
  <si>
    <t>LR</t>
  </si>
  <si>
    <t>df</t>
  </si>
  <si>
    <t>p-value</t>
  </si>
  <si>
    <t>(APOE NO DIFF)</t>
  </si>
  <si>
    <t>Log-Rank Test (Apoe TRF v. Ad Lib)</t>
  </si>
  <si>
    <t>TRF</t>
  </si>
  <si>
    <t>AD LIB</t>
  </si>
  <si>
    <t>Combined</t>
  </si>
  <si>
    <t>Log-Rank Test (Ldlr TRF v. Ad Lib)</t>
  </si>
  <si>
    <t>(LDLR NO DIFF)</t>
  </si>
  <si>
    <t>Log-Rank Test P-values</t>
  </si>
  <si>
    <t>Apoe</t>
  </si>
  <si>
    <t>Ldlr</t>
  </si>
  <si>
    <r>
      <t>d</t>
    </r>
    <r>
      <rPr>
        <b/>
        <sz val="8"/>
        <color theme="1"/>
        <rFont val="Calibri"/>
        <family val="2"/>
        <scheme val="minor"/>
      </rPr>
      <t>A</t>
    </r>
    <r>
      <rPr>
        <b/>
        <sz val="8"/>
        <color theme="1"/>
        <rFont val="Calibri (Body)_x0000_"/>
      </rPr>
      <t>t</t>
    </r>
  </si>
  <si>
    <r>
      <t>n</t>
    </r>
    <r>
      <rPr>
        <b/>
        <sz val="8"/>
        <color theme="1"/>
        <rFont val="Calibri"/>
        <family val="2"/>
        <scheme val="minor"/>
      </rPr>
      <t>A</t>
    </r>
    <r>
      <rPr>
        <b/>
        <sz val="8"/>
        <color theme="1"/>
        <rFont val="Calibri (Body)_x0000_"/>
      </rPr>
      <t>t</t>
    </r>
  </si>
  <si>
    <r>
      <t>E</t>
    </r>
    <r>
      <rPr>
        <b/>
        <sz val="8"/>
        <color theme="1"/>
        <rFont val="Calibri (Body)_x0000_"/>
      </rPr>
      <t>At</t>
    </r>
  </si>
  <si>
    <r>
      <t>d</t>
    </r>
    <r>
      <rPr>
        <b/>
        <sz val="8"/>
        <color theme="1"/>
        <rFont val="Calibri (Body)_x0000_"/>
      </rPr>
      <t>Bt</t>
    </r>
  </si>
  <si>
    <r>
      <t>n</t>
    </r>
    <r>
      <rPr>
        <b/>
        <sz val="8"/>
        <color theme="1"/>
        <rFont val="Calibri (Body)_x0000_"/>
      </rPr>
      <t>Bt</t>
    </r>
  </si>
  <si>
    <r>
      <t>E</t>
    </r>
    <r>
      <rPr>
        <b/>
        <sz val="8"/>
        <color theme="1"/>
        <rFont val="Calibri (Body)_x0000_"/>
      </rPr>
      <t>Bt</t>
    </r>
  </si>
  <si>
    <r>
      <t>d</t>
    </r>
    <r>
      <rPr>
        <b/>
        <sz val="8"/>
        <color theme="1"/>
        <rFont val="Calibri (Body)_x0000_"/>
      </rPr>
      <t>t</t>
    </r>
  </si>
  <si>
    <r>
      <t>n</t>
    </r>
    <r>
      <rPr>
        <b/>
        <sz val="8"/>
        <color theme="1"/>
        <rFont val="Calibri (Body)_x0000_"/>
      </rPr>
      <t>t</t>
    </r>
  </si>
  <si>
    <t>h</t>
  </si>
  <si>
    <r>
      <t>O</t>
    </r>
    <r>
      <rPr>
        <b/>
        <sz val="8"/>
        <color theme="1"/>
        <rFont val="Calibri (Body)_x0000_"/>
      </rPr>
      <t>A</t>
    </r>
  </si>
  <si>
    <r>
      <t>E</t>
    </r>
    <r>
      <rPr>
        <b/>
        <sz val="8"/>
        <color theme="1"/>
        <rFont val="Calibri (Body)_x0000_"/>
      </rPr>
      <t>A</t>
    </r>
  </si>
  <si>
    <r>
      <t>O</t>
    </r>
    <r>
      <rPr>
        <b/>
        <sz val="8"/>
        <color theme="1"/>
        <rFont val="Calibri (Body)_x0000_"/>
      </rPr>
      <t>B</t>
    </r>
  </si>
  <si>
    <r>
      <t>E</t>
    </r>
    <r>
      <rPr>
        <b/>
        <sz val="8"/>
        <color theme="1"/>
        <rFont val="Calibri (Body)_x0000_"/>
      </rPr>
      <t>B</t>
    </r>
  </si>
  <si>
    <r>
      <t>O</t>
    </r>
    <r>
      <rPr>
        <b/>
        <sz val="8"/>
        <color theme="1"/>
        <rFont val="Calibri (Body)_x0000_"/>
      </rPr>
      <t>B</t>
    </r>
    <r>
      <rPr>
        <b/>
        <sz val="12"/>
        <color theme="1"/>
        <rFont val="Calibri"/>
        <family val="2"/>
        <scheme val="minor"/>
      </rPr>
      <t>/E</t>
    </r>
    <r>
      <rPr>
        <b/>
        <sz val="8"/>
        <color theme="1"/>
        <rFont val="Calibri (Body)_x0000_"/>
      </rPr>
      <t>B</t>
    </r>
  </si>
  <si>
    <r>
      <t>O</t>
    </r>
    <r>
      <rPr>
        <b/>
        <sz val="8"/>
        <color theme="1"/>
        <rFont val="Calibri (Body)_x0000_"/>
      </rPr>
      <t>A</t>
    </r>
    <r>
      <rPr>
        <b/>
        <sz val="12"/>
        <color theme="1"/>
        <rFont val="Calibri"/>
        <family val="2"/>
        <scheme val="minor"/>
      </rPr>
      <t>/E</t>
    </r>
    <r>
      <rPr>
        <b/>
        <sz val="8"/>
        <color theme="1"/>
        <rFont val="Calibri (Body)_x0000_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</si>
</sst>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 (Body)_x0000_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0" borderId="0" xfId="0" applyFill="1" applyBorder="1"/>
    <xf numFmtId="0" fontId="1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/>
    <xf numFmtId="0" fontId="2" fillId="0" borderId="0" xfId="0" applyFont="1" applyBorder="1"/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 applyFill="1" applyBorder="1" applyAlignment="1"/>
    <xf numFmtId="0" fontId="2" fillId="0" borderId="15" xfId="0" applyFont="1" applyBorder="1"/>
    <xf numFmtId="0" fontId="2" fillId="0" borderId="2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0" fillId="0" borderId="10" xfId="0" applyBorder="1"/>
    <xf numFmtId="0" fontId="2" fillId="0" borderId="10" xfId="0" applyFont="1" applyBorder="1"/>
    <xf numFmtId="0" fontId="2" fillId="0" borderId="8" xfId="0" applyFont="1" applyBorder="1"/>
    <xf numFmtId="0" fontId="2" fillId="5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16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Athro Survival Curv</a:t>
            </a:r>
            <a:r>
              <a:rPr lang="en-US" baseline="0"/>
              <a:t>e (23 wks of Treatment)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'Survival Curve'!$B$58</c:f>
              <c:strCache>
                <c:ptCount val="1"/>
                <c:pt idx="0">
                  <c:v>TRF-Apoe</c:v>
                </c:pt>
              </c:strCache>
            </c:strRef>
          </c:tx>
          <c:spPr>
            <a:ln w="19050" cap="rnd" cmpd="sng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'Survival Curve'!$A$59:$A$82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'Survival Curve'!$B$59:$B$82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3-1F41-B1EE-B217989A53A3}"/>
            </c:ext>
          </c:extLst>
        </c:ser>
        <c:ser>
          <c:idx val="1"/>
          <c:order val="1"/>
          <c:tx>
            <c:strRef>
              <c:f>'Survival Curve'!$C$58</c:f>
              <c:strCache>
                <c:ptCount val="1"/>
                <c:pt idx="0">
                  <c:v>AD LIB-Apoe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'Survival Curve'!$A$59:$A$82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'Survival Curve'!$C$59:$C$82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0.8</c:v>
                </c:pt>
                <c:pt idx="23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73-1F41-B1EE-B217989A53A3}"/>
            </c:ext>
          </c:extLst>
        </c:ser>
        <c:ser>
          <c:idx val="2"/>
          <c:order val="2"/>
          <c:tx>
            <c:strRef>
              <c:f>'Survival Curve'!$D$58</c:f>
              <c:strCache>
                <c:ptCount val="1"/>
                <c:pt idx="0">
                  <c:v>TRF-Ldlr</c:v>
                </c:pt>
              </c:strCache>
            </c:strRef>
          </c:tx>
          <c:spPr>
            <a:ln w="19050" cap="flat">
              <a:solidFill>
                <a:srgbClr val="94165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'Survival Curve'!$A$59:$A$82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'Survival Curve'!$D$59:$D$82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0.83333333333333337</c:v>
                </c:pt>
                <c:pt idx="16">
                  <c:v>0.83333333333333337</c:v>
                </c:pt>
                <c:pt idx="17">
                  <c:v>0.83333333333333337</c:v>
                </c:pt>
                <c:pt idx="18">
                  <c:v>0.83333333333333337</c:v>
                </c:pt>
                <c:pt idx="19">
                  <c:v>0.83333333333333337</c:v>
                </c:pt>
                <c:pt idx="20">
                  <c:v>0.83333333333333337</c:v>
                </c:pt>
                <c:pt idx="21">
                  <c:v>0.83333333333333337</c:v>
                </c:pt>
                <c:pt idx="22">
                  <c:v>0.83333333333333337</c:v>
                </c:pt>
                <c:pt idx="23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73-1F41-B1EE-B217989A53A3}"/>
            </c:ext>
          </c:extLst>
        </c:ser>
        <c:ser>
          <c:idx val="3"/>
          <c:order val="3"/>
          <c:tx>
            <c:strRef>
              <c:f>'Survival Curve'!$E$58</c:f>
              <c:strCache>
                <c:ptCount val="1"/>
                <c:pt idx="0">
                  <c:v>AD LIB-Ldlr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'Survival Curve'!$A$59:$A$82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'Survival Curve'!$E$59:$E$82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0.60000000000000009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73-1F41-B1EE-B217989A5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949168"/>
        <c:axId val="353844832"/>
      </c:scatterChart>
      <c:valAx>
        <c:axId val="353949168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844832"/>
        <c:crosses val="autoZero"/>
        <c:crossBetween val="midCat"/>
      </c:valAx>
      <c:valAx>
        <c:axId val="353844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Proportion</a:t>
                </a:r>
                <a:r>
                  <a:rPr lang="en-US" baseline="0"/>
                  <a:t> Surviving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49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prstDash val="lg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368300</xdr:colOff>
      <xdr:row>57</xdr:row>
      <xdr:rowOff>25400</xdr:rowOff>
    </xdr:from>
    <xdr:to>
      <xdr:col>16</xdr:col>
      <xdr:colOff>571500</xdr:colOff>
      <xdr:row>84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FD236-F622-2A4B-B228-B549411B9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4A34-823B-E247-B30C-4B914F7F518F}">
  <dimension ref="A1:N87"/>
  <sheetViews>
    <sheetView tabSelected="1" topLeftCell="A50" zoomScale="91" workbookViewId="0">
      <selection activeCell="S71" sqref="S71"/>
    </sheetView>
  </sheetViews>
  <sheetFormatPr baseColWidth="10" defaultRowHeight="16"/>
  <sheetData>
    <row r="1" spans="1:14">
      <c r="A1" s="34" t="s">
        <v>1</v>
      </c>
      <c r="B1" s="35"/>
      <c r="C1" s="35"/>
      <c r="D1" s="35"/>
      <c r="E1" s="35"/>
      <c r="F1" s="36"/>
      <c r="I1" s="37" t="s">
        <v>3</v>
      </c>
      <c r="J1" s="38"/>
      <c r="K1" s="38"/>
      <c r="L1" s="38"/>
      <c r="M1" s="38"/>
      <c r="N1" s="39"/>
    </row>
    <row r="2" spans="1:14">
      <c r="A2" s="3" t="s">
        <v>0</v>
      </c>
      <c r="B2" s="4" t="s">
        <v>29</v>
      </c>
      <c r="C2" s="4" t="s">
        <v>30</v>
      </c>
      <c r="D2" s="4" t="s">
        <v>31</v>
      </c>
      <c r="E2" s="4" t="s">
        <v>32</v>
      </c>
      <c r="F2" s="5" t="s">
        <v>33</v>
      </c>
      <c r="I2" s="3" t="s">
        <v>0</v>
      </c>
      <c r="J2" s="4" t="s">
        <v>29</v>
      </c>
      <c r="K2" s="4" t="s">
        <v>30</v>
      </c>
      <c r="L2" s="4" t="s">
        <v>31</v>
      </c>
      <c r="M2" s="4" t="s">
        <v>32</v>
      </c>
      <c r="N2" s="5" t="s">
        <v>33</v>
      </c>
    </row>
    <row r="3" spans="1:14">
      <c r="A3" s="3">
        <v>1</v>
      </c>
      <c r="B3" s="4">
        <v>0</v>
      </c>
      <c r="C3" s="4">
        <v>6</v>
      </c>
      <c r="D3" s="4">
        <f>B3/C3</f>
        <v>0</v>
      </c>
      <c r="E3" s="4">
        <f>(1-D3)</f>
        <v>1</v>
      </c>
      <c r="F3" s="5">
        <v>1</v>
      </c>
      <c r="I3" s="3">
        <v>1</v>
      </c>
      <c r="J3" s="4">
        <v>0</v>
      </c>
      <c r="K3" s="4">
        <v>6</v>
      </c>
      <c r="L3" s="4">
        <f>J3/K3</f>
        <v>0</v>
      </c>
      <c r="M3" s="4">
        <f>(1-L3)</f>
        <v>1</v>
      </c>
      <c r="N3" s="5">
        <v>1</v>
      </c>
    </row>
    <row r="4" spans="1:14">
      <c r="A4" s="3">
        <v>2</v>
      </c>
      <c r="B4" s="4">
        <v>0</v>
      </c>
      <c r="C4" s="4">
        <v>6</v>
      </c>
      <c r="D4" s="4">
        <f t="shared" ref="D4:D26" si="0">B4/C4</f>
        <v>0</v>
      </c>
      <c r="E4" s="4">
        <f t="shared" ref="E4:E26" si="1">(1-D4)</f>
        <v>1</v>
      </c>
      <c r="F4" s="5">
        <f>F3*E4</f>
        <v>1</v>
      </c>
      <c r="I4" s="3">
        <v>2</v>
      </c>
      <c r="J4" s="4">
        <v>0</v>
      </c>
      <c r="K4" s="4">
        <v>6</v>
      </c>
      <c r="L4" s="4">
        <f t="shared" ref="L4:L23" si="2">J4/K4</f>
        <v>0</v>
      </c>
      <c r="M4" s="4">
        <f t="shared" ref="M4:M26" si="3">(1-L4)</f>
        <v>1</v>
      </c>
      <c r="N4" s="5">
        <f>N3*M4</f>
        <v>1</v>
      </c>
    </row>
    <row r="5" spans="1:14">
      <c r="A5" s="3">
        <v>3</v>
      </c>
      <c r="B5" s="4">
        <v>0</v>
      </c>
      <c r="C5" s="4">
        <v>6</v>
      </c>
      <c r="D5" s="4">
        <f t="shared" si="0"/>
        <v>0</v>
      </c>
      <c r="E5" s="4">
        <f t="shared" si="1"/>
        <v>1</v>
      </c>
      <c r="F5" s="5">
        <f t="shared" ref="F5:F26" si="4">F4*E5</f>
        <v>1</v>
      </c>
      <c r="I5" s="3">
        <v>3</v>
      </c>
      <c r="J5" s="4">
        <v>0</v>
      </c>
      <c r="K5" s="4">
        <v>6</v>
      </c>
      <c r="L5" s="4">
        <f t="shared" si="2"/>
        <v>0</v>
      </c>
      <c r="M5" s="4">
        <f t="shared" si="3"/>
        <v>1</v>
      </c>
      <c r="N5" s="5">
        <f>N4*M5</f>
        <v>1</v>
      </c>
    </row>
    <row r="6" spans="1:14">
      <c r="A6" s="3">
        <v>4</v>
      </c>
      <c r="B6" s="4">
        <v>0</v>
      </c>
      <c r="C6" s="4">
        <v>6</v>
      </c>
      <c r="D6" s="4">
        <f t="shared" si="0"/>
        <v>0</v>
      </c>
      <c r="E6" s="4">
        <f t="shared" si="1"/>
        <v>1</v>
      </c>
      <c r="F6" s="5">
        <f t="shared" si="4"/>
        <v>1</v>
      </c>
      <c r="I6" s="3">
        <v>4</v>
      </c>
      <c r="J6" s="4">
        <v>0</v>
      </c>
      <c r="K6" s="4">
        <v>6</v>
      </c>
      <c r="L6" s="4">
        <f t="shared" si="2"/>
        <v>0</v>
      </c>
      <c r="M6" s="4">
        <f t="shared" si="3"/>
        <v>1</v>
      </c>
      <c r="N6" s="5">
        <f t="shared" ref="N6:N26" si="5">N5*M6</f>
        <v>1</v>
      </c>
    </row>
    <row r="7" spans="1:14">
      <c r="A7" s="3">
        <v>5</v>
      </c>
      <c r="B7" s="4">
        <v>0</v>
      </c>
      <c r="C7" s="4">
        <v>6</v>
      </c>
      <c r="D7" s="4">
        <f t="shared" si="0"/>
        <v>0</v>
      </c>
      <c r="E7" s="4">
        <f t="shared" si="1"/>
        <v>1</v>
      </c>
      <c r="F7" s="5">
        <f t="shared" si="4"/>
        <v>1</v>
      </c>
      <c r="I7" s="3">
        <v>5</v>
      </c>
      <c r="J7" s="4">
        <v>0</v>
      </c>
      <c r="K7" s="4">
        <v>6</v>
      </c>
      <c r="L7" s="4">
        <f t="shared" si="2"/>
        <v>0</v>
      </c>
      <c r="M7" s="4">
        <f t="shared" si="3"/>
        <v>1</v>
      </c>
      <c r="N7" s="5">
        <f t="shared" si="5"/>
        <v>1</v>
      </c>
    </row>
    <row r="8" spans="1:14">
      <c r="A8" s="3">
        <v>6</v>
      </c>
      <c r="B8" s="4">
        <v>0</v>
      </c>
      <c r="C8" s="4">
        <v>6</v>
      </c>
      <c r="D8" s="4">
        <f t="shared" si="0"/>
        <v>0</v>
      </c>
      <c r="E8" s="4">
        <f t="shared" si="1"/>
        <v>1</v>
      </c>
      <c r="F8" s="5">
        <f t="shared" si="4"/>
        <v>1</v>
      </c>
      <c r="I8" s="3">
        <v>6</v>
      </c>
      <c r="J8" s="4">
        <v>0</v>
      </c>
      <c r="K8" s="4">
        <v>6</v>
      </c>
      <c r="L8" s="4">
        <f t="shared" si="2"/>
        <v>0</v>
      </c>
      <c r="M8" s="4">
        <f t="shared" si="3"/>
        <v>1</v>
      </c>
      <c r="N8" s="5">
        <f t="shared" si="5"/>
        <v>1</v>
      </c>
    </row>
    <row r="9" spans="1:14">
      <c r="A9" s="3">
        <v>7</v>
      </c>
      <c r="B9" s="4">
        <v>0</v>
      </c>
      <c r="C9" s="4">
        <v>6</v>
      </c>
      <c r="D9" s="4">
        <f t="shared" si="0"/>
        <v>0</v>
      </c>
      <c r="E9" s="4">
        <f t="shared" si="1"/>
        <v>1</v>
      </c>
      <c r="F9" s="5">
        <f t="shared" si="4"/>
        <v>1</v>
      </c>
      <c r="I9" s="3">
        <v>7</v>
      </c>
      <c r="J9" s="4">
        <v>0</v>
      </c>
      <c r="K9" s="4">
        <v>6</v>
      </c>
      <c r="L9" s="4">
        <f t="shared" si="2"/>
        <v>0</v>
      </c>
      <c r="M9" s="4">
        <f t="shared" si="3"/>
        <v>1</v>
      </c>
      <c r="N9" s="5">
        <f t="shared" si="5"/>
        <v>1</v>
      </c>
    </row>
    <row r="10" spans="1:14">
      <c r="A10" s="3">
        <v>8</v>
      </c>
      <c r="B10" s="4">
        <v>0</v>
      </c>
      <c r="C10" s="4">
        <v>6</v>
      </c>
      <c r="D10" s="4">
        <f t="shared" si="0"/>
        <v>0</v>
      </c>
      <c r="E10" s="4">
        <f t="shared" si="1"/>
        <v>1</v>
      </c>
      <c r="F10" s="5">
        <f t="shared" si="4"/>
        <v>1</v>
      </c>
      <c r="I10" s="3">
        <v>8</v>
      </c>
      <c r="J10" s="4">
        <v>0</v>
      </c>
      <c r="K10" s="4">
        <v>6</v>
      </c>
      <c r="L10" s="4">
        <f t="shared" si="2"/>
        <v>0</v>
      </c>
      <c r="M10" s="4">
        <f t="shared" si="3"/>
        <v>1</v>
      </c>
      <c r="N10" s="5">
        <f t="shared" si="5"/>
        <v>1</v>
      </c>
    </row>
    <row r="11" spans="1:14">
      <c r="A11" s="3">
        <v>9</v>
      </c>
      <c r="B11" s="4">
        <v>0</v>
      </c>
      <c r="C11" s="4">
        <v>6</v>
      </c>
      <c r="D11" s="4">
        <f t="shared" si="0"/>
        <v>0</v>
      </c>
      <c r="E11" s="4">
        <f t="shared" si="1"/>
        <v>1</v>
      </c>
      <c r="F11" s="5">
        <f t="shared" si="4"/>
        <v>1</v>
      </c>
      <c r="I11" s="3">
        <v>9</v>
      </c>
      <c r="J11" s="4">
        <v>0</v>
      </c>
      <c r="K11" s="4">
        <v>6</v>
      </c>
      <c r="L11" s="4">
        <f t="shared" si="2"/>
        <v>0</v>
      </c>
      <c r="M11" s="4">
        <f t="shared" si="3"/>
        <v>1</v>
      </c>
      <c r="N11" s="5">
        <f t="shared" si="5"/>
        <v>1</v>
      </c>
    </row>
    <row r="12" spans="1:14">
      <c r="A12" s="3">
        <v>10</v>
      </c>
      <c r="B12" s="4">
        <v>0</v>
      </c>
      <c r="C12" s="4">
        <v>6</v>
      </c>
      <c r="D12" s="4">
        <f t="shared" si="0"/>
        <v>0</v>
      </c>
      <c r="E12" s="4">
        <f t="shared" si="1"/>
        <v>1</v>
      </c>
      <c r="F12" s="5">
        <f t="shared" si="4"/>
        <v>1</v>
      </c>
      <c r="I12" s="3">
        <v>10</v>
      </c>
      <c r="J12" s="4">
        <v>0</v>
      </c>
      <c r="K12" s="4">
        <v>6</v>
      </c>
      <c r="L12" s="4">
        <f t="shared" si="2"/>
        <v>0</v>
      </c>
      <c r="M12" s="4">
        <f t="shared" si="3"/>
        <v>1</v>
      </c>
      <c r="N12" s="5">
        <f t="shared" si="5"/>
        <v>1</v>
      </c>
    </row>
    <row r="13" spans="1:14">
      <c r="A13" s="3">
        <v>11</v>
      </c>
      <c r="B13" s="4">
        <v>0</v>
      </c>
      <c r="C13" s="4">
        <v>6</v>
      </c>
      <c r="D13" s="4">
        <f t="shared" si="0"/>
        <v>0</v>
      </c>
      <c r="E13" s="4">
        <f t="shared" si="1"/>
        <v>1</v>
      </c>
      <c r="F13" s="5">
        <f t="shared" si="4"/>
        <v>1</v>
      </c>
      <c r="I13" s="3">
        <v>11</v>
      </c>
      <c r="J13" s="4">
        <v>0</v>
      </c>
      <c r="K13" s="4">
        <v>6</v>
      </c>
      <c r="L13" s="4">
        <f t="shared" si="2"/>
        <v>0</v>
      </c>
      <c r="M13" s="4">
        <f t="shared" si="3"/>
        <v>1</v>
      </c>
      <c r="N13" s="5">
        <f t="shared" si="5"/>
        <v>1</v>
      </c>
    </row>
    <row r="14" spans="1:14">
      <c r="A14" s="3">
        <v>12</v>
      </c>
      <c r="B14" s="4">
        <v>0</v>
      </c>
      <c r="C14" s="4">
        <v>6</v>
      </c>
      <c r="D14" s="4">
        <f t="shared" si="0"/>
        <v>0</v>
      </c>
      <c r="E14" s="4">
        <f t="shared" si="1"/>
        <v>1</v>
      </c>
      <c r="F14" s="5">
        <f t="shared" si="4"/>
        <v>1</v>
      </c>
      <c r="I14" s="3">
        <v>12</v>
      </c>
      <c r="J14" s="4">
        <v>0</v>
      </c>
      <c r="K14" s="4">
        <v>6</v>
      </c>
      <c r="L14" s="4">
        <f t="shared" si="2"/>
        <v>0</v>
      </c>
      <c r="M14" s="4">
        <f t="shared" si="3"/>
        <v>1</v>
      </c>
      <c r="N14" s="5">
        <f t="shared" si="5"/>
        <v>1</v>
      </c>
    </row>
    <row r="15" spans="1:14">
      <c r="A15" s="3">
        <v>13</v>
      </c>
      <c r="B15" s="4">
        <v>0</v>
      </c>
      <c r="C15" s="4">
        <v>6</v>
      </c>
      <c r="D15" s="4">
        <f t="shared" si="0"/>
        <v>0</v>
      </c>
      <c r="E15" s="4">
        <f t="shared" si="1"/>
        <v>1</v>
      </c>
      <c r="F15" s="5">
        <f t="shared" si="4"/>
        <v>1</v>
      </c>
      <c r="I15" s="3">
        <v>13</v>
      </c>
      <c r="J15" s="4">
        <v>0</v>
      </c>
      <c r="K15" s="4">
        <v>6</v>
      </c>
      <c r="L15" s="4">
        <f t="shared" si="2"/>
        <v>0</v>
      </c>
      <c r="M15" s="4">
        <f t="shared" si="3"/>
        <v>1</v>
      </c>
      <c r="N15" s="5">
        <f t="shared" si="5"/>
        <v>1</v>
      </c>
    </row>
    <row r="16" spans="1:14">
      <c r="A16" s="3">
        <v>14</v>
      </c>
      <c r="B16" s="4">
        <v>0</v>
      </c>
      <c r="C16" s="4">
        <v>6</v>
      </c>
      <c r="D16" s="4">
        <f t="shared" si="0"/>
        <v>0</v>
      </c>
      <c r="E16" s="4">
        <f t="shared" si="1"/>
        <v>1</v>
      </c>
      <c r="F16" s="5">
        <f t="shared" si="4"/>
        <v>1</v>
      </c>
      <c r="I16" s="3">
        <v>14</v>
      </c>
      <c r="J16" s="4">
        <v>0</v>
      </c>
      <c r="K16" s="4">
        <v>6</v>
      </c>
      <c r="L16" s="4">
        <f t="shared" si="2"/>
        <v>0</v>
      </c>
      <c r="M16" s="4">
        <f t="shared" si="3"/>
        <v>1</v>
      </c>
      <c r="N16" s="5">
        <f t="shared" si="5"/>
        <v>1</v>
      </c>
    </row>
    <row r="17" spans="1:14">
      <c r="A17" s="3">
        <v>15</v>
      </c>
      <c r="B17" s="4">
        <v>0</v>
      </c>
      <c r="C17" s="4">
        <v>6</v>
      </c>
      <c r="D17" s="4">
        <f t="shared" si="0"/>
        <v>0</v>
      </c>
      <c r="E17" s="4">
        <f t="shared" si="1"/>
        <v>1</v>
      </c>
      <c r="F17" s="5">
        <f t="shared" si="4"/>
        <v>1</v>
      </c>
      <c r="I17" s="3">
        <v>15</v>
      </c>
      <c r="J17" s="4">
        <v>0</v>
      </c>
      <c r="K17" s="4">
        <v>6</v>
      </c>
      <c r="L17" s="4">
        <f t="shared" si="2"/>
        <v>0</v>
      </c>
      <c r="M17" s="4">
        <f t="shared" si="3"/>
        <v>1</v>
      </c>
      <c r="N17" s="5">
        <f t="shared" si="5"/>
        <v>1</v>
      </c>
    </row>
    <row r="18" spans="1:14">
      <c r="A18" s="3">
        <v>16</v>
      </c>
      <c r="B18" s="4">
        <v>0</v>
      </c>
      <c r="C18" s="4">
        <v>6</v>
      </c>
      <c r="D18" s="4">
        <f t="shared" si="0"/>
        <v>0</v>
      </c>
      <c r="E18" s="4">
        <f t="shared" si="1"/>
        <v>1</v>
      </c>
      <c r="F18" s="5">
        <f t="shared" si="4"/>
        <v>1</v>
      </c>
      <c r="I18" s="3">
        <v>16</v>
      </c>
      <c r="J18" s="4">
        <v>0</v>
      </c>
      <c r="K18" s="4">
        <v>6</v>
      </c>
      <c r="L18" s="4">
        <f t="shared" si="2"/>
        <v>0</v>
      </c>
      <c r="M18" s="4">
        <f t="shared" si="3"/>
        <v>1</v>
      </c>
      <c r="N18" s="5">
        <f t="shared" si="5"/>
        <v>1</v>
      </c>
    </row>
    <row r="19" spans="1:14">
      <c r="A19" s="3">
        <v>17</v>
      </c>
      <c r="B19" s="4">
        <v>0</v>
      </c>
      <c r="C19" s="4">
        <v>6</v>
      </c>
      <c r="D19" s="4">
        <f t="shared" si="0"/>
        <v>0</v>
      </c>
      <c r="E19" s="4">
        <f t="shared" si="1"/>
        <v>1</v>
      </c>
      <c r="F19" s="5">
        <f t="shared" si="4"/>
        <v>1</v>
      </c>
      <c r="I19" s="3">
        <v>17</v>
      </c>
      <c r="J19" s="4">
        <v>0</v>
      </c>
      <c r="K19" s="4">
        <v>6</v>
      </c>
      <c r="L19" s="4">
        <f t="shared" si="2"/>
        <v>0</v>
      </c>
      <c r="M19" s="4">
        <f t="shared" si="3"/>
        <v>1</v>
      </c>
      <c r="N19" s="5">
        <f t="shared" si="5"/>
        <v>1</v>
      </c>
    </row>
    <row r="20" spans="1:14">
      <c r="A20" s="3">
        <v>18</v>
      </c>
      <c r="B20" s="4">
        <v>0</v>
      </c>
      <c r="C20" s="4">
        <v>5</v>
      </c>
      <c r="D20" s="4">
        <f t="shared" si="0"/>
        <v>0</v>
      </c>
      <c r="E20" s="4">
        <f t="shared" si="1"/>
        <v>1</v>
      </c>
      <c r="F20" s="5">
        <f t="shared" si="4"/>
        <v>1</v>
      </c>
      <c r="I20" s="3">
        <v>18</v>
      </c>
      <c r="J20" s="4">
        <v>0</v>
      </c>
      <c r="K20" s="4">
        <v>5</v>
      </c>
      <c r="L20" s="4">
        <f t="shared" si="2"/>
        <v>0</v>
      </c>
      <c r="M20" s="4">
        <f t="shared" si="3"/>
        <v>1</v>
      </c>
      <c r="N20" s="5">
        <f t="shared" si="5"/>
        <v>1</v>
      </c>
    </row>
    <row r="21" spans="1:14">
      <c r="A21" s="3">
        <v>19</v>
      </c>
      <c r="B21" s="4">
        <v>0</v>
      </c>
      <c r="C21" s="4">
        <v>5</v>
      </c>
      <c r="D21" s="4">
        <f t="shared" si="0"/>
        <v>0</v>
      </c>
      <c r="E21" s="4">
        <f t="shared" si="1"/>
        <v>1</v>
      </c>
      <c r="F21" s="5">
        <f t="shared" si="4"/>
        <v>1</v>
      </c>
      <c r="I21" s="3">
        <v>19</v>
      </c>
      <c r="J21" s="4">
        <v>0</v>
      </c>
      <c r="K21" s="4">
        <v>5</v>
      </c>
      <c r="L21" s="4">
        <f t="shared" si="2"/>
        <v>0</v>
      </c>
      <c r="M21" s="4">
        <f t="shared" si="3"/>
        <v>1</v>
      </c>
      <c r="N21" s="5">
        <f t="shared" si="5"/>
        <v>1</v>
      </c>
    </row>
    <row r="22" spans="1:14">
      <c r="A22" s="3">
        <v>20</v>
      </c>
      <c r="B22" s="4">
        <v>0</v>
      </c>
      <c r="C22" s="4">
        <v>5</v>
      </c>
      <c r="D22" s="4">
        <f t="shared" si="0"/>
        <v>0</v>
      </c>
      <c r="E22" s="4">
        <f t="shared" si="1"/>
        <v>1</v>
      </c>
      <c r="F22" s="5">
        <f t="shared" si="4"/>
        <v>1</v>
      </c>
      <c r="I22" s="3">
        <v>20</v>
      </c>
      <c r="J22" s="4">
        <v>0</v>
      </c>
      <c r="K22" s="4">
        <v>5</v>
      </c>
      <c r="L22" s="4">
        <f t="shared" si="2"/>
        <v>0</v>
      </c>
      <c r="M22" s="4">
        <f t="shared" si="3"/>
        <v>1</v>
      </c>
      <c r="N22" s="5">
        <f t="shared" si="5"/>
        <v>1</v>
      </c>
    </row>
    <row r="23" spans="1:14">
      <c r="A23" s="3">
        <v>21</v>
      </c>
      <c r="B23" s="4">
        <v>0</v>
      </c>
      <c r="C23" s="4">
        <v>5</v>
      </c>
      <c r="D23" s="4">
        <f t="shared" si="0"/>
        <v>0</v>
      </c>
      <c r="E23" s="4">
        <f t="shared" si="1"/>
        <v>1</v>
      </c>
      <c r="F23" s="5">
        <f t="shared" si="4"/>
        <v>1</v>
      </c>
      <c r="I23" s="3">
        <v>21</v>
      </c>
      <c r="J23" s="4">
        <v>0</v>
      </c>
      <c r="K23" s="4">
        <v>5</v>
      </c>
      <c r="L23" s="4">
        <f t="shared" si="2"/>
        <v>0</v>
      </c>
      <c r="M23" s="4">
        <f t="shared" si="3"/>
        <v>1</v>
      </c>
      <c r="N23" s="5">
        <f t="shared" si="5"/>
        <v>1</v>
      </c>
    </row>
    <row r="24" spans="1:14">
      <c r="A24" s="3">
        <v>22</v>
      </c>
      <c r="B24" s="4">
        <v>0</v>
      </c>
      <c r="C24" s="4">
        <v>5</v>
      </c>
      <c r="D24" s="4">
        <f t="shared" si="0"/>
        <v>0</v>
      </c>
      <c r="E24" s="4">
        <f t="shared" si="1"/>
        <v>1</v>
      </c>
      <c r="F24" s="5">
        <f t="shared" si="4"/>
        <v>1</v>
      </c>
      <c r="I24" s="3">
        <v>22</v>
      </c>
      <c r="J24" s="4">
        <v>0</v>
      </c>
      <c r="K24" s="4">
        <v>5</v>
      </c>
      <c r="L24" s="4">
        <f>J24/K24</f>
        <v>0</v>
      </c>
      <c r="M24" s="4">
        <f t="shared" si="3"/>
        <v>1</v>
      </c>
      <c r="N24" s="5">
        <f t="shared" si="5"/>
        <v>1</v>
      </c>
    </row>
    <row r="25" spans="1:14">
      <c r="A25" s="3">
        <v>23</v>
      </c>
      <c r="B25" s="4">
        <v>0</v>
      </c>
      <c r="C25" s="4">
        <v>5</v>
      </c>
      <c r="D25" s="4">
        <f t="shared" si="0"/>
        <v>0</v>
      </c>
      <c r="E25" s="4">
        <f t="shared" si="1"/>
        <v>1</v>
      </c>
      <c r="F25" s="5">
        <f t="shared" si="4"/>
        <v>1</v>
      </c>
      <c r="I25" s="3">
        <v>23</v>
      </c>
      <c r="J25" s="4">
        <v>1</v>
      </c>
      <c r="K25" s="4">
        <v>5</v>
      </c>
      <c r="L25" s="4">
        <f>J25/K25</f>
        <v>0.2</v>
      </c>
      <c r="M25" s="4">
        <f>(1-L25)</f>
        <v>0.8</v>
      </c>
      <c r="N25" s="5">
        <f t="shared" si="5"/>
        <v>0.8</v>
      </c>
    </row>
    <row r="26" spans="1:14">
      <c r="A26" s="6">
        <v>24</v>
      </c>
      <c r="B26" s="7">
        <v>0</v>
      </c>
      <c r="C26" s="7">
        <v>5</v>
      </c>
      <c r="D26" s="7">
        <f t="shared" si="0"/>
        <v>0</v>
      </c>
      <c r="E26" s="7">
        <f t="shared" si="1"/>
        <v>1</v>
      </c>
      <c r="F26" s="8">
        <f t="shared" si="4"/>
        <v>1</v>
      </c>
      <c r="I26" s="6">
        <v>24</v>
      </c>
      <c r="J26" s="7">
        <v>0</v>
      </c>
      <c r="K26" s="4">
        <v>4</v>
      </c>
      <c r="L26" s="7">
        <f>J26/K26</f>
        <v>0</v>
      </c>
      <c r="M26" s="7">
        <f t="shared" si="3"/>
        <v>1</v>
      </c>
      <c r="N26" s="8">
        <f t="shared" si="5"/>
        <v>0.8</v>
      </c>
    </row>
    <row r="30" spans="1:14">
      <c r="A30" s="40" t="s">
        <v>4</v>
      </c>
      <c r="B30" s="41"/>
      <c r="C30" s="41"/>
      <c r="D30" s="41"/>
      <c r="E30" s="41"/>
      <c r="F30" s="42"/>
      <c r="I30" s="40" t="s">
        <v>2</v>
      </c>
      <c r="J30" s="41"/>
      <c r="K30" s="41"/>
      <c r="L30" s="41"/>
      <c r="M30" s="41"/>
      <c r="N30" s="42"/>
    </row>
    <row r="31" spans="1:14">
      <c r="A31" s="3" t="s">
        <v>0</v>
      </c>
      <c r="B31" s="4" t="s">
        <v>29</v>
      </c>
      <c r="C31" s="4" t="s">
        <v>30</v>
      </c>
      <c r="D31" s="4" t="s">
        <v>31</v>
      </c>
      <c r="E31" s="4" t="s">
        <v>32</v>
      </c>
      <c r="F31" s="5" t="s">
        <v>33</v>
      </c>
      <c r="I31" s="3" t="s">
        <v>0</v>
      </c>
      <c r="J31" s="4" t="s">
        <v>29</v>
      </c>
      <c r="K31" s="4" t="s">
        <v>30</v>
      </c>
      <c r="L31" s="4" t="s">
        <v>31</v>
      </c>
      <c r="M31" s="4" t="s">
        <v>32</v>
      </c>
      <c r="N31" s="5" t="s">
        <v>33</v>
      </c>
    </row>
    <row r="32" spans="1:14">
      <c r="A32" s="3">
        <v>1</v>
      </c>
      <c r="B32" s="4">
        <v>0</v>
      </c>
      <c r="C32" s="4">
        <v>6</v>
      </c>
      <c r="D32" s="4">
        <f>B32/C32</f>
        <v>0</v>
      </c>
      <c r="E32" s="4">
        <f>(1-D32)</f>
        <v>1</v>
      </c>
      <c r="F32" s="5">
        <v>1</v>
      </c>
      <c r="I32" s="3">
        <v>1</v>
      </c>
      <c r="J32" s="4">
        <v>0</v>
      </c>
      <c r="K32" s="4">
        <v>6</v>
      </c>
      <c r="L32" s="4">
        <f>J32/K32</f>
        <v>0</v>
      </c>
      <c r="M32" s="4">
        <f>(1-L32)</f>
        <v>1</v>
      </c>
      <c r="N32" s="5">
        <v>1</v>
      </c>
    </row>
    <row r="33" spans="1:14">
      <c r="A33" s="3">
        <v>2</v>
      </c>
      <c r="B33" s="4">
        <v>0</v>
      </c>
      <c r="C33" s="4">
        <v>6</v>
      </c>
      <c r="D33" s="4">
        <f t="shared" ref="D33:D55" si="6">B33/C33</f>
        <v>0</v>
      </c>
      <c r="E33" s="4">
        <f t="shared" ref="E33:E55" si="7">(1-D33)</f>
        <v>1</v>
      </c>
      <c r="F33" s="5">
        <f>F32*E33</f>
        <v>1</v>
      </c>
      <c r="I33" s="3">
        <v>2</v>
      </c>
      <c r="J33" s="4">
        <v>0</v>
      </c>
      <c r="K33" s="4">
        <v>6</v>
      </c>
      <c r="L33" s="4">
        <f t="shared" ref="L33:L55" si="8">J33/K33</f>
        <v>0</v>
      </c>
      <c r="M33" s="4">
        <f t="shared" ref="M33:M55" si="9">(1-L33)</f>
        <v>1</v>
      </c>
      <c r="N33" s="5">
        <f>N32*M33</f>
        <v>1</v>
      </c>
    </row>
    <row r="34" spans="1:14">
      <c r="A34" s="3">
        <v>3</v>
      </c>
      <c r="B34" s="4">
        <v>0</v>
      </c>
      <c r="C34" s="4">
        <v>6</v>
      </c>
      <c r="D34" s="4">
        <f t="shared" si="6"/>
        <v>0</v>
      </c>
      <c r="E34" s="4">
        <f t="shared" si="7"/>
        <v>1</v>
      </c>
      <c r="F34" s="5">
        <f t="shared" ref="F34:F55" si="10">F33*E34</f>
        <v>1</v>
      </c>
      <c r="I34" s="3">
        <v>3</v>
      </c>
      <c r="J34" s="4">
        <v>0</v>
      </c>
      <c r="K34" s="4">
        <v>6</v>
      </c>
      <c r="L34" s="4">
        <f t="shared" si="8"/>
        <v>0</v>
      </c>
      <c r="M34" s="4">
        <f t="shared" si="9"/>
        <v>1</v>
      </c>
      <c r="N34" s="5">
        <f t="shared" ref="N34:N55" si="11">N33*M34</f>
        <v>1</v>
      </c>
    </row>
    <row r="35" spans="1:14">
      <c r="A35" s="3">
        <v>4</v>
      </c>
      <c r="B35" s="4">
        <v>0</v>
      </c>
      <c r="C35" s="4">
        <v>6</v>
      </c>
      <c r="D35" s="4">
        <f t="shared" si="6"/>
        <v>0</v>
      </c>
      <c r="E35" s="4">
        <f t="shared" si="7"/>
        <v>1</v>
      </c>
      <c r="F35" s="5">
        <f t="shared" si="10"/>
        <v>1</v>
      </c>
      <c r="I35" s="3">
        <v>4</v>
      </c>
      <c r="J35" s="4">
        <v>0</v>
      </c>
      <c r="K35" s="4">
        <v>6</v>
      </c>
      <c r="L35" s="4">
        <f t="shared" si="8"/>
        <v>0</v>
      </c>
      <c r="M35" s="4">
        <f t="shared" si="9"/>
        <v>1</v>
      </c>
      <c r="N35" s="5">
        <f t="shared" si="11"/>
        <v>1</v>
      </c>
    </row>
    <row r="36" spans="1:14">
      <c r="A36" s="3">
        <v>5</v>
      </c>
      <c r="B36" s="4">
        <v>0</v>
      </c>
      <c r="C36" s="4">
        <v>6</v>
      </c>
      <c r="D36" s="4">
        <f t="shared" si="6"/>
        <v>0</v>
      </c>
      <c r="E36" s="4">
        <f t="shared" si="7"/>
        <v>1</v>
      </c>
      <c r="F36" s="5">
        <f t="shared" si="10"/>
        <v>1</v>
      </c>
      <c r="I36" s="3">
        <v>5</v>
      </c>
      <c r="J36" s="4">
        <v>0</v>
      </c>
      <c r="K36" s="4">
        <v>6</v>
      </c>
      <c r="L36" s="4">
        <f t="shared" si="8"/>
        <v>0</v>
      </c>
      <c r="M36" s="4">
        <f t="shared" si="9"/>
        <v>1</v>
      </c>
      <c r="N36" s="5">
        <f t="shared" si="11"/>
        <v>1</v>
      </c>
    </row>
    <row r="37" spans="1:14">
      <c r="A37" s="3">
        <v>6</v>
      </c>
      <c r="B37" s="4">
        <v>0</v>
      </c>
      <c r="C37" s="4">
        <v>6</v>
      </c>
      <c r="D37" s="4">
        <f t="shared" si="6"/>
        <v>0</v>
      </c>
      <c r="E37" s="4">
        <f t="shared" si="7"/>
        <v>1</v>
      </c>
      <c r="F37" s="5">
        <f t="shared" si="10"/>
        <v>1</v>
      </c>
      <c r="I37" s="3">
        <v>6</v>
      </c>
      <c r="J37" s="4">
        <v>0</v>
      </c>
      <c r="K37" s="4">
        <v>6</v>
      </c>
      <c r="L37" s="4">
        <f t="shared" si="8"/>
        <v>0</v>
      </c>
      <c r="M37" s="4">
        <f t="shared" si="9"/>
        <v>1</v>
      </c>
      <c r="N37" s="5">
        <f t="shared" si="11"/>
        <v>1</v>
      </c>
    </row>
    <row r="38" spans="1:14">
      <c r="A38" s="3">
        <v>7</v>
      </c>
      <c r="B38" s="4">
        <v>0</v>
      </c>
      <c r="C38" s="4">
        <v>6</v>
      </c>
      <c r="D38" s="4">
        <f t="shared" si="6"/>
        <v>0</v>
      </c>
      <c r="E38" s="4">
        <f t="shared" si="7"/>
        <v>1</v>
      </c>
      <c r="F38" s="5">
        <f t="shared" si="10"/>
        <v>1</v>
      </c>
      <c r="I38" s="3">
        <v>7</v>
      </c>
      <c r="J38" s="4">
        <v>0</v>
      </c>
      <c r="K38" s="4">
        <v>6</v>
      </c>
      <c r="L38" s="4">
        <f t="shared" si="8"/>
        <v>0</v>
      </c>
      <c r="M38" s="4">
        <f t="shared" si="9"/>
        <v>1</v>
      </c>
      <c r="N38" s="5">
        <f t="shared" si="11"/>
        <v>1</v>
      </c>
    </row>
    <row r="39" spans="1:14">
      <c r="A39" s="3">
        <v>8</v>
      </c>
      <c r="B39" s="4">
        <v>0</v>
      </c>
      <c r="C39" s="4">
        <v>6</v>
      </c>
      <c r="D39" s="4">
        <f t="shared" si="6"/>
        <v>0</v>
      </c>
      <c r="E39" s="4">
        <f t="shared" si="7"/>
        <v>1</v>
      </c>
      <c r="F39" s="5">
        <f t="shared" si="10"/>
        <v>1</v>
      </c>
      <c r="I39" s="3">
        <v>8</v>
      </c>
      <c r="J39" s="4">
        <v>0</v>
      </c>
      <c r="K39" s="4">
        <v>6</v>
      </c>
      <c r="L39" s="4">
        <f t="shared" si="8"/>
        <v>0</v>
      </c>
      <c r="M39" s="4">
        <f t="shared" si="9"/>
        <v>1</v>
      </c>
      <c r="N39" s="5">
        <f t="shared" si="11"/>
        <v>1</v>
      </c>
    </row>
    <row r="40" spans="1:14">
      <c r="A40" s="3">
        <v>9</v>
      </c>
      <c r="B40" s="4">
        <v>0</v>
      </c>
      <c r="C40" s="4">
        <v>6</v>
      </c>
      <c r="D40" s="4">
        <f t="shared" si="6"/>
        <v>0</v>
      </c>
      <c r="E40" s="4">
        <f t="shared" si="7"/>
        <v>1</v>
      </c>
      <c r="F40" s="5">
        <f t="shared" si="10"/>
        <v>1</v>
      </c>
      <c r="I40" s="3">
        <v>9</v>
      </c>
      <c r="J40" s="4">
        <v>0</v>
      </c>
      <c r="K40" s="4">
        <v>6</v>
      </c>
      <c r="L40" s="4">
        <f t="shared" si="8"/>
        <v>0</v>
      </c>
      <c r="M40" s="4">
        <f t="shared" si="9"/>
        <v>1</v>
      </c>
      <c r="N40" s="5">
        <f t="shared" si="11"/>
        <v>1</v>
      </c>
    </row>
    <row r="41" spans="1:14">
      <c r="A41" s="3">
        <v>10</v>
      </c>
      <c r="B41" s="4">
        <v>0</v>
      </c>
      <c r="C41" s="4">
        <v>6</v>
      </c>
      <c r="D41" s="4">
        <f t="shared" si="6"/>
        <v>0</v>
      </c>
      <c r="E41" s="4">
        <f t="shared" si="7"/>
        <v>1</v>
      </c>
      <c r="F41" s="5">
        <f t="shared" si="10"/>
        <v>1</v>
      </c>
      <c r="I41" s="3">
        <v>10</v>
      </c>
      <c r="J41" s="4">
        <v>0</v>
      </c>
      <c r="K41" s="4">
        <v>6</v>
      </c>
      <c r="L41" s="4">
        <f t="shared" si="8"/>
        <v>0</v>
      </c>
      <c r="M41" s="4">
        <f t="shared" si="9"/>
        <v>1</v>
      </c>
      <c r="N41" s="5">
        <f t="shared" si="11"/>
        <v>1</v>
      </c>
    </row>
    <row r="42" spans="1:14">
      <c r="A42" s="3">
        <v>11</v>
      </c>
      <c r="B42" s="4">
        <v>0</v>
      </c>
      <c r="C42" s="4">
        <v>6</v>
      </c>
      <c r="D42" s="4">
        <f t="shared" si="6"/>
        <v>0</v>
      </c>
      <c r="E42" s="4">
        <f t="shared" si="7"/>
        <v>1</v>
      </c>
      <c r="F42" s="5">
        <f t="shared" si="10"/>
        <v>1</v>
      </c>
      <c r="I42" s="3">
        <v>11</v>
      </c>
      <c r="J42" s="4">
        <v>0</v>
      </c>
      <c r="K42" s="4">
        <v>6</v>
      </c>
      <c r="L42" s="4">
        <f t="shared" si="8"/>
        <v>0</v>
      </c>
      <c r="M42" s="4">
        <f t="shared" si="9"/>
        <v>1</v>
      </c>
      <c r="N42" s="5">
        <f t="shared" si="11"/>
        <v>1</v>
      </c>
    </row>
    <row r="43" spans="1:14">
      <c r="A43" s="3">
        <v>12</v>
      </c>
      <c r="B43" s="4">
        <v>0</v>
      </c>
      <c r="C43" s="4">
        <v>6</v>
      </c>
      <c r="D43" s="4">
        <f t="shared" si="6"/>
        <v>0</v>
      </c>
      <c r="E43" s="4">
        <f t="shared" si="7"/>
        <v>1</v>
      </c>
      <c r="F43" s="5">
        <f t="shared" si="10"/>
        <v>1</v>
      </c>
      <c r="I43" s="3">
        <v>12</v>
      </c>
      <c r="J43" s="4">
        <v>0</v>
      </c>
      <c r="K43" s="4">
        <v>6</v>
      </c>
      <c r="L43" s="4">
        <f t="shared" si="8"/>
        <v>0</v>
      </c>
      <c r="M43" s="4">
        <f t="shared" si="9"/>
        <v>1</v>
      </c>
      <c r="N43" s="5">
        <f t="shared" si="11"/>
        <v>1</v>
      </c>
    </row>
    <row r="44" spans="1:14">
      <c r="A44" s="3">
        <v>13</v>
      </c>
      <c r="B44" s="4">
        <v>0</v>
      </c>
      <c r="C44" s="4">
        <v>6</v>
      </c>
      <c r="D44" s="4">
        <f t="shared" si="6"/>
        <v>0</v>
      </c>
      <c r="E44" s="4">
        <f t="shared" si="7"/>
        <v>1</v>
      </c>
      <c r="F44" s="5">
        <f t="shared" si="10"/>
        <v>1</v>
      </c>
      <c r="I44" s="3">
        <v>13</v>
      </c>
      <c r="J44" s="4">
        <v>0</v>
      </c>
      <c r="K44" s="4">
        <v>6</v>
      </c>
      <c r="L44" s="4">
        <f t="shared" si="8"/>
        <v>0</v>
      </c>
      <c r="M44" s="4">
        <f t="shared" si="9"/>
        <v>1</v>
      </c>
      <c r="N44" s="5">
        <f t="shared" si="11"/>
        <v>1</v>
      </c>
    </row>
    <row r="45" spans="1:14">
      <c r="A45" s="3">
        <v>14</v>
      </c>
      <c r="B45" s="4">
        <v>0</v>
      </c>
      <c r="C45" s="4">
        <v>6</v>
      </c>
      <c r="D45" s="4">
        <f t="shared" si="6"/>
        <v>0</v>
      </c>
      <c r="E45" s="4">
        <f t="shared" si="7"/>
        <v>1</v>
      </c>
      <c r="F45" s="5">
        <f t="shared" si="10"/>
        <v>1</v>
      </c>
      <c r="I45" s="3">
        <v>14</v>
      </c>
      <c r="J45" s="4">
        <v>0</v>
      </c>
      <c r="K45" s="4">
        <v>6</v>
      </c>
      <c r="L45" s="4">
        <f t="shared" si="8"/>
        <v>0</v>
      </c>
      <c r="M45" s="4">
        <f t="shared" si="9"/>
        <v>1</v>
      </c>
      <c r="N45" s="5">
        <f t="shared" si="11"/>
        <v>1</v>
      </c>
    </row>
    <row r="46" spans="1:14">
      <c r="A46" s="3">
        <v>15</v>
      </c>
      <c r="B46" s="4">
        <v>0</v>
      </c>
      <c r="C46" s="4">
        <v>6</v>
      </c>
      <c r="D46" s="4">
        <f t="shared" si="6"/>
        <v>0</v>
      </c>
      <c r="E46" s="4">
        <f t="shared" si="7"/>
        <v>1</v>
      </c>
      <c r="F46" s="5">
        <f t="shared" si="10"/>
        <v>1</v>
      </c>
      <c r="I46" s="3">
        <v>15</v>
      </c>
      <c r="J46" s="4">
        <v>0</v>
      </c>
      <c r="K46" s="4">
        <v>6</v>
      </c>
      <c r="L46" s="4">
        <f t="shared" si="8"/>
        <v>0</v>
      </c>
      <c r="M46" s="4">
        <f t="shared" si="9"/>
        <v>1</v>
      </c>
      <c r="N46" s="5">
        <f t="shared" si="11"/>
        <v>1</v>
      </c>
    </row>
    <row r="47" spans="1:14">
      <c r="A47" s="3">
        <v>16</v>
      </c>
      <c r="B47" s="4">
        <v>1</v>
      </c>
      <c r="C47" s="4">
        <v>6</v>
      </c>
      <c r="D47" s="4">
        <f t="shared" si="6"/>
        <v>0.16666666666666666</v>
      </c>
      <c r="E47" s="4">
        <f t="shared" si="7"/>
        <v>0.83333333333333337</v>
      </c>
      <c r="F47" s="5">
        <f t="shared" si="10"/>
        <v>0.83333333333333337</v>
      </c>
      <c r="I47" s="3">
        <v>16</v>
      </c>
      <c r="J47" s="4">
        <v>0</v>
      </c>
      <c r="K47" s="4">
        <v>6</v>
      </c>
      <c r="L47" s="4">
        <f t="shared" si="8"/>
        <v>0</v>
      </c>
      <c r="M47" s="4">
        <f t="shared" si="9"/>
        <v>1</v>
      </c>
      <c r="N47" s="5">
        <f t="shared" si="11"/>
        <v>1</v>
      </c>
    </row>
    <row r="48" spans="1:14">
      <c r="A48" s="3">
        <v>17</v>
      </c>
      <c r="B48" s="4">
        <v>0</v>
      </c>
      <c r="C48" s="4">
        <v>5</v>
      </c>
      <c r="D48" s="4">
        <f t="shared" si="6"/>
        <v>0</v>
      </c>
      <c r="E48" s="4">
        <f t="shared" si="7"/>
        <v>1</v>
      </c>
      <c r="F48" s="5">
        <f t="shared" si="10"/>
        <v>0.83333333333333337</v>
      </c>
      <c r="I48" s="3">
        <v>17</v>
      </c>
      <c r="J48" s="4">
        <v>0</v>
      </c>
      <c r="K48" s="4">
        <v>6</v>
      </c>
      <c r="L48" s="4">
        <f t="shared" si="8"/>
        <v>0</v>
      </c>
      <c r="M48" s="4">
        <f t="shared" si="9"/>
        <v>1</v>
      </c>
      <c r="N48" s="5">
        <f t="shared" si="11"/>
        <v>1</v>
      </c>
    </row>
    <row r="49" spans="1:14">
      <c r="A49" s="3">
        <v>18</v>
      </c>
      <c r="B49" s="4">
        <v>0</v>
      </c>
      <c r="C49" s="4">
        <v>4</v>
      </c>
      <c r="D49" s="4">
        <f t="shared" si="6"/>
        <v>0</v>
      </c>
      <c r="E49" s="4">
        <f t="shared" si="7"/>
        <v>1</v>
      </c>
      <c r="F49" s="5">
        <f t="shared" si="10"/>
        <v>0.83333333333333337</v>
      </c>
      <c r="I49" s="3">
        <v>18</v>
      </c>
      <c r="J49" s="4">
        <v>0</v>
      </c>
      <c r="K49" s="4">
        <v>5</v>
      </c>
      <c r="L49" s="4">
        <f t="shared" si="8"/>
        <v>0</v>
      </c>
      <c r="M49" s="4">
        <f t="shared" si="9"/>
        <v>1</v>
      </c>
      <c r="N49" s="5">
        <f t="shared" si="11"/>
        <v>1</v>
      </c>
    </row>
    <row r="50" spans="1:14">
      <c r="A50" s="3">
        <v>19</v>
      </c>
      <c r="B50" s="4">
        <v>0</v>
      </c>
      <c r="C50" s="4">
        <v>4</v>
      </c>
      <c r="D50" s="4">
        <f t="shared" si="6"/>
        <v>0</v>
      </c>
      <c r="E50" s="4">
        <f t="shared" si="7"/>
        <v>1</v>
      </c>
      <c r="F50" s="5">
        <f t="shared" si="10"/>
        <v>0.83333333333333337</v>
      </c>
      <c r="I50" s="3">
        <v>19</v>
      </c>
      <c r="J50" s="4">
        <v>1</v>
      </c>
      <c r="K50" s="4">
        <v>5</v>
      </c>
      <c r="L50" s="4">
        <f t="shared" si="8"/>
        <v>0.2</v>
      </c>
      <c r="M50" s="4">
        <f t="shared" si="9"/>
        <v>0.8</v>
      </c>
      <c r="N50" s="5">
        <f t="shared" si="11"/>
        <v>0.8</v>
      </c>
    </row>
    <row r="51" spans="1:14">
      <c r="A51" s="3">
        <v>20</v>
      </c>
      <c r="B51" s="4">
        <v>0</v>
      </c>
      <c r="C51" s="4">
        <v>4</v>
      </c>
      <c r="D51" s="4">
        <f t="shared" si="6"/>
        <v>0</v>
      </c>
      <c r="E51" s="4">
        <f t="shared" si="7"/>
        <v>1</v>
      </c>
      <c r="F51" s="5">
        <f t="shared" si="10"/>
        <v>0.83333333333333337</v>
      </c>
      <c r="I51" s="3">
        <v>20</v>
      </c>
      <c r="J51" s="4">
        <v>0</v>
      </c>
      <c r="K51" s="4">
        <v>4</v>
      </c>
      <c r="L51" s="4">
        <f t="shared" si="8"/>
        <v>0</v>
      </c>
      <c r="M51" s="4">
        <f t="shared" si="9"/>
        <v>1</v>
      </c>
      <c r="N51" s="5">
        <f t="shared" si="11"/>
        <v>0.8</v>
      </c>
    </row>
    <row r="52" spans="1:14">
      <c r="A52" s="3">
        <v>21</v>
      </c>
      <c r="B52" s="4">
        <v>0</v>
      </c>
      <c r="C52" s="4">
        <v>4</v>
      </c>
      <c r="D52" s="4">
        <f t="shared" si="6"/>
        <v>0</v>
      </c>
      <c r="E52" s="4">
        <f t="shared" si="7"/>
        <v>1</v>
      </c>
      <c r="F52" s="5">
        <f t="shared" si="10"/>
        <v>0.83333333333333337</v>
      </c>
      <c r="I52" s="3">
        <v>21</v>
      </c>
      <c r="J52" s="4">
        <v>0</v>
      </c>
      <c r="K52" s="4">
        <v>4</v>
      </c>
      <c r="L52" s="4">
        <f t="shared" si="8"/>
        <v>0</v>
      </c>
      <c r="M52" s="4">
        <f t="shared" si="9"/>
        <v>1</v>
      </c>
      <c r="N52" s="5">
        <f t="shared" si="11"/>
        <v>0.8</v>
      </c>
    </row>
    <row r="53" spans="1:14">
      <c r="A53" s="3">
        <v>22</v>
      </c>
      <c r="B53" s="4">
        <v>0</v>
      </c>
      <c r="C53" s="4">
        <v>4</v>
      </c>
      <c r="D53" s="4">
        <f t="shared" si="6"/>
        <v>0</v>
      </c>
      <c r="E53" s="4">
        <f t="shared" si="7"/>
        <v>1</v>
      </c>
      <c r="F53" s="5">
        <f t="shared" si="10"/>
        <v>0.83333333333333337</v>
      </c>
      <c r="I53" s="3">
        <v>22</v>
      </c>
      <c r="J53" s="4">
        <v>0</v>
      </c>
      <c r="K53" s="4">
        <v>4</v>
      </c>
      <c r="L53" s="4">
        <f t="shared" si="8"/>
        <v>0</v>
      </c>
      <c r="M53" s="4">
        <f t="shared" si="9"/>
        <v>1</v>
      </c>
      <c r="N53" s="5">
        <f t="shared" si="11"/>
        <v>0.8</v>
      </c>
    </row>
    <row r="54" spans="1:14">
      <c r="A54" s="3">
        <v>23</v>
      </c>
      <c r="B54" s="4">
        <v>0</v>
      </c>
      <c r="C54" s="4">
        <v>4</v>
      </c>
      <c r="D54" s="4">
        <f t="shared" si="6"/>
        <v>0</v>
      </c>
      <c r="E54" s="4">
        <f t="shared" si="7"/>
        <v>1</v>
      </c>
      <c r="F54" s="5">
        <f t="shared" si="10"/>
        <v>0.83333333333333337</v>
      </c>
      <c r="I54" s="3">
        <v>23</v>
      </c>
      <c r="J54" s="4">
        <v>0</v>
      </c>
      <c r="K54" s="4">
        <v>4</v>
      </c>
      <c r="L54" s="4">
        <f t="shared" si="8"/>
        <v>0</v>
      </c>
      <c r="M54" s="4">
        <f t="shared" si="9"/>
        <v>1</v>
      </c>
      <c r="N54" s="5">
        <f t="shared" si="11"/>
        <v>0.8</v>
      </c>
    </row>
    <row r="55" spans="1:14">
      <c r="A55" s="6">
        <v>24</v>
      </c>
      <c r="B55" s="7">
        <v>0</v>
      </c>
      <c r="C55" s="4">
        <v>4</v>
      </c>
      <c r="D55" s="7">
        <f t="shared" si="6"/>
        <v>0</v>
      </c>
      <c r="E55" s="7">
        <f t="shared" si="7"/>
        <v>1</v>
      </c>
      <c r="F55" s="8">
        <f t="shared" si="10"/>
        <v>0.83333333333333337</v>
      </c>
      <c r="I55" s="6">
        <v>24</v>
      </c>
      <c r="J55" s="7">
        <v>1</v>
      </c>
      <c r="K55" s="4">
        <v>4</v>
      </c>
      <c r="L55" s="7">
        <f t="shared" si="8"/>
        <v>0.25</v>
      </c>
      <c r="M55" s="7">
        <f t="shared" si="9"/>
        <v>0.75</v>
      </c>
      <c r="N55" s="8">
        <f t="shared" si="11"/>
        <v>0.60000000000000009</v>
      </c>
    </row>
    <row r="57" spans="1:14">
      <c r="A57" s="4"/>
      <c r="B57" s="33" t="s">
        <v>35</v>
      </c>
      <c r="C57" s="33"/>
      <c r="D57" s="33"/>
      <c r="E57" s="33"/>
    </row>
    <row r="58" spans="1:14">
      <c r="A58" s="19" t="s">
        <v>34</v>
      </c>
      <c r="B58" s="20" t="s">
        <v>1</v>
      </c>
      <c r="C58" s="20" t="s">
        <v>3</v>
      </c>
      <c r="D58" s="21" t="s">
        <v>4</v>
      </c>
      <c r="E58" s="21" t="s">
        <v>2</v>
      </c>
    </row>
    <row r="59" spans="1:14">
      <c r="A59" s="3">
        <v>0</v>
      </c>
      <c r="B59" s="4">
        <v>1</v>
      </c>
      <c r="C59" s="4">
        <v>1</v>
      </c>
      <c r="D59" s="4">
        <v>1</v>
      </c>
      <c r="E59" s="5">
        <v>1</v>
      </c>
    </row>
    <row r="60" spans="1:14">
      <c r="A60" s="3">
        <v>1</v>
      </c>
      <c r="B60" s="4">
        <v>1</v>
      </c>
      <c r="C60" s="4">
        <v>1</v>
      </c>
      <c r="D60" s="4">
        <v>1</v>
      </c>
      <c r="E60" s="5">
        <v>1</v>
      </c>
    </row>
    <row r="61" spans="1:14">
      <c r="A61" s="3">
        <v>2</v>
      </c>
      <c r="B61" s="4">
        <v>1</v>
      </c>
      <c r="C61" s="4">
        <v>1</v>
      </c>
      <c r="D61" s="4">
        <v>1</v>
      </c>
      <c r="E61" s="5">
        <v>1</v>
      </c>
    </row>
    <row r="62" spans="1:14">
      <c r="A62" s="3">
        <v>3</v>
      </c>
      <c r="B62" s="4">
        <v>1</v>
      </c>
      <c r="C62" s="4">
        <v>1</v>
      </c>
      <c r="D62" s="4">
        <v>1</v>
      </c>
      <c r="E62" s="5">
        <v>1</v>
      </c>
    </row>
    <row r="63" spans="1:14">
      <c r="A63" s="3">
        <v>4</v>
      </c>
      <c r="B63" s="4">
        <v>1</v>
      </c>
      <c r="C63" s="4">
        <v>1</v>
      </c>
      <c r="D63" s="4">
        <v>1</v>
      </c>
      <c r="E63" s="5">
        <v>1</v>
      </c>
    </row>
    <row r="64" spans="1:14">
      <c r="A64" s="3">
        <v>5</v>
      </c>
      <c r="B64" s="4">
        <v>1</v>
      </c>
      <c r="C64" s="4">
        <v>1</v>
      </c>
      <c r="D64" s="4">
        <v>1</v>
      </c>
      <c r="E64" s="5">
        <v>1</v>
      </c>
    </row>
    <row r="65" spans="1:5">
      <c r="A65" s="3">
        <v>6</v>
      </c>
      <c r="B65" s="4">
        <v>1</v>
      </c>
      <c r="C65" s="4">
        <v>1</v>
      </c>
      <c r="D65" s="4">
        <v>1</v>
      </c>
      <c r="E65" s="5">
        <v>1</v>
      </c>
    </row>
    <row r="66" spans="1:5">
      <c r="A66" s="3">
        <v>7</v>
      </c>
      <c r="B66" s="4">
        <v>1</v>
      </c>
      <c r="C66" s="4">
        <v>1</v>
      </c>
      <c r="D66" s="4">
        <v>1</v>
      </c>
      <c r="E66" s="5">
        <v>1</v>
      </c>
    </row>
    <row r="67" spans="1:5">
      <c r="A67" s="3">
        <v>8</v>
      </c>
      <c r="B67" s="4">
        <v>1</v>
      </c>
      <c r="C67" s="4">
        <v>1</v>
      </c>
      <c r="D67" s="4">
        <v>1</v>
      </c>
      <c r="E67" s="5">
        <v>1</v>
      </c>
    </row>
    <row r="68" spans="1:5">
      <c r="A68" s="3">
        <v>9</v>
      </c>
      <c r="B68" s="4">
        <v>1</v>
      </c>
      <c r="C68" s="4">
        <v>1</v>
      </c>
      <c r="D68" s="4">
        <v>1</v>
      </c>
      <c r="E68" s="5">
        <v>1</v>
      </c>
    </row>
    <row r="69" spans="1:5">
      <c r="A69" s="3">
        <v>10</v>
      </c>
      <c r="B69" s="4">
        <v>1</v>
      </c>
      <c r="C69" s="4">
        <v>1</v>
      </c>
      <c r="D69" s="4">
        <v>1</v>
      </c>
      <c r="E69" s="5">
        <v>1</v>
      </c>
    </row>
    <row r="70" spans="1:5">
      <c r="A70" s="3">
        <v>11</v>
      </c>
      <c r="B70" s="4">
        <v>1</v>
      </c>
      <c r="C70" s="4">
        <v>1</v>
      </c>
      <c r="D70" s="4">
        <v>1</v>
      </c>
      <c r="E70" s="5">
        <v>1</v>
      </c>
    </row>
    <row r="71" spans="1:5">
      <c r="A71" s="3">
        <v>12</v>
      </c>
      <c r="B71" s="4">
        <v>1</v>
      </c>
      <c r="C71" s="4">
        <v>1</v>
      </c>
      <c r="D71" s="4">
        <v>1</v>
      </c>
      <c r="E71" s="5">
        <v>1</v>
      </c>
    </row>
    <row r="72" spans="1:5">
      <c r="A72" s="3">
        <v>13</v>
      </c>
      <c r="B72" s="4">
        <v>1</v>
      </c>
      <c r="C72" s="4">
        <v>1</v>
      </c>
      <c r="D72" s="4">
        <v>1</v>
      </c>
      <c r="E72" s="5">
        <v>1</v>
      </c>
    </row>
    <row r="73" spans="1:5">
      <c r="A73" s="3">
        <v>14</v>
      </c>
      <c r="B73" s="4">
        <v>1</v>
      </c>
      <c r="C73" s="4">
        <v>1</v>
      </c>
      <c r="D73" s="4">
        <v>1</v>
      </c>
      <c r="E73" s="5">
        <v>1</v>
      </c>
    </row>
    <row r="74" spans="1:5">
      <c r="A74" s="3">
        <v>15</v>
      </c>
      <c r="B74" s="4">
        <v>1</v>
      </c>
      <c r="C74" s="4">
        <v>1</v>
      </c>
      <c r="D74" s="4">
        <v>0.83333333333333337</v>
      </c>
      <c r="E74" s="5">
        <v>1</v>
      </c>
    </row>
    <row r="75" spans="1:5">
      <c r="A75" s="3">
        <v>16</v>
      </c>
      <c r="B75" s="4">
        <v>1</v>
      </c>
      <c r="C75" s="4">
        <v>1</v>
      </c>
      <c r="D75" s="4">
        <v>0.83333333333333337</v>
      </c>
      <c r="E75" s="5">
        <v>1</v>
      </c>
    </row>
    <row r="76" spans="1:5">
      <c r="A76" s="3">
        <v>17</v>
      </c>
      <c r="B76" s="4">
        <v>1</v>
      </c>
      <c r="C76" s="4">
        <v>1</v>
      </c>
      <c r="D76" s="4">
        <v>0.83333333333333337</v>
      </c>
      <c r="E76" s="5">
        <v>1</v>
      </c>
    </row>
    <row r="77" spans="1:5">
      <c r="A77" s="3">
        <v>18</v>
      </c>
      <c r="B77" s="4">
        <v>1</v>
      </c>
      <c r="C77" s="4">
        <v>1</v>
      </c>
      <c r="D77" s="4">
        <v>0.83333333333333337</v>
      </c>
      <c r="E77" s="5">
        <v>0.8</v>
      </c>
    </row>
    <row r="78" spans="1:5">
      <c r="A78" s="3">
        <v>19</v>
      </c>
      <c r="B78" s="4">
        <v>1</v>
      </c>
      <c r="C78" s="4">
        <v>1</v>
      </c>
      <c r="D78" s="4">
        <v>0.83333333333333337</v>
      </c>
      <c r="E78" s="5">
        <v>0.8</v>
      </c>
    </row>
    <row r="79" spans="1:5">
      <c r="A79" s="3">
        <v>20</v>
      </c>
      <c r="B79" s="4">
        <v>1</v>
      </c>
      <c r="C79" s="4">
        <v>1</v>
      </c>
      <c r="D79" s="4">
        <v>0.83333333333333337</v>
      </c>
      <c r="E79" s="5">
        <v>0.8</v>
      </c>
    </row>
    <row r="80" spans="1:5">
      <c r="A80" s="3">
        <v>21</v>
      </c>
      <c r="B80" s="4">
        <v>1</v>
      </c>
      <c r="C80" s="4">
        <v>1</v>
      </c>
      <c r="D80" s="4">
        <v>0.83333333333333337</v>
      </c>
      <c r="E80" s="5">
        <v>0.8</v>
      </c>
    </row>
    <row r="81" spans="1:5">
      <c r="A81" s="3">
        <v>22</v>
      </c>
      <c r="B81" s="4">
        <v>1</v>
      </c>
      <c r="C81" s="4">
        <v>0.8</v>
      </c>
      <c r="D81" s="4">
        <v>0.83333333333333337</v>
      </c>
      <c r="E81" s="5">
        <v>0.8</v>
      </c>
    </row>
    <row r="82" spans="1:5">
      <c r="A82" s="3">
        <v>23</v>
      </c>
      <c r="B82" s="7">
        <v>1</v>
      </c>
      <c r="C82" s="7">
        <v>0.8</v>
      </c>
      <c r="D82" s="7">
        <v>0.83333333333333337</v>
      </c>
      <c r="E82" s="8">
        <v>0.60000000000000009</v>
      </c>
    </row>
    <row r="85" spans="1:5">
      <c r="A85" s="33" t="s">
        <v>48</v>
      </c>
      <c r="B85" s="33"/>
    </row>
    <row r="86" spans="1:5">
      <c r="A86" s="22" t="s">
        <v>49</v>
      </c>
      <c r="B86" s="9">
        <v>0.73644752271702729</v>
      </c>
    </row>
    <row r="87" spans="1:5">
      <c r="A87" s="23" t="s">
        <v>50</v>
      </c>
      <c r="B87" s="11">
        <v>0.39243516718762356</v>
      </c>
    </row>
  </sheetData>
  <mergeCells count="6">
    <mergeCell ref="A85:B85"/>
    <mergeCell ref="A1:F1"/>
    <mergeCell ref="I1:N1"/>
    <mergeCell ref="A30:F30"/>
    <mergeCell ref="I30:N30"/>
    <mergeCell ref="B57:E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EE4A-08C1-B447-8414-C2F8A6015ABD}">
  <dimension ref="A2:Q113"/>
  <sheetViews>
    <sheetView workbookViewId="0">
      <selection activeCell="F13" sqref="F13"/>
    </sheetView>
  </sheetViews>
  <sheetFormatPr baseColWidth="10" defaultRowHeight="16"/>
  <sheetData>
    <row r="2" spans="1:11">
      <c r="A2" s="43" t="s">
        <v>42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>
      <c r="B3" s="44" t="s">
        <v>43</v>
      </c>
      <c r="C3" s="44"/>
      <c r="D3" s="44"/>
      <c r="F3" s="45" t="s">
        <v>44</v>
      </c>
      <c r="G3" s="45"/>
      <c r="H3" s="45"/>
      <c r="J3" s="45" t="s">
        <v>45</v>
      </c>
      <c r="K3" s="45"/>
    </row>
    <row r="4" spans="1:11">
      <c r="A4" s="31" t="s">
        <v>36</v>
      </c>
      <c r="B4" s="17" t="s">
        <v>51</v>
      </c>
      <c r="C4" s="17" t="s">
        <v>52</v>
      </c>
      <c r="D4" s="17" t="s">
        <v>53</v>
      </c>
      <c r="E4" s="18"/>
      <c r="F4" s="17" t="s">
        <v>54</v>
      </c>
      <c r="G4" s="17" t="s">
        <v>55</v>
      </c>
      <c r="H4" s="17" t="s">
        <v>56</v>
      </c>
      <c r="I4" s="18"/>
      <c r="J4" s="17" t="s">
        <v>57</v>
      </c>
      <c r="K4" s="17" t="s">
        <v>58</v>
      </c>
    </row>
    <row r="5" spans="1:11">
      <c r="A5" s="31" t="s">
        <v>37</v>
      </c>
      <c r="B5" s="28"/>
      <c r="C5" s="28"/>
      <c r="D5" s="28"/>
      <c r="E5" s="4"/>
      <c r="F5" s="28"/>
      <c r="G5" s="28"/>
      <c r="H5" s="28"/>
      <c r="I5" s="4"/>
      <c r="J5" s="28"/>
      <c r="K5" s="28"/>
    </row>
    <row r="6" spans="1:11">
      <c r="A6" s="30">
        <v>23</v>
      </c>
      <c r="B6" s="29">
        <v>0</v>
      </c>
      <c r="C6" s="29">
        <v>5</v>
      </c>
      <c r="D6" s="29">
        <f>(1*C6/K6)</f>
        <v>0.55555555555555558</v>
      </c>
      <c r="E6" s="7"/>
      <c r="F6" s="29">
        <v>1</v>
      </c>
      <c r="G6" s="29">
        <v>4</v>
      </c>
      <c r="H6" s="29">
        <f>(1-D6)</f>
        <v>0.44444444444444442</v>
      </c>
      <c r="I6" s="7"/>
      <c r="J6" s="29">
        <v>1</v>
      </c>
      <c r="K6" s="29">
        <v>9</v>
      </c>
    </row>
    <row r="7" spans="1:11">
      <c r="A7" s="4"/>
      <c r="F7" s="4"/>
      <c r="G7" s="4"/>
    </row>
    <row r="8" spans="1:11">
      <c r="A8" s="1" t="s">
        <v>60</v>
      </c>
      <c r="B8">
        <f>SUM(B6)</f>
        <v>0</v>
      </c>
      <c r="F8" s="4"/>
      <c r="G8" s="4"/>
    </row>
    <row r="9" spans="1:11">
      <c r="A9" s="1" t="s">
        <v>61</v>
      </c>
      <c r="B9">
        <f>SUM(D6)</f>
        <v>0.55555555555555558</v>
      </c>
      <c r="F9" s="4"/>
      <c r="G9" s="4"/>
    </row>
    <row r="10" spans="1:11">
      <c r="A10" s="1" t="s">
        <v>62</v>
      </c>
      <c r="B10">
        <f>SUM(F6)</f>
        <v>1</v>
      </c>
      <c r="F10" s="4"/>
      <c r="G10" s="4"/>
    </row>
    <row r="11" spans="1:11">
      <c r="A11" s="1" t="s">
        <v>63</v>
      </c>
      <c r="B11">
        <f>SUM(H6)</f>
        <v>0.44444444444444442</v>
      </c>
      <c r="F11" s="4"/>
      <c r="G11" s="4"/>
    </row>
    <row r="12" spans="1:11">
      <c r="A12" s="1" t="s">
        <v>65</v>
      </c>
      <c r="B12">
        <f>B8/B9</f>
        <v>0</v>
      </c>
    </row>
    <row r="13" spans="1:11">
      <c r="A13" s="1" t="s">
        <v>64</v>
      </c>
      <c r="B13">
        <f>(B10/B11)</f>
        <v>2.25</v>
      </c>
    </row>
    <row r="14" spans="1:11">
      <c r="A14" s="1" t="s">
        <v>59</v>
      </c>
      <c r="B14">
        <f>(B12/B13)</f>
        <v>0</v>
      </c>
    </row>
    <row r="16" spans="1:11">
      <c r="A16" s="12" t="s">
        <v>38</v>
      </c>
      <c r="B16" s="13">
        <f>(((B8-B9)^2)/B9)+(((B10-B11)^2)/B11)</f>
        <v>1.25</v>
      </c>
      <c r="C16" s="13"/>
      <c r="D16" s="14"/>
    </row>
    <row r="17" spans="1:11">
      <c r="A17" s="3" t="s">
        <v>39</v>
      </c>
      <c r="B17" s="4">
        <v>1</v>
      </c>
      <c r="C17" s="4"/>
      <c r="D17" s="5"/>
    </row>
    <row r="18" spans="1:11">
      <c r="A18" s="15" t="s">
        <v>40</v>
      </c>
      <c r="B18" s="16">
        <f>_xlfn.CHISQ.DIST(B16,B17,TRUE)</f>
        <v>0.73644752271702729</v>
      </c>
      <c r="C18" s="32" t="s">
        <v>41</v>
      </c>
      <c r="D18" s="8"/>
    </row>
    <row r="21" spans="1:11">
      <c r="A21" s="43" t="s">
        <v>46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>
      <c r="B22" s="44" t="s">
        <v>43</v>
      </c>
      <c r="C22" s="44"/>
      <c r="D22" s="44"/>
      <c r="F22" s="46" t="s">
        <v>44</v>
      </c>
      <c r="G22" s="46"/>
      <c r="H22" s="46"/>
      <c r="J22" s="46" t="s">
        <v>45</v>
      </c>
      <c r="K22" s="46"/>
    </row>
    <row r="23" spans="1:11">
      <c r="A23" s="25" t="s">
        <v>36</v>
      </c>
      <c r="B23" s="25" t="s">
        <v>51</v>
      </c>
      <c r="C23" s="26" t="s">
        <v>52</v>
      </c>
      <c r="D23" s="17" t="s">
        <v>53</v>
      </c>
      <c r="E23" s="4"/>
      <c r="F23" s="17" t="s">
        <v>54</v>
      </c>
      <c r="G23" s="25" t="s">
        <v>55</v>
      </c>
      <c r="H23" s="17" t="s">
        <v>56</v>
      </c>
      <c r="I23" s="4"/>
      <c r="J23" s="17" t="s">
        <v>57</v>
      </c>
      <c r="K23" s="25" t="s">
        <v>58</v>
      </c>
    </row>
    <row r="24" spans="1:11">
      <c r="A24" s="26" t="s">
        <v>37</v>
      </c>
      <c r="B24" s="27"/>
      <c r="C24" s="27"/>
      <c r="D24" s="28"/>
      <c r="E24" s="4"/>
      <c r="F24" s="27"/>
      <c r="G24" s="27"/>
      <c r="H24" s="27"/>
      <c r="I24" s="4"/>
      <c r="J24" s="27"/>
      <c r="K24" s="27"/>
    </row>
    <row r="25" spans="1:11">
      <c r="A25" s="3">
        <v>16</v>
      </c>
      <c r="B25" s="28">
        <v>1</v>
      </c>
      <c r="C25" s="28">
        <v>6</v>
      </c>
      <c r="D25" s="28">
        <f>(1*C25/K25)</f>
        <v>0.5</v>
      </c>
      <c r="E25" s="4"/>
      <c r="F25" s="28">
        <v>0</v>
      </c>
      <c r="G25" s="28">
        <v>6</v>
      </c>
      <c r="H25" s="28">
        <f>(1-D25)</f>
        <v>0.5</v>
      </c>
      <c r="I25" s="4"/>
      <c r="J25" s="28">
        <f>(B25+F25)</f>
        <v>1</v>
      </c>
      <c r="K25" s="28">
        <f>C25+G25</f>
        <v>12</v>
      </c>
    </row>
    <row r="26" spans="1:11">
      <c r="A26" s="3">
        <v>19</v>
      </c>
      <c r="B26" s="28">
        <v>0</v>
      </c>
      <c r="C26" s="28">
        <v>4</v>
      </c>
      <c r="D26" s="28">
        <f t="shared" ref="D26:D27" si="0">(1*C26/K26)</f>
        <v>0.44444444444444442</v>
      </c>
      <c r="E26" s="4"/>
      <c r="F26" s="28">
        <v>1</v>
      </c>
      <c r="G26" s="28">
        <v>5</v>
      </c>
      <c r="H26" s="28">
        <f t="shared" ref="H26:H27" si="1">(1-D26)</f>
        <v>0.55555555555555558</v>
      </c>
      <c r="I26" s="4"/>
      <c r="J26" s="28">
        <f t="shared" ref="J26:J27" si="2">(B26+F26)</f>
        <v>1</v>
      </c>
      <c r="K26" s="28">
        <f t="shared" ref="K26:K27" si="3">C26+G26</f>
        <v>9</v>
      </c>
    </row>
    <row r="27" spans="1:11">
      <c r="A27" s="6">
        <v>24</v>
      </c>
      <c r="B27" s="29">
        <v>0</v>
      </c>
      <c r="C27" s="29">
        <v>4</v>
      </c>
      <c r="D27" s="29">
        <f t="shared" si="0"/>
        <v>0.5</v>
      </c>
      <c r="E27" s="7"/>
      <c r="F27" s="29">
        <v>1</v>
      </c>
      <c r="G27" s="29">
        <v>4</v>
      </c>
      <c r="H27" s="29">
        <f t="shared" si="1"/>
        <v>0.5</v>
      </c>
      <c r="I27" s="7"/>
      <c r="J27" s="29">
        <f t="shared" si="2"/>
        <v>1</v>
      </c>
      <c r="K27" s="29">
        <f t="shared" si="3"/>
        <v>8</v>
      </c>
    </row>
    <row r="29" spans="1:11">
      <c r="A29" s="1" t="s">
        <v>60</v>
      </c>
      <c r="B29">
        <f>SUM(B25:B27)</f>
        <v>1</v>
      </c>
    </row>
    <row r="30" spans="1:11">
      <c r="A30" s="1" t="s">
        <v>61</v>
      </c>
      <c r="B30">
        <f>SUM(D25:D27)</f>
        <v>1.4444444444444444</v>
      </c>
    </row>
    <row r="31" spans="1:11">
      <c r="A31" s="1" t="s">
        <v>62</v>
      </c>
      <c r="B31">
        <f>SUM(F25:F27)</f>
        <v>2</v>
      </c>
    </row>
    <row r="32" spans="1:11">
      <c r="A32" s="1" t="s">
        <v>63</v>
      </c>
      <c r="B32">
        <f>SUM(H25:H27)</f>
        <v>1.5555555555555556</v>
      </c>
    </row>
    <row r="33" spans="1:14">
      <c r="A33" s="1" t="s">
        <v>65</v>
      </c>
      <c r="B33">
        <f>(B29/B30)</f>
        <v>0.69230769230769229</v>
      </c>
    </row>
    <row r="34" spans="1:14">
      <c r="A34" s="1" t="s">
        <v>64</v>
      </c>
      <c r="B34">
        <f>(B31/B32)</f>
        <v>1.2857142857142856</v>
      </c>
    </row>
    <row r="35" spans="1:14">
      <c r="A35" s="1" t="s">
        <v>59</v>
      </c>
      <c r="B35">
        <f>(B33/B34)</f>
        <v>0.53846153846153855</v>
      </c>
    </row>
    <row r="37" spans="1:14">
      <c r="A37" s="12" t="s">
        <v>38</v>
      </c>
      <c r="B37" s="13">
        <f>(((B29-B30)^2)/B30)+(((B31-B32)^2)/B32)</f>
        <v>0.26373626373626369</v>
      </c>
      <c r="C37" s="13"/>
      <c r="D37" s="14"/>
    </row>
    <row r="38" spans="1:14">
      <c r="A38" s="3" t="s">
        <v>39</v>
      </c>
      <c r="B38" s="4">
        <v>1</v>
      </c>
      <c r="C38" s="4"/>
      <c r="D38" s="5"/>
    </row>
    <row r="39" spans="1:14">
      <c r="A39" s="15" t="s">
        <v>40</v>
      </c>
      <c r="B39" s="16">
        <f>_xlfn.CHISQ.DIST(B37,B38,TRUE)</f>
        <v>0.39243516718762356</v>
      </c>
      <c r="C39" s="32" t="s">
        <v>47</v>
      </c>
      <c r="D39" s="8"/>
    </row>
    <row r="41" spans="1:14">
      <c r="A41" s="24"/>
      <c r="B41" s="24"/>
      <c r="C41" s="24"/>
      <c r="D41" s="24"/>
      <c r="E41" s="24"/>
      <c r="F41" s="24"/>
      <c r="G41" s="10"/>
      <c r="H41" s="10"/>
      <c r="I41" s="24"/>
      <c r="J41" s="24"/>
      <c r="K41" s="24"/>
      <c r="L41" s="24"/>
      <c r="M41" s="24"/>
      <c r="N41" s="24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87" spans="1:1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>
      <c r="A88" s="47"/>
      <c r="B88" s="47"/>
      <c r="C88" s="47"/>
      <c r="D88" s="47"/>
      <c r="E88" s="47"/>
      <c r="F88" s="47"/>
      <c r="G88" s="10"/>
      <c r="H88" s="10"/>
      <c r="I88" s="47"/>
      <c r="J88" s="47"/>
      <c r="K88" s="47"/>
      <c r="L88" s="47"/>
      <c r="M88" s="47"/>
      <c r="N88" s="47"/>
      <c r="O88" s="10"/>
      <c r="P88" s="10"/>
      <c r="Q88" s="10"/>
    </row>
    <row r="89" spans="1:1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</sheetData>
  <mergeCells count="10">
    <mergeCell ref="B22:D22"/>
    <mergeCell ref="F22:H22"/>
    <mergeCell ref="J22:K22"/>
    <mergeCell ref="A88:F88"/>
    <mergeCell ref="I88:N88"/>
    <mergeCell ref="A2:K2"/>
    <mergeCell ref="B3:D3"/>
    <mergeCell ref="F3:H3"/>
    <mergeCell ref="J3:K3"/>
    <mergeCell ref="A21:K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47FB-8BE7-054F-8A05-28D3596D4741}">
  <dimension ref="A1:D7"/>
  <sheetViews>
    <sheetView workbookViewId="0">
      <selection activeCell="E1" sqref="E1"/>
    </sheetView>
  </sheetViews>
  <sheetFormatPr baseColWidth="10" defaultRowHeight="16"/>
  <sheetData>
    <row r="1" spans="1:4">
      <c r="A1" s="2" t="s">
        <v>1</v>
      </c>
      <c r="B1" s="2" t="s">
        <v>3</v>
      </c>
      <c r="C1" s="2" t="s">
        <v>4</v>
      </c>
      <c r="D1" s="2" t="s">
        <v>2</v>
      </c>
    </row>
    <row r="2" spans="1:4">
      <c r="A2" t="s">
        <v>5</v>
      </c>
      <c r="B2" t="s">
        <v>11</v>
      </c>
      <c r="C2" t="s">
        <v>17</v>
      </c>
      <c r="D2" t="s">
        <v>23</v>
      </c>
    </row>
    <row r="3" spans="1:4">
      <c r="A3" t="s">
        <v>6</v>
      </c>
      <c r="B3" t="s">
        <v>12</v>
      </c>
      <c r="C3" t="s">
        <v>18</v>
      </c>
      <c r="D3" t="s">
        <v>24</v>
      </c>
    </row>
    <row r="4" spans="1:4">
      <c r="A4" t="s">
        <v>7</v>
      </c>
      <c r="B4" t="s">
        <v>13</v>
      </c>
      <c r="C4" t="s">
        <v>19</v>
      </c>
      <c r="D4" t="s">
        <v>25</v>
      </c>
    </row>
    <row r="5" spans="1:4">
      <c r="A5" t="s">
        <v>8</v>
      </c>
      <c r="B5" t="s">
        <v>14</v>
      </c>
      <c r="C5" t="s">
        <v>20</v>
      </c>
      <c r="D5" t="s">
        <v>26</v>
      </c>
    </row>
    <row r="6" spans="1:4">
      <c r="A6" t="s">
        <v>9</v>
      </c>
      <c r="B6" t="s">
        <v>15</v>
      </c>
      <c r="C6" t="s">
        <v>21</v>
      </c>
      <c r="D6" t="s">
        <v>27</v>
      </c>
    </row>
    <row r="7" spans="1:4">
      <c r="A7" t="s">
        <v>10</v>
      </c>
      <c r="B7" t="s">
        <v>16</v>
      </c>
      <c r="C7" t="s">
        <v>22</v>
      </c>
      <c r="D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Survival Curve</vt:lpstr>
      <vt:lpstr>Log Rank Test</vt:lpstr>
      <vt:lpstr>Mice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2019-01-30T01:23:07Z</dcterms:created>
  <dcterms:modified xsi:type="dcterms:W3CDTF">2019-02-21T05:15:30Z</dcterms:modified>
</cp:coreProperties>
</file>