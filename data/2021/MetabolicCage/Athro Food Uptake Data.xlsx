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yu/Desktop/Athro Docs:Files/Metabolic Cage Excel Sheets/"/>
    </mc:Choice>
  </mc:AlternateContent>
  <xr:revisionPtr revIDLastSave="0" documentId="8_{1638BCC5-FD82-5C46-8E49-E8F553FB6601}" xr6:coauthVersionLast="43" xr6:coauthVersionMax="43" xr10:uidLastSave="{00000000-0000-0000-0000-000000000000}"/>
  <bookViews>
    <workbookView xWindow="560" yWindow="460" windowWidth="25040" windowHeight="14120" activeTab="3" xr2:uid="{7EF94E66-A246-DF42-989A-EA6F7BA7F212}"/>
  </bookViews>
  <sheets>
    <sheet name="Non-cum 1day avg of avgs" sheetId="7" r:id="rId1"/>
    <sheet name="Non-Cumulative 1 day avg" sheetId="5" state="hidden" r:id="rId2"/>
    <sheet name="Food Uptake 1hr" sheetId="4" r:id="rId3"/>
    <sheet name="Raw Data and Rebinning Avg's" sheetId="1" r:id="rId4"/>
    <sheet name="1.5 day food intake avg" sheetId="2" state="hidden" r:id="rId5"/>
    <sheet name="1 day food intake t-test" sheetId="3" state="hidden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32" i="7" l="1"/>
  <c r="AV33" i="7"/>
  <c r="AV34" i="7"/>
  <c r="AV35" i="7"/>
  <c r="AV36" i="7"/>
  <c r="AV37" i="7"/>
  <c r="AV38" i="7"/>
  <c r="AV39" i="7"/>
  <c r="AV40" i="7"/>
  <c r="AV41" i="7"/>
  <c r="AV42" i="7"/>
  <c r="AV43" i="7"/>
  <c r="AV44" i="7"/>
  <c r="AV45" i="7"/>
  <c r="AV46" i="7"/>
  <c r="AV47" i="7"/>
  <c r="AV48" i="7"/>
  <c r="AV49" i="7"/>
  <c r="AV50" i="7"/>
  <c r="AV51" i="7"/>
  <c r="AV52" i="7"/>
  <c r="AV53" i="7"/>
  <c r="AV54" i="7"/>
  <c r="AV55" i="7"/>
  <c r="AV31" i="7"/>
  <c r="AU32" i="7"/>
  <c r="AU33" i="7"/>
  <c r="AU34" i="7"/>
  <c r="AU35" i="7"/>
  <c r="AU36" i="7"/>
  <c r="AU37" i="7"/>
  <c r="AU38" i="7"/>
  <c r="AU39" i="7"/>
  <c r="AU40" i="7"/>
  <c r="AU41" i="7"/>
  <c r="AU42" i="7"/>
  <c r="AU43" i="7"/>
  <c r="AU44" i="7"/>
  <c r="AU45" i="7"/>
  <c r="AU46" i="7"/>
  <c r="AU47" i="7"/>
  <c r="AU48" i="7"/>
  <c r="AU49" i="7"/>
  <c r="AU50" i="7"/>
  <c r="AU51" i="7"/>
  <c r="AU52" i="7"/>
  <c r="AU53" i="7"/>
  <c r="AU54" i="7"/>
  <c r="AU55" i="7"/>
  <c r="AT32" i="7"/>
  <c r="AT33" i="7"/>
  <c r="AT34" i="7"/>
  <c r="AT35" i="7"/>
  <c r="AT36" i="7"/>
  <c r="AT37" i="7"/>
  <c r="AT38" i="7"/>
  <c r="AT39" i="7"/>
  <c r="AT40" i="7"/>
  <c r="AT41" i="7"/>
  <c r="AT42" i="7"/>
  <c r="AT43" i="7"/>
  <c r="AT44" i="7"/>
  <c r="AT45" i="7"/>
  <c r="AT46" i="7"/>
  <c r="AT47" i="7"/>
  <c r="AT48" i="7"/>
  <c r="AT49" i="7"/>
  <c r="AT50" i="7"/>
  <c r="AT51" i="7"/>
  <c r="AT52" i="7"/>
  <c r="AT53" i="7"/>
  <c r="AT54" i="7"/>
  <c r="AT55" i="7"/>
  <c r="AU31" i="7"/>
  <c r="AT31" i="7"/>
  <c r="AS31" i="7"/>
  <c r="AP32" i="7"/>
  <c r="AP33" i="7"/>
  <c r="AP34" i="7"/>
  <c r="AP35" i="7"/>
  <c r="AP36" i="7"/>
  <c r="AP37" i="7"/>
  <c r="AP38" i="7"/>
  <c r="AP39" i="7"/>
  <c r="AP40" i="7"/>
  <c r="AP41" i="7"/>
  <c r="AP42" i="7"/>
  <c r="AP43" i="7"/>
  <c r="AP44" i="7"/>
  <c r="AP45" i="7"/>
  <c r="AP46" i="7"/>
  <c r="AP47" i="7"/>
  <c r="AP48" i="7"/>
  <c r="AP49" i="7"/>
  <c r="AP50" i="7"/>
  <c r="AP51" i="7"/>
  <c r="AP52" i="7"/>
  <c r="AP53" i="7"/>
  <c r="AP54" i="7"/>
  <c r="AP55" i="7"/>
  <c r="AP31" i="7"/>
  <c r="AO32" i="7"/>
  <c r="AO33" i="7"/>
  <c r="AO34" i="7"/>
  <c r="AO35" i="7"/>
  <c r="AO36" i="7"/>
  <c r="AO37" i="7"/>
  <c r="AO38" i="7"/>
  <c r="AO39" i="7"/>
  <c r="AO40" i="7"/>
  <c r="AO41" i="7"/>
  <c r="AO42" i="7"/>
  <c r="AO43" i="7"/>
  <c r="AO44" i="7"/>
  <c r="AO45" i="7"/>
  <c r="AO46" i="7"/>
  <c r="AO47" i="7"/>
  <c r="AO48" i="7"/>
  <c r="AO49" i="7"/>
  <c r="AO50" i="7"/>
  <c r="AO51" i="7"/>
  <c r="AO52" i="7"/>
  <c r="AO53" i="7"/>
  <c r="AO54" i="7"/>
  <c r="AO55" i="7"/>
  <c r="AO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31" i="7"/>
  <c r="AM31" i="7"/>
  <c r="AS55" i="7"/>
  <c r="AM55" i="7"/>
  <c r="AS54" i="7"/>
  <c r="AM54" i="7"/>
  <c r="AS53" i="7"/>
  <c r="AM53" i="7"/>
  <c r="AS52" i="7"/>
  <c r="AM52" i="7"/>
  <c r="AS51" i="7"/>
  <c r="AM51" i="7"/>
  <c r="AS50" i="7"/>
  <c r="AM50" i="7"/>
  <c r="AS49" i="7"/>
  <c r="AM49" i="7"/>
  <c r="AS48" i="7"/>
  <c r="AM48" i="7"/>
  <c r="AS47" i="7"/>
  <c r="AM47" i="7"/>
  <c r="AS46" i="7"/>
  <c r="AM46" i="7"/>
  <c r="AS45" i="7"/>
  <c r="AM45" i="7"/>
  <c r="AS44" i="7"/>
  <c r="AM44" i="7"/>
  <c r="AS43" i="7"/>
  <c r="AM43" i="7"/>
  <c r="AS42" i="7"/>
  <c r="AM42" i="7"/>
  <c r="AS41" i="7"/>
  <c r="AM41" i="7"/>
  <c r="AS40" i="7"/>
  <c r="AM40" i="7"/>
  <c r="AS39" i="7"/>
  <c r="AM39" i="7"/>
  <c r="AS38" i="7"/>
  <c r="AM38" i="7"/>
  <c r="AS37" i="7"/>
  <c r="AM37" i="7"/>
  <c r="AS36" i="7"/>
  <c r="AM36" i="7"/>
  <c r="AS35" i="7"/>
  <c r="AM35" i="7"/>
  <c r="AS34" i="7"/>
  <c r="AM34" i="7"/>
  <c r="AS33" i="7"/>
  <c r="AM33" i="7"/>
  <c r="AS32" i="7"/>
  <c r="AM32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AM26" i="7"/>
  <c r="BA25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AM3" i="7"/>
  <c r="AM4" i="7"/>
  <c r="AM5" i="7"/>
  <c r="AM6" i="7"/>
  <c r="AM7" i="7"/>
  <c r="AM8" i="7"/>
  <c r="AM9" i="7"/>
  <c r="AM10" i="7"/>
  <c r="AM11" i="7"/>
  <c r="AM12" i="7"/>
  <c r="AM13" i="7"/>
  <c r="AM14" i="7"/>
  <c r="AM15" i="7"/>
  <c r="AM16" i="7"/>
  <c r="AM17" i="7"/>
  <c r="AM18" i="7"/>
  <c r="AM19" i="7"/>
  <c r="AM20" i="7"/>
  <c r="AM21" i="7"/>
  <c r="AM22" i="7"/>
  <c r="AM23" i="7"/>
  <c r="AM24" i="7"/>
  <c r="AM25" i="7"/>
  <c r="AR2" i="7"/>
  <c r="AN2" i="7"/>
  <c r="AO2" i="7"/>
  <c r="AP2" i="7"/>
  <c r="AQ2" i="7"/>
  <c r="AS2" i="7"/>
  <c r="AT2" i="7"/>
  <c r="AU2" i="7"/>
  <c r="AV2" i="7"/>
  <c r="AW2" i="7"/>
  <c r="AX2" i="7"/>
  <c r="AY2" i="7"/>
  <c r="AZ2" i="7"/>
  <c r="BA2" i="7"/>
  <c r="AM2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AL3" i="5" l="1"/>
  <c r="U26" i="5" l="1"/>
  <c r="U5" i="5"/>
  <c r="AC4" i="3"/>
  <c r="BA56" i="5" l="1"/>
  <c r="AZ56" i="5"/>
  <c r="AY56" i="5"/>
  <c r="AX56" i="5"/>
  <c r="AU56" i="5"/>
  <c r="AT56" i="5"/>
  <c r="AS56" i="5"/>
  <c r="AR56" i="5"/>
  <c r="BA55" i="5"/>
  <c r="AZ55" i="5"/>
  <c r="AY55" i="5"/>
  <c r="AX55" i="5"/>
  <c r="AU55" i="5"/>
  <c r="AT55" i="5"/>
  <c r="AS55" i="5"/>
  <c r="AR55" i="5"/>
  <c r="BA54" i="5"/>
  <c r="AZ54" i="5"/>
  <c r="AY54" i="5"/>
  <c r="AX54" i="5"/>
  <c r="AU54" i="5"/>
  <c r="AT54" i="5"/>
  <c r="AS54" i="5"/>
  <c r="AR54" i="5"/>
  <c r="BA53" i="5"/>
  <c r="AZ53" i="5"/>
  <c r="AY53" i="5"/>
  <c r="AX53" i="5"/>
  <c r="AU53" i="5"/>
  <c r="AT53" i="5"/>
  <c r="AS53" i="5"/>
  <c r="AR53" i="5"/>
  <c r="BA52" i="5"/>
  <c r="AZ52" i="5"/>
  <c r="AY52" i="5"/>
  <c r="AX52" i="5"/>
  <c r="AU52" i="5"/>
  <c r="AT52" i="5"/>
  <c r="AS52" i="5"/>
  <c r="AR52" i="5"/>
  <c r="BA51" i="5"/>
  <c r="AZ51" i="5"/>
  <c r="AY51" i="5"/>
  <c r="AX51" i="5"/>
  <c r="AU51" i="5"/>
  <c r="AT51" i="5"/>
  <c r="AS51" i="5"/>
  <c r="AR51" i="5"/>
  <c r="BA50" i="5"/>
  <c r="AZ50" i="5"/>
  <c r="AY50" i="5"/>
  <c r="AX50" i="5"/>
  <c r="AU50" i="5"/>
  <c r="AT50" i="5"/>
  <c r="AS50" i="5"/>
  <c r="AR50" i="5"/>
  <c r="BA49" i="5"/>
  <c r="AZ49" i="5"/>
  <c r="AY49" i="5"/>
  <c r="AX49" i="5"/>
  <c r="AU49" i="5"/>
  <c r="AT49" i="5"/>
  <c r="AS49" i="5"/>
  <c r="AR49" i="5"/>
  <c r="BA48" i="5"/>
  <c r="AZ48" i="5"/>
  <c r="AY48" i="5"/>
  <c r="AX48" i="5"/>
  <c r="AU48" i="5"/>
  <c r="AT48" i="5"/>
  <c r="AS48" i="5"/>
  <c r="AR48" i="5"/>
  <c r="BA47" i="5"/>
  <c r="AZ47" i="5"/>
  <c r="AY47" i="5"/>
  <c r="AX47" i="5"/>
  <c r="AU47" i="5"/>
  <c r="AT47" i="5"/>
  <c r="AS47" i="5"/>
  <c r="AR47" i="5"/>
  <c r="BA46" i="5"/>
  <c r="AZ46" i="5"/>
  <c r="AY46" i="5"/>
  <c r="AX46" i="5"/>
  <c r="AU46" i="5"/>
  <c r="AT46" i="5"/>
  <c r="AS46" i="5"/>
  <c r="AR46" i="5"/>
  <c r="BA45" i="5"/>
  <c r="AZ45" i="5"/>
  <c r="AY45" i="5"/>
  <c r="AX45" i="5"/>
  <c r="AU45" i="5"/>
  <c r="AT45" i="5"/>
  <c r="AS45" i="5"/>
  <c r="AR45" i="5"/>
  <c r="BA44" i="5"/>
  <c r="AZ44" i="5"/>
  <c r="AY44" i="5"/>
  <c r="AX44" i="5"/>
  <c r="AU44" i="5"/>
  <c r="AT44" i="5"/>
  <c r="AS44" i="5"/>
  <c r="AR44" i="5"/>
  <c r="BA43" i="5"/>
  <c r="AZ43" i="5"/>
  <c r="AY43" i="5"/>
  <c r="AX43" i="5"/>
  <c r="AU43" i="5"/>
  <c r="AT43" i="5"/>
  <c r="AS43" i="5"/>
  <c r="AR43" i="5"/>
  <c r="BA42" i="5"/>
  <c r="AZ42" i="5"/>
  <c r="AY42" i="5"/>
  <c r="AX42" i="5"/>
  <c r="AU42" i="5"/>
  <c r="AT42" i="5"/>
  <c r="AS42" i="5"/>
  <c r="AR42" i="5"/>
  <c r="BA41" i="5"/>
  <c r="AZ41" i="5"/>
  <c r="AY41" i="5"/>
  <c r="AX41" i="5"/>
  <c r="AU41" i="5"/>
  <c r="AT41" i="5"/>
  <c r="AS41" i="5"/>
  <c r="AR41" i="5"/>
  <c r="BA40" i="5"/>
  <c r="AZ40" i="5"/>
  <c r="AY40" i="5"/>
  <c r="AX40" i="5"/>
  <c r="AU40" i="5"/>
  <c r="AT40" i="5"/>
  <c r="AS40" i="5"/>
  <c r="AR40" i="5"/>
  <c r="BA39" i="5"/>
  <c r="AZ39" i="5"/>
  <c r="AY39" i="5"/>
  <c r="AX39" i="5"/>
  <c r="AU39" i="5"/>
  <c r="AT39" i="5"/>
  <c r="AS39" i="5"/>
  <c r="AR39" i="5"/>
  <c r="BA38" i="5"/>
  <c r="AZ38" i="5"/>
  <c r="AY38" i="5"/>
  <c r="AX38" i="5"/>
  <c r="AU38" i="5"/>
  <c r="AT38" i="5"/>
  <c r="AS38" i="5"/>
  <c r="AR38" i="5"/>
  <c r="BA37" i="5"/>
  <c r="AZ37" i="5"/>
  <c r="AY37" i="5"/>
  <c r="AX37" i="5"/>
  <c r="AU37" i="5"/>
  <c r="AT37" i="5"/>
  <c r="AS37" i="5"/>
  <c r="AR37" i="5"/>
  <c r="BA36" i="5"/>
  <c r="AZ36" i="5"/>
  <c r="AY36" i="5"/>
  <c r="AX36" i="5"/>
  <c r="AU36" i="5"/>
  <c r="AT36" i="5"/>
  <c r="AS36" i="5"/>
  <c r="AR36" i="5"/>
  <c r="BA35" i="5"/>
  <c r="AZ35" i="5"/>
  <c r="AY35" i="5"/>
  <c r="AX35" i="5"/>
  <c r="AU35" i="5"/>
  <c r="AT35" i="5"/>
  <c r="AS35" i="5"/>
  <c r="AR35" i="5"/>
  <c r="BA34" i="5"/>
  <c r="AZ34" i="5"/>
  <c r="AY34" i="5"/>
  <c r="AX34" i="5"/>
  <c r="AU34" i="5"/>
  <c r="AT34" i="5"/>
  <c r="AS34" i="5"/>
  <c r="AR34" i="5"/>
  <c r="BA33" i="5"/>
  <c r="AZ33" i="5"/>
  <c r="AY33" i="5"/>
  <c r="AX33" i="5"/>
  <c r="AU33" i="5"/>
  <c r="AT33" i="5"/>
  <c r="AS33" i="5"/>
  <c r="AR33" i="5"/>
  <c r="BA32" i="5"/>
  <c r="AZ32" i="5"/>
  <c r="AY32" i="5"/>
  <c r="AX32" i="5"/>
  <c r="AU32" i="5"/>
  <c r="AT32" i="5"/>
  <c r="AS32" i="5"/>
  <c r="AR32" i="5"/>
  <c r="AO3" i="5"/>
  <c r="AO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1" i="5"/>
  <c r="AO92" i="5"/>
  <c r="AO93" i="5"/>
  <c r="AO94" i="5"/>
  <c r="AO95" i="5"/>
  <c r="AO96" i="5"/>
  <c r="AO97" i="5"/>
  <c r="AO98" i="5"/>
  <c r="AO2" i="5"/>
  <c r="AN2" i="5"/>
  <c r="AN98" i="5"/>
  <c r="AN3" i="5"/>
  <c r="AN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3" i="5"/>
  <c r="AN34" i="5"/>
  <c r="AN35" i="5"/>
  <c r="AN36" i="5"/>
  <c r="AN37" i="5"/>
  <c r="AN38" i="5"/>
  <c r="AN39" i="5"/>
  <c r="AN40" i="5"/>
  <c r="AN41" i="5"/>
  <c r="AN42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55" i="5"/>
  <c r="AN56" i="5"/>
  <c r="AN57" i="5"/>
  <c r="AN58" i="5"/>
  <c r="AN59" i="5"/>
  <c r="AN60" i="5"/>
  <c r="AN61" i="5"/>
  <c r="AN62" i="5"/>
  <c r="AN63" i="5"/>
  <c r="AN64" i="5"/>
  <c r="AN65" i="5"/>
  <c r="AN66" i="5"/>
  <c r="AN67" i="5"/>
  <c r="AN68" i="5"/>
  <c r="AN69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91" i="5"/>
  <c r="AN92" i="5"/>
  <c r="AN93" i="5"/>
  <c r="AN94" i="5"/>
  <c r="AN95" i="5"/>
  <c r="AN96" i="5"/>
  <c r="AN97" i="5"/>
  <c r="AM3" i="5"/>
  <c r="AM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2" i="5"/>
  <c r="AL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2" i="5"/>
  <c r="AL93" i="5"/>
  <c r="AL94" i="5"/>
  <c r="AL95" i="5"/>
  <c r="AL96" i="5"/>
  <c r="AL97" i="5"/>
  <c r="AL98" i="5"/>
  <c r="AL2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W98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7" i="5"/>
  <c r="U6" i="5"/>
  <c r="U4" i="5"/>
  <c r="U3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U2" i="5"/>
  <c r="W14" i="1" l="1"/>
  <c r="AC28" i="3" l="1"/>
  <c r="M28" i="3"/>
  <c r="AC27" i="3"/>
  <c r="M27" i="3"/>
  <c r="AC26" i="3"/>
  <c r="M26" i="3"/>
  <c r="AC25" i="3"/>
  <c r="M25" i="3"/>
  <c r="AC24" i="3"/>
  <c r="M24" i="3"/>
  <c r="AC23" i="3"/>
  <c r="M23" i="3"/>
  <c r="AC22" i="3"/>
  <c r="M22" i="3"/>
  <c r="AC21" i="3"/>
  <c r="M21" i="3"/>
  <c r="AC20" i="3"/>
  <c r="M20" i="3"/>
  <c r="AC19" i="3"/>
  <c r="M19" i="3"/>
  <c r="AC18" i="3"/>
  <c r="M18" i="3"/>
  <c r="AC17" i="3"/>
  <c r="M17" i="3"/>
  <c r="AC16" i="3"/>
  <c r="M16" i="3"/>
  <c r="AC15" i="3"/>
  <c r="M15" i="3"/>
  <c r="AC14" i="3"/>
  <c r="M14" i="3"/>
  <c r="AC13" i="3"/>
  <c r="M13" i="3"/>
  <c r="AC12" i="3"/>
  <c r="M12" i="3"/>
  <c r="AC11" i="3"/>
  <c r="M11" i="3"/>
  <c r="AC10" i="3"/>
  <c r="M10" i="3"/>
  <c r="AC9" i="3"/>
  <c r="M9" i="3"/>
  <c r="AC8" i="3"/>
  <c r="M8" i="3"/>
  <c r="AC7" i="3"/>
  <c r="M7" i="3"/>
  <c r="AC6" i="3"/>
  <c r="M6" i="3"/>
  <c r="AC5" i="3"/>
  <c r="M5" i="3"/>
  <c r="M4" i="3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" i="1"/>
  <c r="BY3" i="1" l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" i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" i="1"/>
  <c r="X1154" i="1" l="1"/>
  <c r="Y1154" i="1"/>
  <c r="Z1154" i="1"/>
  <c r="AA1154" i="1"/>
  <c r="AB1154" i="1"/>
  <c r="AC1154" i="1"/>
  <c r="AD1154" i="1"/>
  <c r="AE1154" i="1"/>
  <c r="AF1154" i="1"/>
  <c r="AG1154" i="1"/>
  <c r="AH1154" i="1"/>
  <c r="AI1154" i="1"/>
  <c r="AJ1154" i="1"/>
  <c r="AK1154" i="1"/>
  <c r="AL1154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J1142" i="1"/>
  <c r="AK1142" i="1"/>
  <c r="AL1142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J1130" i="1"/>
  <c r="AK1130" i="1"/>
  <c r="AL1130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J1118" i="1"/>
  <c r="AK1118" i="1"/>
  <c r="AL1118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J1106" i="1"/>
  <c r="AK1106" i="1"/>
  <c r="AL1106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J1094" i="1"/>
  <c r="AK1094" i="1"/>
  <c r="AL1094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J1082" i="1"/>
  <c r="AK1082" i="1"/>
  <c r="AL1082" i="1"/>
  <c r="AL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J1070" i="1"/>
  <c r="AK1070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J1058" i="1"/>
  <c r="AK1058" i="1"/>
  <c r="AL1058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J1046" i="1"/>
  <c r="AK1046" i="1"/>
  <c r="AL1046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K1034" i="1"/>
  <c r="AL1034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J1022" i="1"/>
  <c r="AK1022" i="1"/>
  <c r="AL1022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K1010" i="1"/>
  <c r="AL1010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J998" i="1"/>
  <c r="AK998" i="1"/>
  <c r="AL998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J986" i="1"/>
  <c r="AK986" i="1"/>
  <c r="AL986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J974" i="1"/>
  <c r="AK974" i="1"/>
  <c r="AL974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J962" i="1"/>
  <c r="AK962" i="1"/>
  <c r="AL962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J950" i="1"/>
  <c r="AK950" i="1"/>
  <c r="AL950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J938" i="1"/>
  <c r="AK938" i="1"/>
  <c r="AL938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J926" i="1"/>
  <c r="AK926" i="1"/>
  <c r="AL926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J914" i="1"/>
  <c r="AK914" i="1"/>
  <c r="AL914" i="1"/>
  <c r="AL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J902" i="1"/>
  <c r="AK902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J890" i="1"/>
  <c r="AK890" i="1"/>
  <c r="AL890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K878" i="1"/>
  <c r="AL878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K866" i="1"/>
  <c r="AL866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J854" i="1"/>
  <c r="AK854" i="1"/>
  <c r="AL854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K842" i="1"/>
  <c r="AL842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K830" i="1"/>
  <c r="AL830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K818" i="1"/>
  <c r="AL818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K806" i="1"/>
  <c r="AL806" i="1"/>
  <c r="AL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K794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K770" i="1"/>
  <c r="AL770" i="1"/>
  <c r="AL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K758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K746" i="1"/>
  <c r="AL746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K734" i="1"/>
  <c r="AL734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K722" i="1"/>
  <c r="AL722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K710" i="1"/>
  <c r="AL710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K698" i="1"/>
  <c r="AL698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K686" i="1"/>
  <c r="AL686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AL674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K662" i="1"/>
  <c r="AL662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AL650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K638" i="1"/>
  <c r="AL638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K614" i="1"/>
  <c r="AL614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L482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L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L38" i="1"/>
  <c r="AJ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K38" i="1"/>
  <c r="W1154" i="1"/>
  <c r="W1142" i="1"/>
  <c r="W1130" i="1"/>
  <c r="W1118" i="1"/>
  <c r="W1106" i="1"/>
  <c r="W1094" i="1"/>
  <c r="W1082" i="1"/>
  <c r="W1070" i="1"/>
  <c r="W1058" i="1"/>
  <c r="W1046" i="1"/>
  <c r="W1034" i="1"/>
  <c r="W1022" i="1"/>
  <c r="W1010" i="1"/>
  <c r="W998" i="1"/>
  <c r="W986" i="1"/>
  <c r="W974" i="1"/>
  <c r="W962" i="1"/>
  <c r="W950" i="1"/>
  <c r="W938" i="1"/>
  <c r="W926" i="1"/>
  <c r="W914" i="1"/>
  <c r="W902" i="1"/>
  <c r="W890" i="1"/>
  <c r="W878" i="1"/>
  <c r="W866" i="1"/>
  <c r="W854" i="1"/>
  <c r="W842" i="1"/>
  <c r="W830" i="1"/>
  <c r="W818" i="1"/>
  <c r="W806" i="1"/>
  <c r="W794" i="1"/>
  <c r="W782" i="1"/>
  <c r="W770" i="1"/>
  <c r="W758" i="1"/>
  <c r="W746" i="1"/>
  <c r="W734" i="1"/>
  <c r="W722" i="1"/>
  <c r="W710" i="1"/>
  <c r="W698" i="1"/>
  <c r="W686" i="1"/>
  <c r="W674" i="1"/>
  <c r="W662" i="1"/>
  <c r="W650" i="1"/>
  <c r="W638" i="1"/>
  <c r="W626" i="1"/>
  <c r="W614" i="1"/>
  <c r="W602" i="1"/>
  <c r="W590" i="1"/>
  <c r="W578" i="1"/>
  <c r="W566" i="1"/>
  <c r="W554" i="1"/>
  <c r="W542" i="1"/>
  <c r="W530" i="1"/>
  <c r="W518" i="1"/>
  <c r="W506" i="1"/>
  <c r="W494" i="1"/>
  <c r="W482" i="1"/>
  <c r="W470" i="1"/>
  <c r="W458" i="1"/>
  <c r="W446" i="1"/>
  <c r="W434" i="1"/>
  <c r="W422" i="1"/>
  <c r="W410" i="1"/>
  <c r="W398" i="1"/>
  <c r="W386" i="1"/>
  <c r="W374" i="1"/>
  <c r="W362" i="1"/>
  <c r="W350" i="1"/>
  <c r="W338" i="1"/>
  <c r="W326" i="1"/>
  <c r="W314" i="1"/>
  <c r="W302" i="1"/>
  <c r="W290" i="1"/>
  <c r="W278" i="1"/>
  <c r="W266" i="1"/>
  <c r="W254" i="1"/>
  <c r="W242" i="1"/>
  <c r="W230" i="1"/>
  <c r="W218" i="1"/>
  <c r="W206" i="1"/>
  <c r="W194" i="1"/>
  <c r="W182" i="1"/>
  <c r="W170" i="1"/>
  <c r="W158" i="1"/>
  <c r="W146" i="1"/>
  <c r="W134" i="1"/>
  <c r="W122" i="1"/>
  <c r="W110" i="1"/>
  <c r="W98" i="1"/>
  <c r="W86" i="1"/>
  <c r="W74" i="1"/>
  <c r="W62" i="1"/>
  <c r="W50" i="1"/>
  <c r="W38" i="1"/>
  <c r="AL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W26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A2" i="1"/>
  <c r="AB2" i="1"/>
  <c r="AC2" i="1"/>
  <c r="AD2" i="1"/>
  <c r="AE2" i="1"/>
  <c r="AF2" i="1"/>
  <c r="AG2" i="1"/>
  <c r="AH2" i="1"/>
  <c r="AI2" i="1"/>
  <c r="AJ2" i="1"/>
  <c r="AK2" i="1"/>
  <c r="AL2" i="1"/>
  <c r="X14" i="1"/>
  <c r="Y14" i="1"/>
  <c r="Z14" i="1"/>
  <c r="X2" i="1"/>
  <c r="Y2" i="1"/>
  <c r="Z2" i="1"/>
  <c r="W2" i="1"/>
  <c r="AS1142" i="1" l="1"/>
  <c r="AS1094" i="1"/>
  <c r="AS1118" i="1"/>
  <c r="AS1106" i="1"/>
  <c r="AS1130" i="1"/>
  <c r="AS1154" i="1"/>
  <c r="AS938" i="1"/>
  <c r="AS950" i="1"/>
  <c r="AS986" i="1"/>
  <c r="AS998" i="1"/>
  <c r="AS1034" i="1"/>
  <c r="AS1046" i="1"/>
  <c r="AS1070" i="1"/>
  <c r="AS1082" i="1"/>
  <c r="AS962" i="1"/>
  <c r="AS974" i="1"/>
  <c r="AS1010" i="1"/>
  <c r="AS1022" i="1"/>
  <c r="AS1058" i="1"/>
  <c r="AP1154" i="1"/>
  <c r="AS614" i="1"/>
  <c r="AS650" i="1"/>
  <c r="AS662" i="1"/>
  <c r="AS710" i="1"/>
  <c r="AS806" i="1"/>
  <c r="AS854" i="1"/>
  <c r="AS638" i="1"/>
  <c r="AS686" i="1"/>
  <c r="AS734" i="1"/>
  <c r="AS782" i="1"/>
  <c r="AS830" i="1"/>
  <c r="AS878" i="1"/>
  <c r="AS926" i="1"/>
  <c r="AS530" i="1"/>
  <c r="AS578" i="1"/>
  <c r="AS626" i="1"/>
  <c r="AS674" i="1"/>
  <c r="AS698" i="1"/>
  <c r="AS722" i="1"/>
  <c r="AS746" i="1"/>
  <c r="AS758" i="1"/>
  <c r="AS770" i="1"/>
  <c r="AS794" i="1"/>
  <c r="AS818" i="1"/>
  <c r="AS842" i="1"/>
  <c r="AS866" i="1"/>
  <c r="AS890" i="1"/>
  <c r="AS902" i="1"/>
  <c r="AS914" i="1"/>
  <c r="AR86" i="1"/>
  <c r="AR134" i="1"/>
  <c r="AS182" i="1"/>
  <c r="AS362" i="1"/>
  <c r="AS470" i="1"/>
  <c r="AR182" i="1"/>
  <c r="AS326" i="1"/>
  <c r="AS374" i="1"/>
  <c r="AP446" i="1"/>
  <c r="AP542" i="1"/>
  <c r="AP590" i="1"/>
  <c r="AP638" i="1"/>
  <c r="AP686" i="1"/>
  <c r="AP734" i="1"/>
  <c r="AP782" i="1"/>
  <c r="AP830" i="1"/>
  <c r="AP878" i="1"/>
  <c r="AP926" i="1"/>
  <c r="AP974" i="1"/>
  <c r="AP1022" i="1"/>
  <c r="AP1070" i="1"/>
  <c r="AP1118" i="1"/>
  <c r="AS458" i="1"/>
  <c r="AR458" i="1"/>
  <c r="AS494" i="1"/>
  <c r="AR494" i="1"/>
  <c r="AS506" i="1"/>
  <c r="AR506" i="1"/>
  <c r="AS518" i="1"/>
  <c r="AS554" i="1"/>
  <c r="AR554" i="1"/>
  <c r="AS566" i="1"/>
  <c r="AS602" i="1"/>
  <c r="AR602" i="1"/>
  <c r="AR650" i="1"/>
  <c r="AR698" i="1"/>
  <c r="AR746" i="1"/>
  <c r="AQ746" i="1"/>
  <c r="AR842" i="1"/>
  <c r="AQ842" i="1"/>
  <c r="AR890" i="1"/>
  <c r="AQ890" i="1"/>
  <c r="AR938" i="1"/>
  <c r="AQ938" i="1"/>
  <c r="AR986" i="1"/>
  <c r="AQ986" i="1"/>
  <c r="AR1034" i="1"/>
  <c r="AQ1034" i="1"/>
  <c r="AR1070" i="1"/>
  <c r="AQ1070" i="1"/>
  <c r="AR1082" i="1"/>
  <c r="AQ1082" i="1"/>
  <c r="AR1130" i="1"/>
  <c r="AQ1130" i="1"/>
  <c r="AS86" i="1"/>
  <c r="AS134" i="1"/>
  <c r="AS230" i="1"/>
  <c r="AS278" i="1"/>
  <c r="AR362" i="1"/>
  <c r="AS422" i="1"/>
  <c r="AP650" i="1"/>
  <c r="AP698" i="1"/>
  <c r="AP746" i="1"/>
  <c r="AP842" i="1"/>
  <c r="AP890" i="1"/>
  <c r="AP938" i="1"/>
  <c r="AP986" i="1"/>
  <c r="AP1034" i="1"/>
  <c r="AP1082" i="1"/>
  <c r="AP1130" i="1"/>
  <c r="AS482" i="1"/>
  <c r="AS542" i="1"/>
  <c r="AS590" i="1"/>
  <c r="AR2" i="1"/>
  <c r="AS14" i="1"/>
  <c r="AP398" i="1"/>
  <c r="AR74" i="1"/>
  <c r="AR122" i="1"/>
  <c r="AS170" i="1"/>
  <c r="AR170" i="1"/>
  <c r="AS218" i="1"/>
  <c r="AR218" i="1"/>
  <c r="AS110" i="1"/>
  <c r="AS158" i="1"/>
  <c r="AS206" i="1"/>
  <c r="AS254" i="1"/>
  <c r="AS302" i="1"/>
  <c r="AS350" i="1"/>
  <c r="AS398" i="1"/>
  <c r="AS446" i="1"/>
  <c r="AS2" i="1"/>
  <c r="AR14" i="1"/>
  <c r="AS74" i="1"/>
  <c r="AS122" i="1"/>
  <c r="AS266" i="1"/>
  <c r="AS314" i="1"/>
  <c r="AS410" i="1"/>
  <c r="AS98" i="1"/>
  <c r="AS146" i="1"/>
  <c r="AS194" i="1"/>
  <c r="AS242" i="1"/>
  <c r="AS290" i="1"/>
  <c r="AS338" i="1"/>
  <c r="AS386" i="1"/>
  <c r="AS434" i="1"/>
  <c r="AR266" i="1"/>
  <c r="AR314" i="1"/>
  <c r="AR410" i="1"/>
  <c r="AR26" i="1"/>
  <c r="AP122" i="1"/>
  <c r="AW13" i="1" s="1"/>
  <c r="AP266" i="1"/>
  <c r="AW25" i="1" s="1"/>
  <c r="AS38" i="1"/>
  <c r="AR38" i="1"/>
  <c r="AS62" i="1"/>
  <c r="AR62" i="1"/>
  <c r="AQ62" i="1"/>
  <c r="AR110" i="1"/>
  <c r="AQ110" i="1"/>
  <c r="AR158" i="1"/>
  <c r="AQ158" i="1"/>
  <c r="AR206" i="1"/>
  <c r="AQ206" i="1"/>
  <c r="AR254" i="1"/>
  <c r="AQ254" i="1"/>
  <c r="AR302" i="1"/>
  <c r="AQ302" i="1"/>
  <c r="AR350" i="1"/>
  <c r="AQ350" i="1"/>
  <c r="AR398" i="1"/>
  <c r="AQ398" i="1"/>
  <c r="AR446" i="1"/>
  <c r="AQ446" i="1"/>
  <c r="AR482" i="1"/>
  <c r="AQ482" i="1"/>
  <c r="AR542" i="1"/>
  <c r="AQ542" i="1"/>
  <c r="AR590" i="1"/>
  <c r="AQ590" i="1"/>
  <c r="AR638" i="1"/>
  <c r="AQ638" i="1"/>
  <c r="AR662" i="1"/>
  <c r="AR686" i="1"/>
  <c r="AQ686" i="1"/>
  <c r="AR710" i="1"/>
  <c r="AR734" i="1"/>
  <c r="AQ734" i="1"/>
  <c r="AR758" i="1"/>
  <c r="AQ770" i="1"/>
  <c r="AQ782" i="1"/>
  <c r="AR782" i="1"/>
  <c r="AR806" i="1"/>
  <c r="AQ818" i="1"/>
  <c r="AR830" i="1"/>
  <c r="AQ830" i="1"/>
  <c r="AR854" i="1"/>
  <c r="AQ866" i="1"/>
  <c r="AR878" i="1"/>
  <c r="AQ878" i="1"/>
  <c r="AR902" i="1"/>
  <c r="AQ914" i="1"/>
  <c r="AR926" i="1"/>
  <c r="AQ926" i="1"/>
  <c r="AR950" i="1"/>
  <c r="AQ962" i="1"/>
  <c r="AR974" i="1"/>
  <c r="AQ974" i="1"/>
  <c r="AR998" i="1"/>
  <c r="AQ1010" i="1"/>
  <c r="AR1022" i="1"/>
  <c r="AQ1022" i="1"/>
  <c r="AR1046" i="1"/>
  <c r="AQ1058" i="1"/>
  <c r="AR1094" i="1"/>
  <c r="AQ1106" i="1"/>
  <c r="AR1118" i="1"/>
  <c r="AQ1118" i="1"/>
  <c r="AR1142" i="1"/>
  <c r="AQ1154" i="1"/>
  <c r="AS26" i="1"/>
  <c r="AQ26" i="1"/>
  <c r="AP74" i="1"/>
  <c r="AW9" i="1" s="1"/>
  <c r="AP170" i="1"/>
  <c r="AW17" i="1" s="1"/>
  <c r="AP218" i="1"/>
  <c r="AW21" i="1" s="1"/>
  <c r="AP314" i="1"/>
  <c r="AP410" i="1"/>
  <c r="AP458" i="1"/>
  <c r="AP506" i="1"/>
  <c r="AP554" i="1"/>
  <c r="AP602" i="1"/>
  <c r="AP806" i="1"/>
  <c r="AP854" i="1"/>
  <c r="AP902" i="1"/>
  <c r="AP950" i="1"/>
  <c r="AP998" i="1"/>
  <c r="AP1046" i="1"/>
  <c r="AP1094" i="1"/>
  <c r="AS50" i="1"/>
  <c r="AR50" i="1"/>
  <c r="AR98" i="1"/>
  <c r="AR146" i="1"/>
  <c r="AR194" i="1"/>
  <c r="AR230" i="1"/>
  <c r="AR242" i="1"/>
  <c r="AR278" i="1"/>
  <c r="AR290" i="1"/>
  <c r="AR326" i="1"/>
  <c r="AR338" i="1"/>
  <c r="AR374" i="1"/>
  <c r="AR386" i="1"/>
  <c r="AR422" i="1"/>
  <c r="AR434" i="1"/>
  <c r="AR470" i="1"/>
  <c r="AR518" i="1"/>
  <c r="AR530" i="1"/>
  <c r="AR566" i="1"/>
  <c r="AR578" i="1"/>
  <c r="AR614" i="1"/>
  <c r="AR626" i="1"/>
  <c r="AR674" i="1"/>
  <c r="AR722" i="1"/>
  <c r="AQ758" i="1"/>
  <c r="AR770" i="1"/>
  <c r="AR818" i="1"/>
  <c r="AR866" i="1"/>
  <c r="AQ902" i="1"/>
  <c r="AR914" i="1"/>
  <c r="AR962" i="1"/>
  <c r="AR1010" i="1"/>
  <c r="AR1058" i="1"/>
  <c r="AR1106" i="1"/>
  <c r="AR1154" i="1"/>
  <c r="AR794" i="1"/>
  <c r="AQ794" i="1"/>
  <c r="AQ806" i="1"/>
  <c r="AQ854" i="1"/>
  <c r="AQ950" i="1"/>
  <c r="AQ998" i="1"/>
  <c r="AQ1046" i="1"/>
  <c r="AQ1094" i="1"/>
  <c r="AQ1142" i="1"/>
  <c r="AQ146" i="1"/>
  <c r="AQ194" i="1"/>
  <c r="AQ242" i="1"/>
  <c r="AQ290" i="1"/>
  <c r="AQ338" i="1"/>
  <c r="AQ386" i="1"/>
  <c r="AQ434" i="1"/>
  <c r="AQ530" i="1"/>
  <c r="AQ578" i="1"/>
  <c r="AQ626" i="1"/>
  <c r="AQ674" i="1"/>
  <c r="AQ722" i="1"/>
  <c r="AQ98" i="1"/>
  <c r="AQ362" i="1"/>
  <c r="AQ50" i="1"/>
  <c r="AQ2" i="1"/>
  <c r="AQ14" i="1"/>
  <c r="AP494" i="1"/>
  <c r="AQ38" i="1"/>
  <c r="AQ74" i="1"/>
  <c r="AQ86" i="1"/>
  <c r="AQ122" i="1"/>
  <c r="AQ134" i="1"/>
  <c r="AQ170" i="1"/>
  <c r="AQ182" i="1"/>
  <c r="AQ218" i="1"/>
  <c r="AQ230" i="1"/>
  <c r="AQ266" i="1"/>
  <c r="AQ278" i="1"/>
  <c r="AQ314" i="1"/>
  <c r="AQ326" i="1"/>
  <c r="AQ374" i="1"/>
  <c r="AQ410" i="1"/>
  <c r="AQ422" i="1"/>
  <c r="AQ458" i="1"/>
  <c r="AQ470" i="1"/>
  <c r="AQ494" i="1"/>
  <c r="AQ506" i="1"/>
  <c r="AQ518" i="1"/>
  <c r="AQ554" i="1"/>
  <c r="AQ566" i="1"/>
  <c r="AQ602" i="1"/>
  <c r="AQ614" i="1"/>
  <c r="AQ650" i="1"/>
  <c r="AQ662" i="1"/>
  <c r="AQ698" i="1"/>
  <c r="AQ710" i="1"/>
  <c r="AP818" i="1"/>
  <c r="AP866" i="1"/>
  <c r="AP914" i="1"/>
  <c r="AP962" i="1"/>
  <c r="AP1010" i="1"/>
  <c r="AP1058" i="1"/>
  <c r="AP1106" i="1"/>
  <c r="AP1142" i="1"/>
  <c r="AP794" i="1"/>
  <c r="AP422" i="1"/>
  <c r="AP470" i="1"/>
  <c r="AP518" i="1"/>
  <c r="AP566" i="1"/>
  <c r="AP614" i="1"/>
  <c r="AP662" i="1"/>
  <c r="AP710" i="1"/>
  <c r="AP758" i="1"/>
  <c r="AP38" i="1"/>
  <c r="AW6" i="1" s="1"/>
  <c r="AP26" i="1"/>
  <c r="AW5" i="1" s="1"/>
  <c r="AP362" i="1"/>
  <c r="AP434" i="1"/>
  <c r="AP482" i="1"/>
  <c r="AP530" i="1"/>
  <c r="AP578" i="1"/>
  <c r="AP626" i="1"/>
  <c r="AP674" i="1"/>
  <c r="AP722" i="1"/>
  <c r="AP770" i="1"/>
  <c r="AP182" i="1"/>
  <c r="AW18" i="1" s="1"/>
  <c r="AP326" i="1"/>
  <c r="AP230" i="1"/>
  <c r="AW22" i="1" s="1"/>
  <c r="AP374" i="1"/>
  <c r="AP146" i="1"/>
  <c r="AW15" i="1" s="1"/>
  <c r="AP194" i="1"/>
  <c r="AW19" i="1" s="1"/>
  <c r="AP242" i="1"/>
  <c r="AW23" i="1" s="1"/>
  <c r="AP290" i="1"/>
  <c r="AW27" i="1" s="1"/>
  <c r="AP338" i="1"/>
  <c r="AP386" i="1"/>
  <c r="AP278" i="1"/>
  <c r="AW26" i="1" s="1"/>
  <c r="AP158" i="1"/>
  <c r="AW16" i="1" s="1"/>
  <c r="AP206" i="1"/>
  <c r="AW20" i="1" s="1"/>
  <c r="AP254" i="1"/>
  <c r="AW24" i="1" s="1"/>
  <c r="AP302" i="1"/>
  <c r="AP350" i="1"/>
  <c r="AP2" i="1"/>
  <c r="AW3" i="1" s="1"/>
  <c r="AP134" i="1"/>
  <c r="AW14" i="1" s="1"/>
  <c r="AP50" i="1"/>
  <c r="AW7" i="1" s="1"/>
  <c r="AP98" i="1"/>
  <c r="AW11" i="1" s="1"/>
  <c r="AP86" i="1"/>
  <c r="AW10" i="1" s="1"/>
  <c r="AP14" i="1"/>
  <c r="AW4" i="1" s="1"/>
  <c r="AP62" i="1"/>
  <c r="AW8" i="1" s="1"/>
  <c r="AP110" i="1"/>
  <c r="AW12" i="1" s="1"/>
  <c r="CC11" i="1" l="1"/>
  <c r="BV11" i="1"/>
  <c r="CC26" i="1"/>
  <c r="BV26" i="1"/>
  <c r="CC7" i="1"/>
  <c r="BV7" i="1"/>
  <c r="CC6" i="1"/>
  <c r="BV6" i="1"/>
  <c r="CC25" i="1"/>
  <c r="BV25" i="1"/>
  <c r="CC22" i="1"/>
  <c r="BV22" i="1"/>
  <c r="CC21" i="1"/>
  <c r="BV21" i="1"/>
  <c r="CC4" i="1"/>
  <c r="BV4" i="1"/>
  <c r="CC16" i="1"/>
  <c r="BV16" i="1"/>
  <c r="CC12" i="1"/>
  <c r="BV12" i="1"/>
  <c r="CC15" i="1"/>
  <c r="BV15" i="1"/>
  <c r="CC20" i="1"/>
  <c r="BV20" i="1"/>
  <c r="CC24" i="1"/>
  <c r="BV24" i="1"/>
  <c r="CC13" i="1"/>
  <c r="BV13" i="1"/>
  <c r="CC5" i="1"/>
  <c r="BV5" i="1"/>
  <c r="CC8" i="1"/>
  <c r="BV8" i="1"/>
  <c r="CC10" i="1"/>
  <c r="BV10" i="1"/>
  <c r="CC23" i="1"/>
  <c r="BV23" i="1"/>
  <c r="CC18" i="1"/>
  <c r="BV18" i="1"/>
  <c r="CC9" i="1"/>
  <c r="BV9" i="1"/>
  <c r="CC2" i="1"/>
  <c r="BV2" i="1"/>
  <c r="CC19" i="1"/>
  <c r="BV19" i="1"/>
  <c r="CC14" i="1"/>
  <c r="BV14" i="1"/>
  <c r="CC17" i="1"/>
  <c r="BV17" i="1"/>
  <c r="CC3" i="1"/>
  <c r="BV3" i="1"/>
  <c r="C867" i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579" i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291" i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</calcChain>
</file>

<file path=xl/sharedStrings.xml><?xml version="1.0" encoding="utf-8"?>
<sst xmlns="http://schemas.openxmlformats.org/spreadsheetml/2006/main" count="285" uniqueCount="82">
  <si>
    <t>Date_Time_1</t>
  </si>
  <si>
    <t>ZT Time</t>
  </si>
  <si>
    <t>g</t>
  </si>
  <si>
    <t>foodupa_2</t>
  </si>
  <si>
    <t>foodupa_3</t>
  </si>
  <si>
    <t>foodupa_8</t>
  </si>
  <si>
    <t>foodupa_9</t>
  </si>
  <si>
    <t>foodupa_12</t>
  </si>
  <si>
    <t>foodupa_13</t>
  </si>
  <si>
    <t>foodupa_6</t>
  </si>
  <si>
    <t>foodupa_10</t>
  </si>
  <si>
    <t>foodupa_1</t>
  </si>
  <si>
    <t>foodupa_4</t>
  </si>
  <si>
    <t>foodupa_5</t>
  </si>
  <si>
    <t>foodupa_7</t>
  </si>
  <si>
    <t>foodupa_11</t>
  </si>
  <si>
    <t>foodupa_14</t>
  </si>
  <si>
    <t>foodupa_15</t>
  </si>
  <si>
    <t>foodupa_16</t>
  </si>
  <si>
    <t>kcal_hr_8</t>
  </si>
  <si>
    <t>kcal_hr_9</t>
  </si>
  <si>
    <t>kcal_hr_12</t>
  </si>
  <si>
    <t>kcal_hr_13</t>
  </si>
  <si>
    <t>kcal_hr_2</t>
  </si>
  <si>
    <t>kcal_hr_3</t>
  </si>
  <si>
    <t>kcal_hr_6</t>
  </si>
  <si>
    <t>kcal_hr_10</t>
  </si>
  <si>
    <t>kcal_hr_1</t>
  </si>
  <si>
    <t>kcal_hr_4</t>
  </si>
  <si>
    <t>kcal_hr_5</t>
  </si>
  <si>
    <t>kcal_hr_7</t>
  </si>
  <si>
    <t>kcal_hr_11</t>
  </si>
  <si>
    <t>kcal_hr_14</t>
  </si>
  <si>
    <t>kcal_hr_15</t>
  </si>
  <si>
    <t>kcal_hr_16</t>
  </si>
  <si>
    <t>3.779+AF53555</t>
  </si>
  <si>
    <t xml:space="preserve">1hr re-bin </t>
  </si>
  <si>
    <t>group avg (4 days)</t>
  </si>
  <si>
    <t>Apoe ad lib</t>
  </si>
  <si>
    <t>Ldlr TRF</t>
  </si>
  <si>
    <t>Ldlr ad lib</t>
  </si>
  <si>
    <t>Apoe TRF AVG</t>
  </si>
  <si>
    <t>Apoe ad lib AVG</t>
  </si>
  <si>
    <t>Ldlr TRF AVG</t>
  </si>
  <si>
    <t>Ldlr ad lib AVG</t>
  </si>
  <si>
    <t>group avg reorgnized</t>
  </si>
  <si>
    <t xml:space="preserve">Apoe TRF </t>
  </si>
  <si>
    <t>day 1</t>
  </si>
  <si>
    <t>day 2</t>
  </si>
  <si>
    <t>day 3</t>
  </si>
  <si>
    <t>day 4</t>
  </si>
  <si>
    <t xml:space="preserve">ZT Time </t>
  </si>
  <si>
    <t>Apoe TRF</t>
  </si>
  <si>
    <t>1 day SEM</t>
  </si>
  <si>
    <t>1.5 day avged</t>
  </si>
  <si>
    <t>Apoe t-test</t>
  </si>
  <si>
    <t>Ldlr t-test</t>
  </si>
  <si>
    <t>123N</t>
  </si>
  <si>
    <t>124L</t>
  </si>
  <si>
    <t>124N</t>
  </si>
  <si>
    <t>123L</t>
  </si>
  <si>
    <t>125L</t>
  </si>
  <si>
    <t>125R</t>
  </si>
  <si>
    <t>126N</t>
  </si>
  <si>
    <t>126L</t>
  </si>
  <si>
    <t>130N</t>
  </si>
  <si>
    <t>130R</t>
  </si>
  <si>
    <t>131N</t>
  </si>
  <si>
    <t>131L</t>
  </si>
  <si>
    <t>132L</t>
  </si>
  <si>
    <t>133N</t>
  </si>
  <si>
    <t>133L</t>
  </si>
  <si>
    <t>133R</t>
  </si>
  <si>
    <t>1hr re-bin cumulative</t>
  </si>
  <si>
    <t>1-hr rebin non-cumulative</t>
  </si>
  <si>
    <t>24 hrs avg</t>
  </si>
  <si>
    <t>24 hrs SEM</t>
  </si>
  <si>
    <t>ZT</t>
  </si>
  <si>
    <t>Apoe 48hr mirror</t>
  </si>
  <si>
    <t>Ldlr 48hr mirror</t>
  </si>
  <si>
    <t>line</t>
  </si>
  <si>
    <t>1-hr rebin non-cumulative (24hr 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</si>
</sst>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B0F0"/>
      <name val="Calibri"/>
      <family val="2"/>
    </font>
    <font>
      <b/>
      <sz val="12"/>
      <color theme="5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color rgb="FF0070C0"/>
      <name val="Calibri"/>
      <family val="2"/>
    </font>
    <font>
      <b/>
      <sz val="12"/>
      <color rgb="FF0070C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rgb="FFFF2F92"/>
        <bgColor indexed="64"/>
      </patternFill>
    </fill>
    <fill>
      <patternFill patternType="solid">
        <fgColor rgb="FF00FB92"/>
        <bgColor indexed="64"/>
      </patternFill>
    </fill>
    <fill>
      <patternFill patternType="solid">
        <fgColor rgb="FF9437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DFF"/>
        <bgColor rgb="FF000000"/>
      </patternFill>
    </fill>
    <fill>
      <patternFill patternType="solid">
        <fgColor rgb="FFFF2F92"/>
        <bgColor rgb="FF000000"/>
      </patternFill>
    </fill>
    <fill>
      <patternFill patternType="solid">
        <fgColor rgb="FF00FB92"/>
        <bgColor rgb="FF000000"/>
      </patternFill>
    </fill>
    <fill>
      <patternFill patternType="solid">
        <fgColor rgb="FF9437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0" fillId="3" borderId="0" xfId="0" applyNumberFormat="1" applyFill="1"/>
    <xf numFmtId="2" fontId="0" fillId="3" borderId="0" xfId="0" applyNumberFormat="1" applyFill="1"/>
    <xf numFmtId="2" fontId="0" fillId="0" borderId="0" xfId="0" applyNumberFormat="1"/>
    <xf numFmtId="164" fontId="0" fillId="4" borderId="0" xfId="0" applyNumberFormat="1" applyFill="1"/>
    <xf numFmtId="2" fontId="0" fillId="4" borderId="0" xfId="0" applyNumberFormat="1" applyFill="1"/>
    <xf numFmtId="164" fontId="0" fillId="5" borderId="0" xfId="0" applyNumberFormat="1" applyFill="1"/>
    <xf numFmtId="2" fontId="0" fillId="5" borderId="0" xfId="0" applyNumberFormat="1" applyFill="1"/>
    <xf numFmtId="164" fontId="0" fillId="6" borderId="0" xfId="0" applyNumberFormat="1" applyFill="1"/>
    <xf numFmtId="2" fontId="0" fillId="6" borderId="0" xfId="0" applyNumberFormat="1" applyFill="1"/>
    <xf numFmtId="164" fontId="0" fillId="2" borderId="0" xfId="0" applyNumberFormat="1" applyFill="1"/>
    <xf numFmtId="2" fontId="0" fillId="2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64" fontId="2" fillId="0" borderId="0" xfId="0" applyNumberFormat="1" applyFont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0" borderId="0" xfId="0" applyFont="1" applyFill="1"/>
    <xf numFmtId="164" fontId="0" fillId="0" borderId="0" xfId="0" applyNumberFormat="1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  <xf numFmtId="0" fontId="0" fillId="11" borderId="0" xfId="0" applyFill="1"/>
    <xf numFmtId="0" fontId="2" fillId="0" borderId="0" xfId="0" applyFont="1"/>
    <xf numFmtId="0" fontId="0" fillId="0" borderId="0" xfId="0" applyFill="1" applyBorder="1"/>
    <xf numFmtId="0" fontId="0" fillId="12" borderId="0" xfId="0" applyFont="1" applyFill="1"/>
    <xf numFmtId="0" fontId="0" fillId="12" borderId="0" xfId="0" applyFill="1"/>
    <xf numFmtId="0" fontId="7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/>
    <xf numFmtId="0" fontId="4" fillId="0" borderId="0" xfId="0" applyFont="1" applyFill="1" applyBorder="1" applyAlignment="1">
      <alignment horizontal="center"/>
    </xf>
    <xf numFmtId="0" fontId="2" fillId="11" borderId="0" xfId="0" applyFont="1" applyFill="1"/>
    <xf numFmtId="2" fontId="0" fillId="0" borderId="0" xfId="0" applyNumberFormat="1" applyFill="1"/>
    <xf numFmtId="164" fontId="8" fillId="0" borderId="0" xfId="0" applyNumberFormat="1" applyFont="1"/>
    <xf numFmtId="0" fontId="13" fillId="0" borderId="0" xfId="0" applyFont="1"/>
    <xf numFmtId="0" fontId="8" fillId="13" borderId="5" xfId="0" applyFont="1" applyFill="1" applyBorder="1"/>
    <xf numFmtId="0" fontId="8" fillId="14" borderId="0" xfId="0" applyFont="1" applyFill="1" applyBorder="1"/>
    <xf numFmtId="0" fontId="8" fillId="15" borderId="0" xfId="0" applyFont="1" applyFill="1" applyBorder="1"/>
    <xf numFmtId="0" fontId="8" fillId="16" borderId="6" xfId="0" applyFont="1" applyFill="1" applyBorder="1"/>
    <xf numFmtId="0" fontId="14" fillId="0" borderId="0" xfId="0" applyFont="1"/>
    <xf numFmtId="0" fontId="8" fillId="0" borderId="5" xfId="0" applyFont="1" applyBorder="1"/>
    <xf numFmtId="0" fontId="8" fillId="0" borderId="0" xfId="0" applyFont="1" applyBorder="1"/>
    <xf numFmtId="0" fontId="8" fillId="0" borderId="6" xfId="0" applyFont="1" applyBorder="1"/>
    <xf numFmtId="0" fontId="2" fillId="7" borderId="0" xfId="0" applyNumberFormat="1" applyFont="1" applyFill="1"/>
    <xf numFmtId="0" fontId="0" fillId="0" borderId="0" xfId="0" applyNumberFormat="1"/>
    <xf numFmtId="0" fontId="3" fillId="0" borderId="7" xfId="0" applyFont="1" applyBorder="1"/>
    <xf numFmtId="0" fontId="4" fillId="0" borderId="8" xfId="0" applyFont="1" applyBorder="1"/>
    <xf numFmtId="0" fontId="5" fillId="0" borderId="8" xfId="0" applyFont="1" applyBorder="1"/>
    <xf numFmtId="0" fontId="6" fillId="0" borderId="9" xfId="0" applyFon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15" fillId="0" borderId="0" xfId="0" applyFont="1"/>
    <xf numFmtId="2" fontId="0" fillId="0" borderId="0" xfId="0" applyNumberFormat="1" applyFill="1" applyBorder="1"/>
    <xf numFmtId="0" fontId="2" fillId="0" borderId="0" xfId="0" applyFont="1" applyFill="1" applyBorder="1"/>
    <xf numFmtId="164" fontId="8" fillId="0" borderId="0" xfId="0" applyNumberFormat="1" applyFont="1" applyFill="1" applyBorder="1"/>
    <xf numFmtId="0" fontId="0" fillId="0" borderId="0" xfId="0" applyNumberFormat="1" applyFill="1" applyBorder="1"/>
    <xf numFmtId="0" fontId="13" fillId="0" borderId="0" xfId="0" applyFont="1" applyFill="1" applyBorder="1"/>
    <xf numFmtId="0" fontId="8" fillId="0" borderId="0" xfId="0" applyFont="1" applyFill="1" applyBorder="1"/>
    <xf numFmtId="0" fontId="14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15" fillId="0" borderId="0" xfId="0" applyFont="1" applyFill="1" applyBorder="1"/>
    <xf numFmtId="0" fontId="11" fillId="0" borderId="0" xfId="0" applyFont="1" applyFill="1" applyBorder="1" applyAlignment="1"/>
    <xf numFmtId="0" fontId="12" fillId="0" borderId="0" xfId="0" applyFont="1" applyFill="1" applyBorder="1" applyAlignment="1"/>
    <xf numFmtId="0" fontId="0" fillId="10" borderId="0" xfId="0" applyFont="1" applyFill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F92"/>
      <color rgb="FF941100"/>
      <color rgb="FF9437FF"/>
      <color rgb="FF00FB92"/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Apoe-/- 4 days Hourly Food</a:t>
            </a:r>
            <a:r>
              <a:rPr lang="en-US" baseline="0"/>
              <a:t> Intake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'Non-cum 1day avg of avgs'!$U$1</c:f>
              <c:strCache>
                <c:ptCount val="1"/>
                <c:pt idx="0">
                  <c:v>123N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avgs'!$U$2:$U$98</c:f>
              <c:numCache>
                <c:formatCode>General</c:formatCode>
                <c:ptCount val="97"/>
                <c:pt idx="0">
                  <c:v>0</c:v>
                </c:pt>
                <c:pt idx="1">
                  <c:v>1.5769750000000027E-2</c:v>
                </c:pt>
                <c:pt idx="2">
                  <c:v>3.6803083333333486E-2</c:v>
                </c:pt>
                <c:pt idx="3">
                  <c:v>3.4396749999999976E-2</c:v>
                </c:pt>
                <c:pt idx="4">
                  <c:v>2.4545250000000074E-2</c:v>
                </c:pt>
                <c:pt idx="5">
                  <c:v>2.1499166666666625E-2</c:v>
                </c:pt>
                <c:pt idx="6">
                  <c:v>1.05255833333322E-2</c:v>
                </c:pt>
                <c:pt idx="7">
                  <c:v>8.7345000000009776E-3</c:v>
                </c:pt>
                <c:pt idx="8">
                  <c:v>5.8349416666666709E-2</c:v>
                </c:pt>
                <c:pt idx="9">
                  <c:v>6.6948000000000008E-2</c:v>
                </c:pt>
                <c:pt idx="10">
                  <c:v>6.6106749999999881E-2</c:v>
                </c:pt>
                <c:pt idx="11">
                  <c:v>3.1175666666666935E-2</c:v>
                </c:pt>
                <c:pt idx="12">
                  <c:v>1.2874499999999234E-2</c:v>
                </c:pt>
                <c:pt idx="13">
                  <c:v>1.2874583333333689E-2</c:v>
                </c:pt>
                <c:pt idx="14">
                  <c:v>1.2006250000000218E-2</c:v>
                </c:pt>
                <c:pt idx="15">
                  <c:v>1.0961833333333448E-2</c:v>
                </c:pt>
                <c:pt idx="16">
                  <c:v>3.8649999999997853E-3</c:v>
                </c:pt>
                <c:pt idx="17">
                  <c:v>3.5371666666668133E-3</c:v>
                </c:pt>
                <c:pt idx="18">
                  <c:v>0.12390716666666624</c:v>
                </c:pt>
                <c:pt idx="19">
                  <c:v>0.21371833333333345</c:v>
                </c:pt>
                <c:pt idx="20">
                  <c:v>0.21378783333333384</c:v>
                </c:pt>
                <c:pt idx="21">
                  <c:v>0.21442341666666698</c:v>
                </c:pt>
                <c:pt idx="22">
                  <c:v>0.15619383333333392</c:v>
                </c:pt>
                <c:pt idx="23">
                  <c:v>7.3611666666666409E-3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5.4749999999437193E-5</c:v>
                </c:pt>
                <c:pt idx="28">
                  <c:v>1.2370833333328335E-3</c:v>
                </c:pt>
                <c:pt idx="29">
                  <c:v>1.2374166666671016E-3</c:v>
                </c:pt>
                <c:pt idx="30">
                  <c:v>3.7155000000002047E-3</c:v>
                </c:pt>
                <c:pt idx="31">
                  <c:v>4.4264499999999707E-2</c:v>
                </c:pt>
                <c:pt idx="32">
                  <c:v>9.0758749999998223E-2</c:v>
                </c:pt>
                <c:pt idx="33">
                  <c:v>0.10128000000000092</c:v>
                </c:pt>
                <c:pt idx="34">
                  <c:v>0.10128000000000181</c:v>
                </c:pt>
                <c:pt idx="35">
                  <c:v>9.2600333333331619E-2</c:v>
                </c:pt>
                <c:pt idx="36">
                  <c:v>3.6698500000000855E-2</c:v>
                </c:pt>
                <c:pt idx="37">
                  <c:v>3.6316666666635911E-4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2.2846666666662685E-3</c:v>
                </c:pt>
                <c:pt idx="45">
                  <c:v>3.759300000000021E-2</c:v>
                </c:pt>
                <c:pt idx="46">
                  <c:v>0.23077983333333307</c:v>
                </c:pt>
                <c:pt idx="47">
                  <c:v>0.26264183333333335</c:v>
                </c:pt>
                <c:pt idx="48">
                  <c:v>0.18001941666666621</c:v>
                </c:pt>
                <c:pt idx="49">
                  <c:v>5.3622499999992357E-3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4.2404166666685228E-3</c:v>
                </c:pt>
                <c:pt idx="56">
                  <c:v>8.9944999999991282E-3</c:v>
                </c:pt>
                <c:pt idx="57">
                  <c:v>6.8663333333320864E-3</c:v>
                </c:pt>
                <c:pt idx="58">
                  <c:v>6.8665000000009968E-3</c:v>
                </c:pt>
                <c:pt idx="59">
                  <c:v>6.8665000000009968E-3</c:v>
                </c:pt>
                <c:pt idx="60">
                  <c:v>6.8446666666659439E-3</c:v>
                </c:pt>
                <c:pt idx="61">
                  <c:v>9.6500000000006025E-3</c:v>
                </c:pt>
                <c:pt idx="62">
                  <c:v>2.3282666666666785E-2</c:v>
                </c:pt>
                <c:pt idx="63">
                  <c:v>5.8312583333332668E-2</c:v>
                </c:pt>
                <c:pt idx="64">
                  <c:v>8.3129333333333832E-2</c:v>
                </c:pt>
                <c:pt idx="65">
                  <c:v>8.4113999999999578E-2</c:v>
                </c:pt>
                <c:pt idx="66">
                  <c:v>7.4854166666666444E-2</c:v>
                </c:pt>
                <c:pt idx="67">
                  <c:v>5.5343666666667346E-2</c:v>
                </c:pt>
                <c:pt idx="68">
                  <c:v>5.3573583333331953E-2</c:v>
                </c:pt>
                <c:pt idx="69">
                  <c:v>1.6525083333334578E-2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3.7733333333367369E-4</c:v>
                </c:pt>
                <c:pt idx="75">
                  <c:v>2.7346666666661079E-3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1.5951916666667287E-2</c:v>
                </c:pt>
                <c:pt idx="84">
                  <c:v>6.948783333333175E-2</c:v>
                </c:pt>
                <c:pt idx="85">
                  <c:v>6.806975000000115E-2</c:v>
                </c:pt>
                <c:pt idx="86">
                  <c:v>8.382499999999915E-2</c:v>
                </c:pt>
                <c:pt idx="87">
                  <c:v>0.17516074999999987</c:v>
                </c:pt>
                <c:pt idx="88">
                  <c:v>0.18882750000000037</c:v>
                </c:pt>
                <c:pt idx="89">
                  <c:v>0.18882750000000037</c:v>
                </c:pt>
                <c:pt idx="90">
                  <c:v>0.17349441666666721</c:v>
                </c:pt>
                <c:pt idx="91">
                  <c:v>0.13775999999999922</c:v>
                </c:pt>
                <c:pt idx="92">
                  <c:v>0.208064583333333</c:v>
                </c:pt>
                <c:pt idx="93">
                  <c:v>0.1463208333333359</c:v>
                </c:pt>
                <c:pt idx="94">
                  <c:v>2.8220916666665374E-2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9-D349-B1B4-BDA54B80AEF1}"/>
            </c:ext>
          </c:extLst>
        </c:ser>
        <c:ser>
          <c:idx val="1"/>
          <c:order val="1"/>
          <c:tx>
            <c:strRef>
              <c:f>'Non-cum 1day avg of avgs'!$V$1</c:f>
              <c:strCache>
                <c:ptCount val="1"/>
                <c:pt idx="0">
                  <c:v>124L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avgs'!$V$2:$V$98</c:f>
              <c:numCache>
                <c:formatCode>General</c:formatCode>
                <c:ptCount val="97"/>
                <c:pt idx="0">
                  <c:v>0</c:v>
                </c:pt>
                <c:pt idx="1">
                  <c:v>8.368199999999959E-2</c:v>
                </c:pt>
                <c:pt idx="2">
                  <c:v>6.4164666666667092E-2</c:v>
                </c:pt>
                <c:pt idx="3">
                  <c:v>2.6595083333333047E-2</c:v>
                </c:pt>
                <c:pt idx="4">
                  <c:v>4.4864000000000459E-2</c:v>
                </c:pt>
                <c:pt idx="5">
                  <c:v>5.0646083333333536E-2</c:v>
                </c:pt>
                <c:pt idx="6">
                  <c:v>3.2595333333333087E-2</c:v>
                </c:pt>
                <c:pt idx="7">
                  <c:v>7.5811666666663058E-3</c:v>
                </c:pt>
                <c:pt idx="8">
                  <c:v>8.5676666666669732E-3</c:v>
                </c:pt>
                <c:pt idx="9">
                  <c:v>1.5262916666666904E-2</c:v>
                </c:pt>
                <c:pt idx="10">
                  <c:v>2.4842500000000101E-2</c:v>
                </c:pt>
                <c:pt idx="11">
                  <c:v>1.5030416666665936E-2</c:v>
                </c:pt>
                <c:pt idx="12">
                  <c:v>1.0118333333339891E-3</c:v>
                </c:pt>
                <c:pt idx="13">
                  <c:v>2.3333333336594819E-6</c:v>
                </c:pt>
                <c:pt idx="14">
                  <c:v>0</c:v>
                </c:pt>
                <c:pt idx="15">
                  <c:v>0.17242799999999914</c:v>
                </c:pt>
                <c:pt idx="16">
                  <c:v>0.50595641666666769</c:v>
                </c:pt>
                <c:pt idx="17">
                  <c:v>0.1411308333333321</c:v>
                </c:pt>
                <c:pt idx="18">
                  <c:v>0.13818741666666767</c:v>
                </c:pt>
                <c:pt idx="19">
                  <c:v>0.13818733333333277</c:v>
                </c:pt>
                <c:pt idx="20">
                  <c:v>0.13818749999999946</c:v>
                </c:pt>
                <c:pt idx="21">
                  <c:v>0.11113083333333451</c:v>
                </c:pt>
                <c:pt idx="22">
                  <c:v>9.5506666666667073E-3</c:v>
                </c:pt>
                <c:pt idx="23">
                  <c:v>0</c:v>
                </c:pt>
                <c:pt idx="24">
                  <c:v>9.2060999999999282E-2</c:v>
                </c:pt>
                <c:pt idx="25">
                  <c:v>0.13995599999999975</c:v>
                </c:pt>
                <c:pt idx="26">
                  <c:v>2.3800666666667247E-2</c:v>
                </c:pt>
                <c:pt idx="27">
                  <c:v>2.0699666666667227E-2</c:v>
                </c:pt>
                <c:pt idx="28">
                  <c:v>1.7010833333332975E-2</c:v>
                </c:pt>
                <c:pt idx="29">
                  <c:v>5.3089999999995641E-3</c:v>
                </c:pt>
                <c:pt idx="30">
                  <c:v>5.1498333333324098E-3</c:v>
                </c:pt>
                <c:pt idx="31">
                  <c:v>5.1846666666683916E-3</c:v>
                </c:pt>
                <c:pt idx="32">
                  <c:v>9.4451666666657275E-3</c:v>
                </c:pt>
                <c:pt idx="33">
                  <c:v>1.2016333333333407E-2</c:v>
                </c:pt>
                <c:pt idx="34">
                  <c:v>1.2016250000000284E-2</c:v>
                </c:pt>
                <c:pt idx="35">
                  <c:v>1.2016333333333407E-2</c:v>
                </c:pt>
                <c:pt idx="36">
                  <c:v>1.1083083333332411E-2</c:v>
                </c:pt>
                <c:pt idx="37">
                  <c:v>1.5816666666666812E-2</c:v>
                </c:pt>
                <c:pt idx="38">
                  <c:v>0.18745433333333317</c:v>
                </c:pt>
                <c:pt idx="39">
                  <c:v>0.24032583333333424</c:v>
                </c:pt>
                <c:pt idx="40">
                  <c:v>0.24032599999999782</c:v>
                </c:pt>
                <c:pt idx="41">
                  <c:v>0.19199591666666826</c:v>
                </c:pt>
                <c:pt idx="42">
                  <c:v>6.3983666666667105E-2</c:v>
                </c:pt>
                <c:pt idx="43">
                  <c:v>7.9062416666666024E-2</c:v>
                </c:pt>
                <c:pt idx="44">
                  <c:v>0.10986325000000008</c:v>
                </c:pt>
                <c:pt idx="45">
                  <c:v>7.2906583333335107E-2</c:v>
                </c:pt>
                <c:pt idx="46">
                  <c:v>3.9396166666666232E-2</c:v>
                </c:pt>
                <c:pt idx="47">
                  <c:v>3.9482166666665819E-2</c:v>
                </c:pt>
                <c:pt idx="48">
                  <c:v>3.9482083333332696E-2</c:v>
                </c:pt>
                <c:pt idx="49">
                  <c:v>3.9482083333334472E-2</c:v>
                </c:pt>
                <c:pt idx="50">
                  <c:v>3.9482166666665819E-2</c:v>
                </c:pt>
                <c:pt idx="51">
                  <c:v>3.9482083333333584E-2</c:v>
                </c:pt>
                <c:pt idx="52">
                  <c:v>3.9482083333332696E-2</c:v>
                </c:pt>
                <c:pt idx="53">
                  <c:v>3.9482166666666707E-2</c:v>
                </c:pt>
                <c:pt idx="54">
                  <c:v>3.8159333333332768E-2</c:v>
                </c:pt>
                <c:pt idx="55">
                  <c:v>2.1267000000000813E-2</c:v>
                </c:pt>
                <c:pt idx="56">
                  <c:v>3.0611666666660042E-3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6.5878333333335704E-3</c:v>
                </c:pt>
                <c:pt idx="63">
                  <c:v>0.25023350000000022</c:v>
                </c:pt>
                <c:pt idx="64">
                  <c:v>0.37235858333333383</c:v>
                </c:pt>
                <c:pt idx="65">
                  <c:v>0.23183958333333354</c:v>
                </c:pt>
                <c:pt idx="66">
                  <c:v>0.13561291666666619</c:v>
                </c:pt>
                <c:pt idx="67">
                  <c:v>8.2659666666667242E-2</c:v>
                </c:pt>
                <c:pt idx="68">
                  <c:v>1.9569083333332848E-2</c:v>
                </c:pt>
                <c:pt idx="69">
                  <c:v>9.38333333326824E-5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8.3250000001200419E-5</c:v>
                </c:pt>
                <c:pt idx="77">
                  <c:v>5.0001666666652511E-3</c:v>
                </c:pt>
                <c:pt idx="78">
                  <c:v>9.6461666666680657E-3</c:v>
                </c:pt>
                <c:pt idx="79">
                  <c:v>2.2746333333332203E-2</c:v>
                </c:pt>
                <c:pt idx="80">
                  <c:v>6.1849166666689825E-3</c:v>
                </c:pt>
                <c:pt idx="81">
                  <c:v>4.1428333333310974E-3</c:v>
                </c:pt>
                <c:pt idx="82">
                  <c:v>4.4718333333326754E-3</c:v>
                </c:pt>
                <c:pt idx="83">
                  <c:v>6.0950000000037363E-4</c:v>
                </c:pt>
                <c:pt idx="84">
                  <c:v>1.2867583333334487E-2</c:v>
                </c:pt>
                <c:pt idx="85">
                  <c:v>5.9362583333332886E-2</c:v>
                </c:pt>
                <c:pt idx="86">
                  <c:v>6.3514749999999509E-2</c:v>
                </c:pt>
                <c:pt idx="87">
                  <c:v>6.3514750000001285E-2</c:v>
                </c:pt>
                <c:pt idx="88">
                  <c:v>6.3514583333334151E-2</c:v>
                </c:pt>
                <c:pt idx="89">
                  <c:v>0.11021566666666516</c:v>
                </c:pt>
                <c:pt idx="90">
                  <c:v>0.23402408333333558</c:v>
                </c:pt>
                <c:pt idx="91">
                  <c:v>4.80600000000031E-3</c:v>
                </c:pt>
                <c:pt idx="92">
                  <c:v>9.3535416666663096E-2</c:v>
                </c:pt>
                <c:pt idx="93">
                  <c:v>0.28390133333333356</c:v>
                </c:pt>
                <c:pt idx="94">
                  <c:v>0.15388675000000163</c:v>
                </c:pt>
                <c:pt idx="95">
                  <c:v>0.1298829166666664</c:v>
                </c:pt>
                <c:pt idx="96">
                  <c:v>0.11669299999999971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59-D349-B1B4-BDA54B80AEF1}"/>
            </c:ext>
          </c:extLst>
        </c:ser>
        <c:ser>
          <c:idx val="2"/>
          <c:order val="2"/>
          <c:tx>
            <c:strRef>
              <c:f>'Non-cum 1day avg of avgs'!$W$1</c:f>
              <c:strCache>
                <c:ptCount val="1"/>
                <c:pt idx="0">
                  <c:v>124N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avgs'!$W$2:$W$98</c:f>
              <c:numCache>
                <c:formatCode>General</c:formatCode>
                <c:ptCount val="97"/>
                <c:pt idx="0">
                  <c:v>0</c:v>
                </c:pt>
                <c:pt idx="1">
                  <c:v>0.14117858333333322</c:v>
                </c:pt>
                <c:pt idx="2">
                  <c:v>7.6535333333333622E-2</c:v>
                </c:pt>
                <c:pt idx="3">
                  <c:v>2.359066666666676E-2</c:v>
                </c:pt>
                <c:pt idx="4">
                  <c:v>1.1792666666666562E-2</c:v>
                </c:pt>
                <c:pt idx="5">
                  <c:v>1.2016249999999395E-2</c:v>
                </c:pt>
                <c:pt idx="6">
                  <c:v>1.2016250000000284E-2</c:v>
                </c:pt>
                <c:pt idx="7">
                  <c:v>1.2016333333332962E-2</c:v>
                </c:pt>
                <c:pt idx="8">
                  <c:v>1.2016250000000728E-2</c:v>
                </c:pt>
                <c:pt idx="9">
                  <c:v>1.6797083333333074E-2</c:v>
                </c:pt>
                <c:pt idx="10">
                  <c:v>2.7193499999999649E-2</c:v>
                </c:pt>
                <c:pt idx="11">
                  <c:v>2.74658333333333E-2</c:v>
                </c:pt>
                <c:pt idx="12">
                  <c:v>2.6018583333334622E-2</c:v>
                </c:pt>
                <c:pt idx="13">
                  <c:v>1.1686999999998893E-2</c:v>
                </c:pt>
                <c:pt idx="14">
                  <c:v>5.8056666666666423E-2</c:v>
                </c:pt>
                <c:pt idx="15">
                  <c:v>7.12394999999999E-2</c:v>
                </c:pt>
                <c:pt idx="16">
                  <c:v>7.1239500000000344E-2</c:v>
                </c:pt>
                <c:pt idx="17">
                  <c:v>6.8513666666666584E-2</c:v>
                </c:pt>
                <c:pt idx="18">
                  <c:v>3.6807833333333928E-2</c:v>
                </c:pt>
                <c:pt idx="19">
                  <c:v>5.349683333333255E-2</c:v>
                </c:pt>
                <c:pt idx="20">
                  <c:v>0.10788958333333376</c:v>
                </c:pt>
                <c:pt idx="21">
                  <c:v>3.9042083333334254E-2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3.5324999999897244E-4</c:v>
                </c:pt>
                <c:pt idx="31">
                  <c:v>8.5475000000023726E-4</c:v>
                </c:pt>
                <c:pt idx="32">
                  <c:v>8.5833333333296125E-4</c:v>
                </c:pt>
                <c:pt idx="33">
                  <c:v>9.8958333333376558E-4</c:v>
                </c:pt>
                <c:pt idx="34">
                  <c:v>3.6325416666666221E-2</c:v>
                </c:pt>
                <c:pt idx="35">
                  <c:v>4.9312583333334103E-2</c:v>
                </c:pt>
                <c:pt idx="36">
                  <c:v>1.1410999999998506E-2</c:v>
                </c:pt>
                <c:pt idx="37">
                  <c:v>1.8203666666667839E-2</c:v>
                </c:pt>
                <c:pt idx="38">
                  <c:v>5.6689666666665861E-2</c:v>
                </c:pt>
                <c:pt idx="39">
                  <c:v>0.13539575000000159</c:v>
                </c:pt>
                <c:pt idx="40">
                  <c:v>0.11493141666666506</c:v>
                </c:pt>
                <c:pt idx="41">
                  <c:v>6.567058333333442E-2</c:v>
                </c:pt>
                <c:pt idx="42">
                  <c:v>7.0381166666666495E-2</c:v>
                </c:pt>
                <c:pt idx="43">
                  <c:v>7.0381166666664718E-2</c:v>
                </c:pt>
                <c:pt idx="44">
                  <c:v>7.0381166666668271E-2</c:v>
                </c:pt>
                <c:pt idx="45">
                  <c:v>5.7465416666667934E-2</c:v>
                </c:pt>
                <c:pt idx="46">
                  <c:v>5.437083333332815E-3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1.0364499999998777E-2</c:v>
                </c:pt>
                <c:pt idx="64">
                  <c:v>4.3806083333333135E-2</c:v>
                </c:pt>
                <c:pt idx="65">
                  <c:v>4.634850000000057E-2</c:v>
                </c:pt>
                <c:pt idx="66">
                  <c:v>4.6348666666665927E-2</c:v>
                </c:pt>
                <c:pt idx="67">
                  <c:v>4.6348500000001458E-2</c:v>
                </c:pt>
                <c:pt idx="68">
                  <c:v>6.4857916666666071E-2</c:v>
                </c:pt>
                <c:pt idx="69">
                  <c:v>0.12585025000000005</c:v>
                </c:pt>
                <c:pt idx="70">
                  <c:v>0.13046266666666728</c:v>
                </c:pt>
                <c:pt idx="71">
                  <c:v>0.11185683333333252</c:v>
                </c:pt>
                <c:pt idx="72">
                  <c:v>5.3013499999998714E-2</c:v>
                </c:pt>
                <c:pt idx="73">
                  <c:v>2.9182333333334753E-2</c:v>
                </c:pt>
                <c:pt idx="74">
                  <c:v>2.9182500000000999E-2</c:v>
                </c:pt>
                <c:pt idx="75">
                  <c:v>2.7411333333331456E-2</c:v>
                </c:pt>
                <c:pt idx="76">
                  <c:v>6.1854166666659438E-3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1.1207666666667393E-2</c:v>
                </c:pt>
                <c:pt idx="88">
                  <c:v>4.4483333333333874E-2</c:v>
                </c:pt>
                <c:pt idx="89">
                  <c:v>4.5849000000000473E-2</c:v>
                </c:pt>
                <c:pt idx="90">
                  <c:v>4.972916666666638E-2</c:v>
                </c:pt>
                <c:pt idx="91">
                  <c:v>5.3215000000000678E-2</c:v>
                </c:pt>
                <c:pt idx="92">
                  <c:v>5.4643583333332302E-2</c:v>
                </c:pt>
                <c:pt idx="93">
                  <c:v>8.696166666666727E-2</c:v>
                </c:pt>
                <c:pt idx="94">
                  <c:v>0.11622958333333244</c:v>
                </c:pt>
                <c:pt idx="95">
                  <c:v>0.11592208333333343</c:v>
                </c:pt>
                <c:pt idx="96">
                  <c:v>0.16987608333333437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59-D349-B1B4-BDA54B80AEF1}"/>
            </c:ext>
          </c:extLst>
        </c:ser>
        <c:ser>
          <c:idx val="3"/>
          <c:order val="3"/>
          <c:tx>
            <c:strRef>
              <c:f>'Non-cum 1day avg of avgs'!$X$1</c:f>
              <c:strCache>
                <c:ptCount val="1"/>
                <c:pt idx="0">
                  <c:v>123L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avgs'!$X$2:$X$98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2.5221666666670473E-3</c:v>
                </c:pt>
                <c:pt idx="3">
                  <c:v>6.0888333333335432E-3</c:v>
                </c:pt>
                <c:pt idx="4">
                  <c:v>0</c:v>
                </c:pt>
                <c:pt idx="5">
                  <c:v>8.335833333332765E-4</c:v>
                </c:pt>
                <c:pt idx="6">
                  <c:v>9.7501666666666154E-3</c:v>
                </c:pt>
                <c:pt idx="7">
                  <c:v>3.0555749999999993E-2</c:v>
                </c:pt>
                <c:pt idx="8">
                  <c:v>3.008674999999994E-2</c:v>
                </c:pt>
                <c:pt idx="9">
                  <c:v>3.1705249999999907E-2</c:v>
                </c:pt>
                <c:pt idx="10">
                  <c:v>3.7388166666666889E-2</c:v>
                </c:pt>
                <c:pt idx="11">
                  <c:v>4.1198833333333518E-2</c:v>
                </c:pt>
                <c:pt idx="12">
                  <c:v>4.1198666666666606E-2</c:v>
                </c:pt>
                <c:pt idx="13">
                  <c:v>4.1198750000000173E-2</c:v>
                </c:pt>
                <c:pt idx="14">
                  <c:v>3.0375833333333269E-2</c:v>
                </c:pt>
                <c:pt idx="15">
                  <c:v>1.5422499999999673E-3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2.4363416666666637E-2</c:v>
                </c:pt>
                <c:pt idx="23">
                  <c:v>0.16404666666666645</c:v>
                </c:pt>
                <c:pt idx="24">
                  <c:v>0.18625875000000036</c:v>
                </c:pt>
                <c:pt idx="25">
                  <c:v>0.17824758333333257</c:v>
                </c:pt>
                <c:pt idx="26">
                  <c:v>4.8864583333333655E-2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7.4933333333326857E-4</c:v>
                </c:pt>
                <c:pt idx="32">
                  <c:v>7.736750000000292E-3</c:v>
                </c:pt>
                <c:pt idx="33">
                  <c:v>1.2952583333333045E-2</c:v>
                </c:pt>
                <c:pt idx="34">
                  <c:v>5.3605000000000125E-2</c:v>
                </c:pt>
                <c:pt idx="35">
                  <c:v>9.5985166666666455E-2</c:v>
                </c:pt>
                <c:pt idx="36">
                  <c:v>9.6988666666667278E-2</c:v>
                </c:pt>
                <c:pt idx="37">
                  <c:v>9.698866666666639E-2</c:v>
                </c:pt>
                <c:pt idx="38">
                  <c:v>9.6988749999999957E-2</c:v>
                </c:pt>
                <c:pt idx="39">
                  <c:v>0.10164250000000008</c:v>
                </c:pt>
                <c:pt idx="40">
                  <c:v>0.15018941666666663</c:v>
                </c:pt>
                <c:pt idx="41">
                  <c:v>0.16067258333333356</c:v>
                </c:pt>
                <c:pt idx="42">
                  <c:v>0.11549074999999975</c:v>
                </c:pt>
                <c:pt idx="43">
                  <c:v>9.1786500000000881E-2</c:v>
                </c:pt>
                <c:pt idx="44">
                  <c:v>4.2873583333332466E-2</c:v>
                </c:pt>
                <c:pt idx="45">
                  <c:v>8.9093666666666849E-2</c:v>
                </c:pt>
                <c:pt idx="46">
                  <c:v>7.1288499999999644E-2</c:v>
                </c:pt>
                <c:pt idx="47">
                  <c:v>5.6035833333338836E-3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3.6064999999982916E-3</c:v>
                </c:pt>
                <c:pt idx="58">
                  <c:v>5.88550000000021E-3</c:v>
                </c:pt>
                <c:pt idx="59">
                  <c:v>0</c:v>
                </c:pt>
                <c:pt idx="60">
                  <c:v>5.3195833333345988E-3</c:v>
                </c:pt>
                <c:pt idx="61">
                  <c:v>1.9046499999999966E-2</c:v>
                </c:pt>
                <c:pt idx="62">
                  <c:v>1.9741083333333354E-2</c:v>
                </c:pt>
                <c:pt idx="63">
                  <c:v>1.9741083333332909E-2</c:v>
                </c:pt>
                <c:pt idx="64">
                  <c:v>1.9570333333334133E-2</c:v>
                </c:pt>
                <c:pt idx="65">
                  <c:v>3.3077249999999392E-2</c:v>
                </c:pt>
                <c:pt idx="66">
                  <c:v>0.13519425000000007</c:v>
                </c:pt>
                <c:pt idx="67">
                  <c:v>0.27249141666666699</c:v>
                </c:pt>
                <c:pt idx="68">
                  <c:v>0.2763749166666658</c:v>
                </c:pt>
                <c:pt idx="69">
                  <c:v>0.27637483333333357</c:v>
                </c:pt>
                <c:pt idx="70">
                  <c:v>0.1346507499999996</c:v>
                </c:pt>
                <c:pt idx="71">
                  <c:v>1.143775000000069E-2</c:v>
                </c:pt>
                <c:pt idx="72">
                  <c:v>1.8882833333333515E-2</c:v>
                </c:pt>
                <c:pt idx="73">
                  <c:v>1.8882750000000392E-2</c:v>
                </c:pt>
                <c:pt idx="74">
                  <c:v>1.8882749999999504E-2</c:v>
                </c:pt>
                <c:pt idx="75">
                  <c:v>1.8188250000000572E-2</c:v>
                </c:pt>
                <c:pt idx="76">
                  <c:v>4.9976666666662339E-3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7.5152499999999733E-3</c:v>
                </c:pt>
                <c:pt idx="86">
                  <c:v>2.1026833333332107E-2</c:v>
                </c:pt>
                <c:pt idx="87">
                  <c:v>3.9109166666664308E-3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1.4300416666668703E-2</c:v>
                </c:pt>
                <c:pt idx="94">
                  <c:v>1.115058333333252E-2</c:v>
                </c:pt>
                <c:pt idx="95">
                  <c:v>0</c:v>
                </c:pt>
                <c:pt idx="96">
                  <c:v>1.7742666666666906E-2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59-D349-B1B4-BDA54B80AEF1}"/>
            </c:ext>
          </c:extLst>
        </c:ser>
        <c:ser>
          <c:idx val="4"/>
          <c:order val="4"/>
          <c:tx>
            <c:strRef>
              <c:f>'Non-cum 1day avg of avgs'!$Y$1</c:f>
              <c:strCache>
                <c:ptCount val="1"/>
                <c:pt idx="0">
                  <c:v>125L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avgs'!$Y$2:$Y$98</c:f>
              <c:numCache>
                <c:formatCode>General</c:formatCode>
                <c:ptCount val="97"/>
                <c:pt idx="0">
                  <c:v>0</c:v>
                </c:pt>
                <c:pt idx="1">
                  <c:v>1.6737166666666692E-2</c:v>
                </c:pt>
                <c:pt idx="2">
                  <c:v>3.0219999999999914E-2</c:v>
                </c:pt>
                <c:pt idx="3">
                  <c:v>2.1273500000000389E-2</c:v>
                </c:pt>
                <c:pt idx="4">
                  <c:v>1.1004999999999487E-2</c:v>
                </c:pt>
                <c:pt idx="5">
                  <c:v>9.9444749999999971E-2</c:v>
                </c:pt>
                <c:pt idx="6">
                  <c:v>0.12187958333333349</c:v>
                </c:pt>
                <c:pt idx="7">
                  <c:v>0.12187816666666729</c:v>
                </c:pt>
                <c:pt idx="8">
                  <c:v>0.12188099999999924</c:v>
                </c:pt>
                <c:pt idx="9">
                  <c:v>0.12187958333333349</c:v>
                </c:pt>
                <c:pt idx="10">
                  <c:v>0.10254499999999922</c:v>
                </c:pt>
                <c:pt idx="11">
                  <c:v>0.2242901666666679</c:v>
                </c:pt>
                <c:pt idx="12">
                  <c:v>0.24453458333333344</c:v>
                </c:pt>
                <c:pt idx="13">
                  <c:v>7.1092499999996228E-3</c:v>
                </c:pt>
                <c:pt idx="14">
                  <c:v>6.0082500000002703E-3</c:v>
                </c:pt>
                <c:pt idx="15">
                  <c:v>6.0080000000000133E-3</c:v>
                </c:pt>
                <c:pt idx="16">
                  <c:v>8.0531666666669999E-3</c:v>
                </c:pt>
                <c:pt idx="17">
                  <c:v>1.7768333333334496E-3</c:v>
                </c:pt>
                <c:pt idx="18">
                  <c:v>0</c:v>
                </c:pt>
                <c:pt idx="19">
                  <c:v>2.0141666666617652E-4</c:v>
                </c:pt>
                <c:pt idx="20">
                  <c:v>5.0156666666656413E-3</c:v>
                </c:pt>
                <c:pt idx="21">
                  <c:v>5.0348333333336548E-3</c:v>
                </c:pt>
                <c:pt idx="22">
                  <c:v>0.17408383333333388</c:v>
                </c:pt>
                <c:pt idx="23">
                  <c:v>0.26744658333333371</c:v>
                </c:pt>
                <c:pt idx="24">
                  <c:v>4.8132666666666601E-2</c:v>
                </c:pt>
                <c:pt idx="25">
                  <c:v>0</c:v>
                </c:pt>
                <c:pt idx="26">
                  <c:v>4.4695833333332491E-2</c:v>
                </c:pt>
                <c:pt idx="27">
                  <c:v>0.22857466666666681</c:v>
                </c:pt>
                <c:pt idx="28">
                  <c:v>0.22737199999999991</c:v>
                </c:pt>
                <c:pt idx="29">
                  <c:v>0.23517050000000062</c:v>
                </c:pt>
                <c:pt idx="30">
                  <c:v>0.22103300000000026</c:v>
                </c:pt>
                <c:pt idx="31">
                  <c:v>5.010599999999954E-2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6.2474999999997394E-3</c:v>
                </c:pt>
                <c:pt idx="36">
                  <c:v>4.4871333333333929E-2</c:v>
                </c:pt>
                <c:pt idx="37">
                  <c:v>4.752558333333301E-2</c:v>
                </c:pt>
                <c:pt idx="38">
                  <c:v>9.4585833333331593E-3</c:v>
                </c:pt>
                <c:pt idx="39">
                  <c:v>1.4623333333334543E-3</c:v>
                </c:pt>
                <c:pt idx="40">
                  <c:v>1.525916666666749E-2</c:v>
                </c:pt>
                <c:pt idx="41">
                  <c:v>2.2315999999999114E-2</c:v>
                </c:pt>
                <c:pt idx="42">
                  <c:v>2.2316000000000891E-2</c:v>
                </c:pt>
                <c:pt idx="43">
                  <c:v>2.2315999999999114E-2</c:v>
                </c:pt>
                <c:pt idx="44">
                  <c:v>1.8318833333333728E-2</c:v>
                </c:pt>
                <c:pt idx="45">
                  <c:v>1.7347333333333381E-2</c:v>
                </c:pt>
                <c:pt idx="46">
                  <c:v>1.438158333333206E-2</c:v>
                </c:pt>
                <c:pt idx="47">
                  <c:v>2.0947000000001381E-2</c:v>
                </c:pt>
                <c:pt idx="48">
                  <c:v>1.0227499999997391E-3</c:v>
                </c:pt>
                <c:pt idx="49">
                  <c:v>0</c:v>
                </c:pt>
                <c:pt idx="50">
                  <c:v>0</c:v>
                </c:pt>
                <c:pt idx="51">
                  <c:v>1.1109583333333006E-2</c:v>
                </c:pt>
                <c:pt idx="52">
                  <c:v>5.8217833333333857E-2</c:v>
                </c:pt>
                <c:pt idx="53">
                  <c:v>6.1749166666666966E-2</c:v>
                </c:pt>
                <c:pt idx="54">
                  <c:v>0.14218083333333276</c:v>
                </c:pt>
                <c:pt idx="55">
                  <c:v>0.17941383333333327</c:v>
                </c:pt>
                <c:pt idx="56">
                  <c:v>2.5814999999999699E-2</c:v>
                </c:pt>
                <c:pt idx="57">
                  <c:v>1.2080166666667225E-2</c:v>
                </c:pt>
                <c:pt idx="58">
                  <c:v>4.9051333333332003E-2</c:v>
                </c:pt>
                <c:pt idx="59">
                  <c:v>6.6738416666666467E-2</c:v>
                </c:pt>
                <c:pt idx="60">
                  <c:v>2.2829583333334291E-2</c:v>
                </c:pt>
                <c:pt idx="61">
                  <c:v>2.74658333333333E-2</c:v>
                </c:pt>
                <c:pt idx="62">
                  <c:v>1.7014166666665886E-2</c:v>
                </c:pt>
                <c:pt idx="63">
                  <c:v>1.4414833333334265E-2</c:v>
                </c:pt>
                <c:pt idx="64">
                  <c:v>3.8792000000000826E-2</c:v>
                </c:pt>
                <c:pt idx="65">
                  <c:v>3.9482083333332696E-2</c:v>
                </c:pt>
                <c:pt idx="66">
                  <c:v>3.9482166666667595E-2</c:v>
                </c:pt>
                <c:pt idx="67">
                  <c:v>3.9482083333332696E-2</c:v>
                </c:pt>
                <c:pt idx="68">
                  <c:v>3.9482083333332696E-2</c:v>
                </c:pt>
                <c:pt idx="69">
                  <c:v>3.9482166666666707E-2</c:v>
                </c:pt>
                <c:pt idx="70">
                  <c:v>3.9482083333332696E-2</c:v>
                </c:pt>
                <c:pt idx="71">
                  <c:v>3.9482083333333584E-2</c:v>
                </c:pt>
                <c:pt idx="72">
                  <c:v>3.9482166666665819E-2</c:v>
                </c:pt>
                <c:pt idx="73">
                  <c:v>3.9482166666668483E-2</c:v>
                </c:pt>
                <c:pt idx="74">
                  <c:v>3.948208333333536E-2</c:v>
                </c:pt>
                <c:pt idx="75">
                  <c:v>3.1922666666664767E-2</c:v>
                </c:pt>
                <c:pt idx="76">
                  <c:v>2.8045833333329995E-3</c:v>
                </c:pt>
                <c:pt idx="77">
                  <c:v>0</c:v>
                </c:pt>
                <c:pt idx="78">
                  <c:v>1.5752916666667005E-2</c:v>
                </c:pt>
                <c:pt idx="79">
                  <c:v>6.2557499999993382E-3</c:v>
                </c:pt>
                <c:pt idx="80">
                  <c:v>1.0707000000000022E-2</c:v>
                </c:pt>
                <c:pt idx="81">
                  <c:v>1.2016249999999395E-2</c:v>
                </c:pt>
                <c:pt idx="82">
                  <c:v>1.1482749999999875E-2</c:v>
                </c:pt>
                <c:pt idx="83">
                  <c:v>5.1765833333341504E-3</c:v>
                </c:pt>
                <c:pt idx="84">
                  <c:v>3.4331666666664873E-3</c:v>
                </c:pt>
                <c:pt idx="85">
                  <c:v>3.4331666666664873E-3</c:v>
                </c:pt>
                <c:pt idx="86">
                  <c:v>2.2474166666661688E-3</c:v>
                </c:pt>
                <c:pt idx="87">
                  <c:v>4.8999999998855515E-5</c:v>
                </c:pt>
                <c:pt idx="88">
                  <c:v>0</c:v>
                </c:pt>
                <c:pt idx="89">
                  <c:v>0</c:v>
                </c:pt>
                <c:pt idx="90">
                  <c:v>1.1800000000050659E-4</c:v>
                </c:pt>
                <c:pt idx="91">
                  <c:v>6.5978333333331918E-3</c:v>
                </c:pt>
                <c:pt idx="92">
                  <c:v>1.0299666666668372E-2</c:v>
                </c:pt>
                <c:pt idx="93">
                  <c:v>1.0299750000000607E-2</c:v>
                </c:pt>
                <c:pt idx="94">
                  <c:v>1.0299666666666596E-2</c:v>
                </c:pt>
                <c:pt idx="95">
                  <c:v>9.8095833333324833E-3</c:v>
                </c:pt>
                <c:pt idx="96">
                  <c:v>8.5050833333326636E-3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D7-7E49-AE23-E723ECEDCCD5}"/>
            </c:ext>
          </c:extLst>
        </c:ser>
        <c:ser>
          <c:idx val="5"/>
          <c:order val="5"/>
          <c:tx>
            <c:strRef>
              <c:f>'Non-cum 1day avg of avgs'!$Z$1</c:f>
              <c:strCache>
                <c:ptCount val="1"/>
                <c:pt idx="0">
                  <c:v>126N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avgs'!$Z$2:$Z$98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5.2340416666666556E-2</c:v>
                </c:pt>
                <c:pt idx="3">
                  <c:v>0.13930941666666641</c:v>
                </c:pt>
                <c:pt idx="4">
                  <c:v>0.10608066666666716</c:v>
                </c:pt>
                <c:pt idx="5">
                  <c:v>8.7166916666664207E-2</c:v>
                </c:pt>
                <c:pt idx="6">
                  <c:v>1.5684833333335035E-2</c:v>
                </c:pt>
                <c:pt idx="7">
                  <c:v>0.19761708333333328</c:v>
                </c:pt>
                <c:pt idx="8">
                  <c:v>0.17473033333333365</c:v>
                </c:pt>
                <c:pt idx="9">
                  <c:v>0.15347083333333345</c:v>
                </c:pt>
                <c:pt idx="10">
                  <c:v>5.1383500000000026E-2</c:v>
                </c:pt>
                <c:pt idx="11">
                  <c:v>0</c:v>
                </c:pt>
                <c:pt idx="12">
                  <c:v>6.8202583333333955E-2</c:v>
                </c:pt>
                <c:pt idx="13">
                  <c:v>9.9184416666669328E-2</c:v>
                </c:pt>
                <c:pt idx="14">
                  <c:v>4.9504416666664497E-2</c:v>
                </c:pt>
                <c:pt idx="15">
                  <c:v>0.12294675000000055</c:v>
                </c:pt>
                <c:pt idx="16">
                  <c:v>0.12253908333333108</c:v>
                </c:pt>
                <c:pt idx="17">
                  <c:v>0.14463750000000086</c:v>
                </c:pt>
                <c:pt idx="18">
                  <c:v>0.17692383333333428</c:v>
                </c:pt>
                <c:pt idx="19">
                  <c:v>0.17818074999999833</c:v>
                </c:pt>
                <c:pt idx="20">
                  <c:v>0.16895483333333416</c:v>
                </c:pt>
                <c:pt idx="21">
                  <c:v>0.15501958333333121</c:v>
                </c:pt>
                <c:pt idx="22">
                  <c:v>0.16136183333333598</c:v>
                </c:pt>
                <c:pt idx="23">
                  <c:v>0.16136166666666796</c:v>
                </c:pt>
                <c:pt idx="24">
                  <c:v>0.1620606666666653</c:v>
                </c:pt>
                <c:pt idx="25">
                  <c:v>0.21576974999999976</c:v>
                </c:pt>
                <c:pt idx="26">
                  <c:v>0.23689283333333222</c:v>
                </c:pt>
                <c:pt idx="27">
                  <c:v>0.19935175000000172</c:v>
                </c:pt>
                <c:pt idx="28">
                  <c:v>2.253774999999969E-2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2.9067916666667415E-2</c:v>
                </c:pt>
                <c:pt idx="33">
                  <c:v>0.20793183333333332</c:v>
                </c:pt>
                <c:pt idx="34">
                  <c:v>4.9635416666664156E-2</c:v>
                </c:pt>
                <c:pt idx="35">
                  <c:v>0.11404408333333294</c:v>
                </c:pt>
                <c:pt idx="36">
                  <c:v>0.11084424999999953</c:v>
                </c:pt>
                <c:pt idx="37">
                  <c:v>2.226250000000185E-2</c:v>
                </c:pt>
                <c:pt idx="38">
                  <c:v>1.3325000000001808E-2</c:v>
                </c:pt>
                <c:pt idx="39">
                  <c:v>1.6454999999998776E-2</c:v>
                </c:pt>
                <c:pt idx="40">
                  <c:v>2.4992499999999751E-2</c:v>
                </c:pt>
                <c:pt idx="41">
                  <c:v>0.25752500000000111</c:v>
                </c:pt>
                <c:pt idx="42">
                  <c:v>0.26137499999999925</c:v>
                </c:pt>
                <c:pt idx="43">
                  <c:v>0.30568000000000062</c:v>
                </c:pt>
                <c:pt idx="44">
                  <c:v>0.26120499999999858</c:v>
                </c:pt>
                <c:pt idx="45">
                  <c:v>0.16780416666666831</c:v>
                </c:pt>
                <c:pt idx="46">
                  <c:v>0.21862333333332984</c:v>
                </c:pt>
                <c:pt idx="47">
                  <c:v>0.32759666666667187</c:v>
                </c:pt>
                <c:pt idx="48">
                  <c:v>0.12989916666666446</c:v>
                </c:pt>
                <c:pt idx="49">
                  <c:v>0.1197949999999981</c:v>
                </c:pt>
                <c:pt idx="50">
                  <c:v>0.45590250000000054</c:v>
                </c:pt>
                <c:pt idx="51">
                  <c:v>0.12663166666666648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5.2324999999999733E-3</c:v>
                </c:pt>
                <c:pt idx="56">
                  <c:v>2.8934166666667593E-2</c:v>
                </c:pt>
                <c:pt idx="57">
                  <c:v>6.3966666666672722E-3</c:v>
                </c:pt>
                <c:pt idx="58">
                  <c:v>3.1946666666668122E-2</c:v>
                </c:pt>
                <c:pt idx="59">
                  <c:v>0.10491333333332875</c:v>
                </c:pt>
                <c:pt idx="60">
                  <c:v>1.7496666666668048E-2</c:v>
                </c:pt>
                <c:pt idx="61">
                  <c:v>0</c:v>
                </c:pt>
                <c:pt idx="62">
                  <c:v>2.6388333333335012E-2</c:v>
                </c:pt>
                <c:pt idx="63">
                  <c:v>5.889833333333172E-2</c:v>
                </c:pt>
                <c:pt idx="64">
                  <c:v>2.4078333333335422E-2</c:v>
                </c:pt>
                <c:pt idx="65">
                  <c:v>2.4032499999998791E-2</c:v>
                </c:pt>
                <c:pt idx="66">
                  <c:v>2.4033333333333573E-2</c:v>
                </c:pt>
                <c:pt idx="67">
                  <c:v>2.4055833333333609E-2</c:v>
                </c:pt>
                <c:pt idx="68">
                  <c:v>0.12646250000000236</c:v>
                </c:pt>
                <c:pt idx="69">
                  <c:v>0.43013666666666595</c:v>
                </c:pt>
                <c:pt idx="70">
                  <c:v>0.48430416666666076</c:v>
                </c:pt>
                <c:pt idx="71">
                  <c:v>0.21403333333333308</c:v>
                </c:pt>
                <c:pt idx="72">
                  <c:v>3.2979166666670778E-2</c:v>
                </c:pt>
                <c:pt idx="73">
                  <c:v>7.275000000017684E-4</c:v>
                </c:pt>
                <c:pt idx="74">
                  <c:v>0</c:v>
                </c:pt>
                <c:pt idx="75">
                  <c:v>0</c:v>
                </c:pt>
                <c:pt idx="76">
                  <c:v>0.12745833333333145</c:v>
                </c:pt>
                <c:pt idx="77">
                  <c:v>0.29491750000000039</c:v>
                </c:pt>
                <c:pt idx="78">
                  <c:v>0.19551083333333175</c:v>
                </c:pt>
                <c:pt idx="79">
                  <c:v>0.19912833333333424</c:v>
                </c:pt>
                <c:pt idx="80">
                  <c:v>0.19912666666667</c:v>
                </c:pt>
                <c:pt idx="81">
                  <c:v>0.19511499999999771</c:v>
                </c:pt>
                <c:pt idx="82">
                  <c:v>6.2643333333337381E-2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2.1706666666659657E-2</c:v>
                </c:pt>
                <c:pt idx="87">
                  <c:v>2.9219166666667462E-2</c:v>
                </c:pt>
                <c:pt idx="88">
                  <c:v>7.0247500000000684E-2</c:v>
                </c:pt>
                <c:pt idx="89">
                  <c:v>0.1122583333333349</c:v>
                </c:pt>
                <c:pt idx="90">
                  <c:v>0.10368166666667022</c:v>
                </c:pt>
                <c:pt idx="91">
                  <c:v>0.11786666666666434</c:v>
                </c:pt>
                <c:pt idx="92">
                  <c:v>0.29687249999999921</c:v>
                </c:pt>
                <c:pt idx="93">
                  <c:v>0.60567250000000072</c:v>
                </c:pt>
                <c:pt idx="94">
                  <c:v>0.32549333333333053</c:v>
                </c:pt>
                <c:pt idx="95">
                  <c:v>0.25253083333333493</c:v>
                </c:pt>
                <c:pt idx="96">
                  <c:v>0.53494749999999769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D7-7E49-AE23-E723ECEDCCD5}"/>
            </c:ext>
          </c:extLst>
        </c:ser>
        <c:ser>
          <c:idx val="6"/>
          <c:order val="6"/>
          <c:tx>
            <c:strRef>
              <c:f>'Non-cum 1day avg of avgs'!$AA$1</c:f>
              <c:strCache>
                <c:ptCount val="1"/>
                <c:pt idx="0">
                  <c:v>126L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avgs'!$AA$2:$AA$98</c:f>
              <c:numCache>
                <c:formatCode>General</c:formatCode>
                <c:ptCount val="97"/>
                <c:pt idx="0">
                  <c:v>0</c:v>
                </c:pt>
                <c:pt idx="1">
                  <c:v>2.4515750000000613E-2</c:v>
                </c:pt>
                <c:pt idx="2">
                  <c:v>3.4014749999999427E-2</c:v>
                </c:pt>
                <c:pt idx="3">
                  <c:v>2.8150166666666809E-2</c:v>
                </c:pt>
                <c:pt idx="4">
                  <c:v>9.2195833333335031E-3</c:v>
                </c:pt>
                <c:pt idx="5">
                  <c:v>4.0657500000000901E-3</c:v>
                </c:pt>
                <c:pt idx="6">
                  <c:v>3.3109999999996198E-3</c:v>
                </c:pt>
                <c:pt idx="7">
                  <c:v>2.9412500000003394E-3</c:v>
                </c:pt>
                <c:pt idx="8">
                  <c:v>2.1298333333330532E-3</c:v>
                </c:pt>
                <c:pt idx="9">
                  <c:v>2.1456666666666013E-3</c:v>
                </c:pt>
                <c:pt idx="10">
                  <c:v>7.66050000000007E-3</c:v>
                </c:pt>
                <c:pt idx="11">
                  <c:v>0.25230299999999972</c:v>
                </c:pt>
                <c:pt idx="12">
                  <c:v>0.20909083333333278</c:v>
                </c:pt>
                <c:pt idx="13">
                  <c:v>5.9166666668275525E-6</c:v>
                </c:pt>
                <c:pt idx="14">
                  <c:v>0.10945108333333398</c:v>
                </c:pt>
                <c:pt idx="15">
                  <c:v>0.27835783333333364</c:v>
                </c:pt>
                <c:pt idx="16">
                  <c:v>5.2351583333332563E-2</c:v>
                </c:pt>
                <c:pt idx="17">
                  <c:v>8.5833333333384942E-4</c:v>
                </c:pt>
                <c:pt idx="18">
                  <c:v>8.5824999999983831E-4</c:v>
                </c:pt>
                <c:pt idx="19">
                  <c:v>8.4058333333381086E-4</c:v>
                </c:pt>
                <c:pt idx="20">
                  <c:v>2.6833333333309284E-4</c:v>
                </c:pt>
                <c:pt idx="21">
                  <c:v>0</c:v>
                </c:pt>
                <c:pt idx="22">
                  <c:v>0</c:v>
                </c:pt>
                <c:pt idx="23">
                  <c:v>1.0416833333333653E-2</c:v>
                </c:pt>
                <c:pt idx="24">
                  <c:v>0.24153208333333298</c:v>
                </c:pt>
                <c:pt idx="25">
                  <c:v>0.28312374999999967</c:v>
                </c:pt>
                <c:pt idx="26">
                  <c:v>3.9032333333333558E-2</c:v>
                </c:pt>
                <c:pt idx="27">
                  <c:v>0</c:v>
                </c:pt>
                <c:pt idx="28">
                  <c:v>5.2205166666666969E-2</c:v>
                </c:pt>
                <c:pt idx="29">
                  <c:v>0.41496116666666616</c:v>
                </c:pt>
                <c:pt idx="30">
                  <c:v>0.14981891666666725</c:v>
                </c:pt>
                <c:pt idx="31">
                  <c:v>0.12441733333333271</c:v>
                </c:pt>
                <c:pt idx="32">
                  <c:v>0.17919091666666809</c:v>
                </c:pt>
                <c:pt idx="33">
                  <c:v>7.4569666666665313E-2</c:v>
                </c:pt>
                <c:pt idx="34">
                  <c:v>3.1628333333326708E-3</c:v>
                </c:pt>
                <c:pt idx="35">
                  <c:v>0</c:v>
                </c:pt>
                <c:pt idx="36">
                  <c:v>0</c:v>
                </c:pt>
                <c:pt idx="37">
                  <c:v>1.1131666666663875E-3</c:v>
                </c:pt>
                <c:pt idx="38">
                  <c:v>3.0161500000001951E-2</c:v>
                </c:pt>
                <c:pt idx="39">
                  <c:v>4.2915333333332306E-2</c:v>
                </c:pt>
                <c:pt idx="40">
                  <c:v>3.1492416666666578E-2</c:v>
                </c:pt>
                <c:pt idx="41">
                  <c:v>3.055250000000953E-3</c:v>
                </c:pt>
                <c:pt idx="42">
                  <c:v>1.7168333333321684E-3</c:v>
                </c:pt>
                <c:pt idx="43">
                  <c:v>1.5935833333342586E-3</c:v>
                </c:pt>
                <c:pt idx="44">
                  <c:v>3.2891666666667874E-4</c:v>
                </c:pt>
                <c:pt idx="45">
                  <c:v>5.1362333333332622E-2</c:v>
                </c:pt>
                <c:pt idx="46">
                  <c:v>0.28048141666666737</c:v>
                </c:pt>
                <c:pt idx="47">
                  <c:v>7.787683333333284E-2</c:v>
                </c:pt>
                <c:pt idx="48">
                  <c:v>0.2323397500000004</c:v>
                </c:pt>
                <c:pt idx="49">
                  <c:v>0.19587750000000081</c:v>
                </c:pt>
                <c:pt idx="50">
                  <c:v>1.4969166666666922E-2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5.6719999999987891E-3</c:v>
                </c:pt>
                <c:pt idx="55">
                  <c:v>7.7051749999998975E-2</c:v>
                </c:pt>
                <c:pt idx="56">
                  <c:v>0.17660625000000074</c:v>
                </c:pt>
                <c:pt idx="57">
                  <c:v>0.111174833333334</c:v>
                </c:pt>
                <c:pt idx="58">
                  <c:v>1.9367916666666041E-2</c:v>
                </c:pt>
                <c:pt idx="59">
                  <c:v>1.8523000000000067E-2</c:v>
                </c:pt>
                <c:pt idx="60">
                  <c:v>6.0692500000012473E-3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1.77841666666545E-3</c:v>
                </c:pt>
                <c:pt idx="67">
                  <c:v>1.2078166666666945E-2</c:v>
                </c:pt>
                <c:pt idx="68">
                  <c:v>1.3732833333332195E-2</c:v>
                </c:pt>
                <c:pt idx="69">
                  <c:v>1.158433333333253E-2</c:v>
                </c:pt>
                <c:pt idx="70">
                  <c:v>1.3262500000008615E-3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4.0905833333342301E-3</c:v>
                </c:pt>
                <c:pt idx="78">
                  <c:v>8.2296833333333375E-2</c:v>
                </c:pt>
                <c:pt idx="79">
                  <c:v>0.19602066666666573</c:v>
                </c:pt>
                <c:pt idx="80">
                  <c:v>7.0021333333334823E-2</c:v>
                </c:pt>
                <c:pt idx="81">
                  <c:v>2.6056916666666652E-2</c:v>
                </c:pt>
                <c:pt idx="82">
                  <c:v>1.095566666666592E-2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2.4379999999997182E-3</c:v>
                </c:pt>
                <c:pt idx="95">
                  <c:v>2.0436166666667255E-2</c:v>
                </c:pt>
                <c:pt idx="96">
                  <c:v>2.4032666666666813E-2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D7-7E49-AE23-E723ECED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610623"/>
        <c:axId val="1524472367"/>
      </c:lineChart>
      <c:catAx>
        <c:axId val="150161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72367"/>
        <c:crosses val="autoZero"/>
        <c:auto val="1"/>
        <c:lblAlgn val="ctr"/>
        <c:lblOffset val="100"/>
        <c:noMultiLvlLbl val="0"/>
      </c:catAx>
      <c:valAx>
        <c:axId val="152447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Food</a:t>
                </a:r>
                <a:r>
                  <a:rPr lang="en-US" baseline="0"/>
                  <a:t> Intake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61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Ldlr-/- 4</a:t>
            </a:r>
            <a:r>
              <a:rPr lang="en-US" baseline="0"/>
              <a:t> days Hourly Food Intake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'Non-cum 1day avg of avgs'!$AB$1</c:f>
              <c:strCache>
                <c:ptCount val="1"/>
                <c:pt idx="0">
                  <c:v>130N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avgs'!$AB$2:$AB$98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0.26968641666666748</c:v>
                </c:pt>
                <c:pt idx="18">
                  <c:v>0.41953316666666618</c:v>
                </c:pt>
                <c:pt idx="19">
                  <c:v>3.3571833333333689E-2</c:v>
                </c:pt>
                <c:pt idx="20">
                  <c:v>4.1866333333333561E-2</c:v>
                </c:pt>
                <c:pt idx="21">
                  <c:v>1.7777249999999967E-2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4.9481833333333114E-2</c:v>
                </c:pt>
                <c:pt idx="40">
                  <c:v>0.28494466666666574</c:v>
                </c:pt>
                <c:pt idx="41">
                  <c:v>0.12022250000000101</c:v>
                </c:pt>
                <c:pt idx="42">
                  <c:v>0</c:v>
                </c:pt>
                <c:pt idx="43">
                  <c:v>0</c:v>
                </c:pt>
                <c:pt idx="44">
                  <c:v>1.4491666666671676E-4</c:v>
                </c:pt>
                <c:pt idx="45">
                  <c:v>0.12712091666666581</c:v>
                </c:pt>
                <c:pt idx="46">
                  <c:v>0.23174291666666669</c:v>
                </c:pt>
                <c:pt idx="47">
                  <c:v>0.23030516666666712</c:v>
                </c:pt>
                <c:pt idx="48">
                  <c:v>9.0401083333333077E-2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1.5491666666669346E-3</c:v>
                </c:pt>
                <c:pt idx="53">
                  <c:v>2.9323750000000537E-2</c:v>
                </c:pt>
                <c:pt idx="54">
                  <c:v>3.9482083333332696E-2</c:v>
                </c:pt>
                <c:pt idx="55">
                  <c:v>3.9482166666666707E-2</c:v>
                </c:pt>
                <c:pt idx="56">
                  <c:v>8.5145000000000692E-2</c:v>
                </c:pt>
                <c:pt idx="57">
                  <c:v>0.33770441666666606</c:v>
                </c:pt>
                <c:pt idx="58">
                  <c:v>0.1766635833333341</c:v>
                </c:pt>
                <c:pt idx="59">
                  <c:v>3.2419250000000233E-2</c:v>
                </c:pt>
                <c:pt idx="60">
                  <c:v>5.4325833333326301E-3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5.3861666666659147E-3</c:v>
                </c:pt>
                <c:pt idx="73">
                  <c:v>8.3658333333334056E-3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0.158846500000001</c:v>
                </c:pt>
                <c:pt idx="93">
                  <c:v>0.26859374999999996</c:v>
                </c:pt>
                <c:pt idx="94">
                  <c:v>0.20057524999999998</c:v>
                </c:pt>
                <c:pt idx="95">
                  <c:v>0.19352150000000012</c:v>
                </c:pt>
                <c:pt idx="96">
                  <c:v>5.3348999999999869E-2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98-C444-9EAE-2A034F133A7B}"/>
            </c:ext>
          </c:extLst>
        </c:ser>
        <c:ser>
          <c:idx val="1"/>
          <c:order val="1"/>
          <c:tx>
            <c:strRef>
              <c:f>'Non-cum 1day avg of avgs'!$AC$1</c:f>
              <c:strCache>
                <c:ptCount val="1"/>
                <c:pt idx="0">
                  <c:v>130R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avgs'!$AC$2:$AC$98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1.2150000000010763E-4</c:v>
                </c:pt>
                <c:pt idx="5">
                  <c:v>4.7575000000001921E-3</c:v>
                </c:pt>
                <c:pt idx="6">
                  <c:v>1.0299999999974219E-4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2.7210416666667125E-2</c:v>
                </c:pt>
                <c:pt idx="15">
                  <c:v>0.14989866666666751</c:v>
                </c:pt>
                <c:pt idx="16">
                  <c:v>0.1583519166666667</c:v>
                </c:pt>
                <c:pt idx="17">
                  <c:v>0.24077299999999946</c:v>
                </c:pt>
                <c:pt idx="18">
                  <c:v>0.20799650000000014</c:v>
                </c:pt>
                <c:pt idx="19">
                  <c:v>0.19828833333333318</c:v>
                </c:pt>
                <c:pt idx="20">
                  <c:v>0.19912025</c:v>
                </c:pt>
                <c:pt idx="21">
                  <c:v>0.19912941666666661</c:v>
                </c:pt>
                <c:pt idx="22">
                  <c:v>0.16211358333333248</c:v>
                </c:pt>
                <c:pt idx="23">
                  <c:v>1.5058916666666811E-2</c:v>
                </c:pt>
                <c:pt idx="24">
                  <c:v>0</c:v>
                </c:pt>
                <c:pt idx="25">
                  <c:v>8.6997499999998951E-3</c:v>
                </c:pt>
                <c:pt idx="26">
                  <c:v>4.8340250000000751E-2</c:v>
                </c:pt>
                <c:pt idx="27">
                  <c:v>3.9658583333332054E-2</c:v>
                </c:pt>
                <c:pt idx="28">
                  <c:v>1.7925000000000857E-2</c:v>
                </c:pt>
                <c:pt idx="29">
                  <c:v>2.9608083333334534E-2</c:v>
                </c:pt>
                <c:pt idx="30">
                  <c:v>1.0683333333334488E-3</c:v>
                </c:pt>
                <c:pt idx="31">
                  <c:v>0</c:v>
                </c:pt>
                <c:pt idx="32">
                  <c:v>3.3700833333325519E-3</c:v>
                </c:pt>
                <c:pt idx="33">
                  <c:v>1.4487916666666933E-2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1.7792166666666276E-2</c:v>
                </c:pt>
                <c:pt idx="44">
                  <c:v>0.16230966666666635</c:v>
                </c:pt>
                <c:pt idx="45">
                  <c:v>0.19397741666666679</c:v>
                </c:pt>
                <c:pt idx="46">
                  <c:v>0.19469016666666761</c:v>
                </c:pt>
                <c:pt idx="47">
                  <c:v>0.33817633333333319</c:v>
                </c:pt>
                <c:pt idx="48">
                  <c:v>0.33396449999999778</c:v>
                </c:pt>
                <c:pt idx="49">
                  <c:v>0.26876241666667067</c:v>
                </c:pt>
                <c:pt idx="50">
                  <c:v>0.2729414999999964</c:v>
                </c:pt>
                <c:pt idx="51">
                  <c:v>0.25089383333333526</c:v>
                </c:pt>
                <c:pt idx="52">
                  <c:v>0.11110433333333347</c:v>
                </c:pt>
                <c:pt idx="53">
                  <c:v>5.4968583333333321E-2</c:v>
                </c:pt>
                <c:pt idx="54">
                  <c:v>1.7090333333332985E-2</c:v>
                </c:pt>
                <c:pt idx="55">
                  <c:v>2.4853333333334504E-3</c:v>
                </c:pt>
                <c:pt idx="56">
                  <c:v>1.1338583333333041E-2</c:v>
                </c:pt>
                <c:pt idx="57">
                  <c:v>3.1778333333347675E-3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4.1377583333332524E-2</c:v>
                </c:pt>
                <c:pt idx="62">
                  <c:v>0.13392758333333266</c:v>
                </c:pt>
                <c:pt idx="63">
                  <c:v>0.34936433333333294</c:v>
                </c:pt>
                <c:pt idx="64">
                  <c:v>0.22104591666666362</c:v>
                </c:pt>
                <c:pt idx="65">
                  <c:v>4.6262500000004536E-2</c:v>
                </c:pt>
                <c:pt idx="66">
                  <c:v>2.5940833333333302E-3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2.8993333333318105E-3</c:v>
                </c:pt>
                <c:pt idx="73">
                  <c:v>6.2577083333334116E-2</c:v>
                </c:pt>
                <c:pt idx="74">
                  <c:v>0.11430933333333293</c:v>
                </c:pt>
                <c:pt idx="75">
                  <c:v>0.11327683333333383</c:v>
                </c:pt>
                <c:pt idx="76">
                  <c:v>0.1132965833333337</c:v>
                </c:pt>
                <c:pt idx="77">
                  <c:v>0.11329641666666568</c:v>
                </c:pt>
                <c:pt idx="78">
                  <c:v>0.1132965833333337</c:v>
                </c:pt>
                <c:pt idx="79">
                  <c:v>9.2888000000000304E-2</c:v>
                </c:pt>
                <c:pt idx="80">
                  <c:v>3.7129333333332681E-2</c:v>
                </c:pt>
                <c:pt idx="81">
                  <c:v>3.4314166666664647E-2</c:v>
                </c:pt>
                <c:pt idx="82">
                  <c:v>2.3461166666670863E-2</c:v>
                </c:pt>
                <c:pt idx="83">
                  <c:v>8.9956666666637375E-3</c:v>
                </c:pt>
                <c:pt idx="84">
                  <c:v>2.6455000000016327E-3</c:v>
                </c:pt>
                <c:pt idx="85">
                  <c:v>5.1613166666664156E-2</c:v>
                </c:pt>
                <c:pt idx="86">
                  <c:v>0.17642041666666763</c:v>
                </c:pt>
                <c:pt idx="87">
                  <c:v>0.18196100000000115</c:v>
                </c:pt>
                <c:pt idx="88">
                  <c:v>0.18196108333333427</c:v>
                </c:pt>
                <c:pt idx="89">
                  <c:v>0.17455099999999923</c:v>
                </c:pt>
                <c:pt idx="90">
                  <c:v>0.34659500000000243</c:v>
                </c:pt>
                <c:pt idx="91">
                  <c:v>8.3949333333331211E-2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1.7991666666663519E-3</c:v>
                </c:pt>
                <c:pt idx="96">
                  <c:v>0.15716416666666611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98-C444-9EAE-2A034F133A7B}"/>
            </c:ext>
          </c:extLst>
        </c:ser>
        <c:ser>
          <c:idx val="2"/>
          <c:order val="2"/>
          <c:tx>
            <c:strRef>
              <c:f>'Non-cum 1day avg of avgs'!$AD$1</c:f>
              <c:strCache>
                <c:ptCount val="1"/>
                <c:pt idx="0">
                  <c:v>131N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avgs'!$AD$2:$AD$98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5.5239166666662953E-3</c:v>
                </c:pt>
                <c:pt idx="6">
                  <c:v>2.5650000000000617E-2</c:v>
                </c:pt>
                <c:pt idx="7">
                  <c:v>2.7465833333332856E-2</c:v>
                </c:pt>
                <c:pt idx="8">
                  <c:v>1.5094499999998678E-2</c:v>
                </c:pt>
                <c:pt idx="9">
                  <c:v>3.6628333333346141E-3</c:v>
                </c:pt>
                <c:pt idx="10">
                  <c:v>0.1032985833333333</c:v>
                </c:pt>
                <c:pt idx="11">
                  <c:v>9.8149583333333013E-2</c:v>
                </c:pt>
                <c:pt idx="12">
                  <c:v>7.2046166666666522E-2</c:v>
                </c:pt>
                <c:pt idx="13">
                  <c:v>7.2097666666666171E-2</c:v>
                </c:pt>
                <c:pt idx="14">
                  <c:v>7.0300416666666976E-2</c:v>
                </c:pt>
                <c:pt idx="15">
                  <c:v>2.1644500000000733E-2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1.2682499999998598E-3</c:v>
                </c:pt>
                <c:pt idx="20">
                  <c:v>0.38959466666666653</c:v>
                </c:pt>
                <c:pt idx="21">
                  <c:v>0.51745891666666743</c:v>
                </c:pt>
                <c:pt idx="22">
                  <c:v>0.19481024999999974</c:v>
                </c:pt>
                <c:pt idx="23">
                  <c:v>0.34083083333333253</c:v>
                </c:pt>
                <c:pt idx="24">
                  <c:v>0.59228408333333249</c:v>
                </c:pt>
                <c:pt idx="25">
                  <c:v>0.11333500000000019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3.2741666666780134E-4</c:v>
                </c:pt>
                <c:pt idx="30">
                  <c:v>6.1401666666665022E-3</c:v>
                </c:pt>
                <c:pt idx="31">
                  <c:v>2.5994166666638563E-3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1.6326500000000799E-2</c:v>
                </c:pt>
                <c:pt idx="44">
                  <c:v>0.19401475000000179</c:v>
                </c:pt>
                <c:pt idx="45">
                  <c:v>0.24204258333333328</c:v>
                </c:pt>
                <c:pt idx="46">
                  <c:v>0.24204241666666704</c:v>
                </c:pt>
                <c:pt idx="47">
                  <c:v>0.18202683333333169</c:v>
                </c:pt>
                <c:pt idx="48">
                  <c:v>0.12054550000000219</c:v>
                </c:pt>
                <c:pt idx="49">
                  <c:v>8.7385499999998117E-2</c:v>
                </c:pt>
                <c:pt idx="50">
                  <c:v>3.7369166666660902E-3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4.2021666666691715E-3</c:v>
                </c:pt>
                <c:pt idx="59">
                  <c:v>6.7125249999999248E-2</c:v>
                </c:pt>
                <c:pt idx="60">
                  <c:v>9.4413750000000185E-2</c:v>
                </c:pt>
                <c:pt idx="61">
                  <c:v>7.396608333333532E-2</c:v>
                </c:pt>
                <c:pt idx="62">
                  <c:v>5.5117500000001485E-3</c:v>
                </c:pt>
                <c:pt idx="63">
                  <c:v>0</c:v>
                </c:pt>
                <c:pt idx="64">
                  <c:v>5.9608333333294183E-4</c:v>
                </c:pt>
                <c:pt idx="65">
                  <c:v>7.4397249999996973E-2</c:v>
                </c:pt>
                <c:pt idx="66">
                  <c:v>0.12412758333333418</c:v>
                </c:pt>
                <c:pt idx="67">
                  <c:v>0.1235962500000003</c:v>
                </c:pt>
                <c:pt idx="68">
                  <c:v>0.11180483333333235</c:v>
                </c:pt>
                <c:pt idx="69">
                  <c:v>0.26383150000000199</c:v>
                </c:pt>
                <c:pt idx="70">
                  <c:v>0.31399791666666488</c:v>
                </c:pt>
                <c:pt idx="71">
                  <c:v>0.28581541666666688</c:v>
                </c:pt>
                <c:pt idx="72">
                  <c:v>8.4005250000000586E-2</c:v>
                </c:pt>
                <c:pt idx="73">
                  <c:v>3.2725250000000372E-2</c:v>
                </c:pt>
                <c:pt idx="74">
                  <c:v>4.4632000000000005E-2</c:v>
                </c:pt>
                <c:pt idx="75">
                  <c:v>4.4631999999998229E-2</c:v>
                </c:pt>
                <c:pt idx="76">
                  <c:v>3.2214749999999626E-2</c:v>
                </c:pt>
                <c:pt idx="77">
                  <c:v>1.439916666667429E-3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1.3863500000002915E-2</c:v>
                </c:pt>
                <c:pt idx="84">
                  <c:v>7.2415916666665581E-2</c:v>
                </c:pt>
                <c:pt idx="85">
                  <c:v>7.8502916666666422E-2</c:v>
                </c:pt>
                <c:pt idx="86">
                  <c:v>9.6016166666665015E-2</c:v>
                </c:pt>
                <c:pt idx="87">
                  <c:v>9.8345000000001903E-3</c:v>
                </c:pt>
                <c:pt idx="88">
                  <c:v>0</c:v>
                </c:pt>
                <c:pt idx="89">
                  <c:v>0</c:v>
                </c:pt>
                <c:pt idx="90">
                  <c:v>0.10920250000000031</c:v>
                </c:pt>
                <c:pt idx="91">
                  <c:v>0.26656183333333416</c:v>
                </c:pt>
                <c:pt idx="92">
                  <c:v>0.26779133333333505</c:v>
                </c:pt>
                <c:pt idx="93">
                  <c:v>0.23482166666666515</c:v>
                </c:pt>
                <c:pt idx="94">
                  <c:v>0.13420499999999969</c:v>
                </c:pt>
                <c:pt idx="95">
                  <c:v>0.27712166666666604</c:v>
                </c:pt>
                <c:pt idx="96">
                  <c:v>0.18433916666666761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98-C444-9EAE-2A034F133A7B}"/>
            </c:ext>
          </c:extLst>
        </c:ser>
        <c:ser>
          <c:idx val="3"/>
          <c:order val="3"/>
          <c:tx>
            <c:strRef>
              <c:f>'Non-cum 1day avg of avgs'!$AE$1</c:f>
              <c:strCache>
                <c:ptCount val="1"/>
                <c:pt idx="0">
                  <c:v>131L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avgs'!$AE$2:$AE$98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2.0350083333333657E-2</c:v>
                </c:pt>
                <c:pt idx="3">
                  <c:v>5.6006166666666468E-2</c:v>
                </c:pt>
                <c:pt idx="4">
                  <c:v>1.8984333333333492E-2</c:v>
                </c:pt>
                <c:pt idx="5">
                  <c:v>7.7248333333326258E-3</c:v>
                </c:pt>
                <c:pt idx="6">
                  <c:v>7.724750000000391E-3</c:v>
                </c:pt>
                <c:pt idx="7">
                  <c:v>7.4158333333338433E-3</c:v>
                </c:pt>
                <c:pt idx="8">
                  <c:v>3.5491333333332875E-2</c:v>
                </c:pt>
                <c:pt idx="9">
                  <c:v>6.3885083333333537E-2</c:v>
                </c:pt>
                <c:pt idx="10">
                  <c:v>6.2733416666666653E-2</c:v>
                </c:pt>
                <c:pt idx="11">
                  <c:v>7.2118500000000196E-2</c:v>
                </c:pt>
                <c:pt idx="12">
                  <c:v>8.0174666666666283E-2</c:v>
                </c:pt>
                <c:pt idx="13">
                  <c:v>8.1538249999999479E-2</c:v>
                </c:pt>
                <c:pt idx="14">
                  <c:v>8.1539083333333817E-2</c:v>
                </c:pt>
                <c:pt idx="15">
                  <c:v>8.1540166666666192E-2</c:v>
                </c:pt>
                <c:pt idx="16">
                  <c:v>8.153900000000025E-2</c:v>
                </c:pt>
                <c:pt idx="17">
                  <c:v>8.1538333333333934E-2</c:v>
                </c:pt>
                <c:pt idx="18">
                  <c:v>8.153916666666694E-2</c:v>
                </c:pt>
                <c:pt idx="19">
                  <c:v>7.3328333333332996E-2</c:v>
                </c:pt>
                <c:pt idx="20">
                  <c:v>7.9709666666666568E-2</c:v>
                </c:pt>
                <c:pt idx="21">
                  <c:v>9.6487166666666013E-2</c:v>
                </c:pt>
                <c:pt idx="22">
                  <c:v>0.28550225000000129</c:v>
                </c:pt>
                <c:pt idx="23">
                  <c:v>0.19174033333333229</c:v>
                </c:pt>
                <c:pt idx="24">
                  <c:v>4.3924999999989112E-4</c:v>
                </c:pt>
                <c:pt idx="25">
                  <c:v>4.3389999999994266E-3</c:v>
                </c:pt>
                <c:pt idx="26">
                  <c:v>1.075500000000007E-2</c:v>
                </c:pt>
                <c:pt idx="27">
                  <c:v>0</c:v>
                </c:pt>
                <c:pt idx="28">
                  <c:v>1.1455000000011317E-3</c:v>
                </c:pt>
                <c:pt idx="29">
                  <c:v>2.4894999999999445E-2</c:v>
                </c:pt>
                <c:pt idx="30">
                  <c:v>3.4332833333333923E-2</c:v>
                </c:pt>
                <c:pt idx="31">
                  <c:v>3.4331166666667023E-2</c:v>
                </c:pt>
                <c:pt idx="32">
                  <c:v>3.4331999999999141E-2</c:v>
                </c:pt>
                <c:pt idx="33">
                  <c:v>3.3598666666666777E-2</c:v>
                </c:pt>
                <c:pt idx="34">
                  <c:v>4.9295333333332803E-2</c:v>
                </c:pt>
                <c:pt idx="35">
                  <c:v>8.2034999999995861E-3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1.159041666666738E-2</c:v>
                </c:pt>
                <c:pt idx="47">
                  <c:v>2.6685333333334338E-2</c:v>
                </c:pt>
                <c:pt idx="48">
                  <c:v>2.8324083333332695E-2</c:v>
                </c:pt>
                <c:pt idx="49">
                  <c:v>2.8323999999999572E-2</c:v>
                </c:pt>
                <c:pt idx="50">
                  <c:v>2.6544833333334683E-2</c:v>
                </c:pt>
                <c:pt idx="51">
                  <c:v>5.8823333333331007E-3</c:v>
                </c:pt>
                <c:pt idx="52">
                  <c:v>0</c:v>
                </c:pt>
                <c:pt idx="53">
                  <c:v>0</c:v>
                </c:pt>
                <c:pt idx="54">
                  <c:v>1.4417499999999528E-2</c:v>
                </c:pt>
                <c:pt idx="55">
                  <c:v>4.901258333333347E-2</c:v>
                </c:pt>
                <c:pt idx="56">
                  <c:v>6.2842833333332848E-2</c:v>
                </c:pt>
                <c:pt idx="57">
                  <c:v>6.2148499999999274E-2</c:v>
                </c:pt>
                <c:pt idx="58">
                  <c:v>4.553725000000064E-2</c:v>
                </c:pt>
                <c:pt idx="59">
                  <c:v>4.3793333333332463E-2</c:v>
                </c:pt>
                <c:pt idx="60">
                  <c:v>7.7639999999998821E-3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3.4315416666667709E-2</c:v>
                </c:pt>
                <c:pt idx="66">
                  <c:v>0.26992058333333357</c:v>
                </c:pt>
                <c:pt idx="67">
                  <c:v>0.31414024999999945</c:v>
                </c:pt>
                <c:pt idx="68">
                  <c:v>0.28770016666666631</c:v>
                </c:pt>
                <c:pt idx="69">
                  <c:v>8.5987333333334526E-2</c:v>
                </c:pt>
                <c:pt idx="70">
                  <c:v>2.0362499999997397E-3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2.7342500000004932E-3</c:v>
                </c:pt>
                <c:pt idx="77">
                  <c:v>1.5886416666665681E-2</c:v>
                </c:pt>
                <c:pt idx="78">
                  <c:v>1.814400000000127E-2</c:v>
                </c:pt>
                <c:pt idx="79">
                  <c:v>3.4162833333332365E-2</c:v>
                </c:pt>
                <c:pt idx="80">
                  <c:v>2.4851250000001102E-2</c:v>
                </c:pt>
                <c:pt idx="81">
                  <c:v>1.1312499999993619E-3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98-C444-9EAE-2A034F133A7B}"/>
            </c:ext>
          </c:extLst>
        </c:ser>
        <c:ser>
          <c:idx val="4"/>
          <c:order val="4"/>
          <c:tx>
            <c:strRef>
              <c:f>'Non-cum 1day avg of avgs'!$AF$1</c:f>
              <c:strCache>
                <c:ptCount val="1"/>
                <c:pt idx="0">
                  <c:v>132L</c:v>
                </c:pt>
              </c:strCache>
            </c:strRef>
          </c:tx>
          <c:spPr>
            <a:ln w="28575" cap="rnd">
              <a:solidFill>
                <a:srgbClr val="9411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41100"/>
              </a:solidFill>
              <a:ln w="9525">
                <a:solidFill>
                  <a:srgbClr val="941100"/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avgs'!$AF$2:$AF$98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7.3916666666695718E-4</c:v>
                </c:pt>
                <c:pt idx="3">
                  <c:v>7.18919166666665E-2</c:v>
                </c:pt>
                <c:pt idx="4">
                  <c:v>0.15713091666666656</c:v>
                </c:pt>
                <c:pt idx="5">
                  <c:v>0.20729108333333279</c:v>
                </c:pt>
                <c:pt idx="6">
                  <c:v>0.20279125000000109</c:v>
                </c:pt>
                <c:pt idx="7">
                  <c:v>0.19610558333333206</c:v>
                </c:pt>
                <c:pt idx="8">
                  <c:v>0.19264708333333402</c:v>
                </c:pt>
                <c:pt idx="9">
                  <c:v>0.28329450000000023</c:v>
                </c:pt>
                <c:pt idx="10">
                  <c:v>0.48327341666666612</c:v>
                </c:pt>
                <c:pt idx="11">
                  <c:v>3.9053083333332239E-2</c:v>
                </c:pt>
                <c:pt idx="12">
                  <c:v>7.3768250000002311E-2</c:v>
                </c:pt>
                <c:pt idx="13">
                  <c:v>0.12902091666666582</c:v>
                </c:pt>
                <c:pt idx="14">
                  <c:v>9.6588333333329501E-3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1.6906750000000415E-2</c:v>
                </c:pt>
                <c:pt idx="21">
                  <c:v>0.190411000000001</c:v>
                </c:pt>
                <c:pt idx="22">
                  <c:v>6.6587249999998654E-2</c:v>
                </c:pt>
                <c:pt idx="23">
                  <c:v>0.18655925000000018</c:v>
                </c:pt>
                <c:pt idx="24">
                  <c:v>0.2889520000000001</c:v>
                </c:pt>
                <c:pt idx="25">
                  <c:v>0.19530891666666683</c:v>
                </c:pt>
                <c:pt idx="26">
                  <c:v>0.19249316666666694</c:v>
                </c:pt>
                <c:pt idx="27">
                  <c:v>0.18561058333333413</c:v>
                </c:pt>
                <c:pt idx="28">
                  <c:v>0.19741058333333328</c:v>
                </c:pt>
                <c:pt idx="29">
                  <c:v>0.1974105833333315</c:v>
                </c:pt>
                <c:pt idx="30">
                  <c:v>0.16079991666666782</c:v>
                </c:pt>
                <c:pt idx="31">
                  <c:v>4.8381250000001153E-2</c:v>
                </c:pt>
                <c:pt idx="32">
                  <c:v>5.0067499999997267E-3</c:v>
                </c:pt>
                <c:pt idx="33">
                  <c:v>1.3893333333321323E-3</c:v>
                </c:pt>
                <c:pt idx="34">
                  <c:v>2.4522249999998635E-2</c:v>
                </c:pt>
                <c:pt idx="35">
                  <c:v>3.2496166666667214E-2</c:v>
                </c:pt>
                <c:pt idx="36">
                  <c:v>2.0001416666668881E-2</c:v>
                </c:pt>
                <c:pt idx="37">
                  <c:v>0.10084733333333062</c:v>
                </c:pt>
                <c:pt idx="38">
                  <c:v>0.13217933333333498</c:v>
                </c:pt>
                <c:pt idx="39">
                  <c:v>0.13217941666666544</c:v>
                </c:pt>
                <c:pt idx="40">
                  <c:v>0.10354841666666736</c:v>
                </c:pt>
                <c:pt idx="41">
                  <c:v>8.4273666666666358E-2</c:v>
                </c:pt>
                <c:pt idx="42">
                  <c:v>6.5034916666668607E-2</c:v>
                </c:pt>
                <c:pt idx="43">
                  <c:v>6.8664749999998165E-2</c:v>
                </c:pt>
                <c:pt idx="44">
                  <c:v>5.9061000000001584E-2</c:v>
                </c:pt>
                <c:pt idx="45">
                  <c:v>7.5630000000010966E-3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1.636666666673392E-4</c:v>
                </c:pt>
                <c:pt idx="58">
                  <c:v>2.0396833333329312E-2</c:v>
                </c:pt>
                <c:pt idx="59">
                  <c:v>3.4332833333333923E-2</c:v>
                </c:pt>
                <c:pt idx="60">
                  <c:v>3.4332166666667163E-2</c:v>
                </c:pt>
                <c:pt idx="61">
                  <c:v>3.4331999999999141E-2</c:v>
                </c:pt>
                <c:pt idx="62">
                  <c:v>3.4332250000000286E-2</c:v>
                </c:pt>
                <c:pt idx="63">
                  <c:v>5.2242666666668214E-2</c:v>
                </c:pt>
                <c:pt idx="64">
                  <c:v>0.13543158333333416</c:v>
                </c:pt>
                <c:pt idx="65">
                  <c:v>1.2134999999998897E-2</c:v>
                </c:pt>
                <c:pt idx="66">
                  <c:v>0</c:v>
                </c:pt>
                <c:pt idx="67">
                  <c:v>0</c:v>
                </c:pt>
                <c:pt idx="68">
                  <c:v>8.8834999999996E-3</c:v>
                </c:pt>
                <c:pt idx="69">
                  <c:v>7.8097249999999008E-2</c:v>
                </c:pt>
                <c:pt idx="70">
                  <c:v>6.5367916666666304E-2</c:v>
                </c:pt>
                <c:pt idx="71">
                  <c:v>1.4174333333334843E-2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4.7088833333333469E-2</c:v>
                </c:pt>
                <c:pt idx="79">
                  <c:v>0.10913141666666526</c:v>
                </c:pt>
                <c:pt idx="80">
                  <c:v>0.11814250000000115</c:v>
                </c:pt>
                <c:pt idx="81">
                  <c:v>0.19458624999999685</c:v>
                </c:pt>
                <c:pt idx="82">
                  <c:v>4.1146000000001237E-2</c:v>
                </c:pt>
                <c:pt idx="83">
                  <c:v>0</c:v>
                </c:pt>
                <c:pt idx="84">
                  <c:v>3.197166666669915E-3</c:v>
                </c:pt>
                <c:pt idx="85">
                  <c:v>2.6362499999997624E-2</c:v>
                </c:pt>
                <c:pt idx="86">
                  <c:v>3.0899083333334687E-2</c:v>
                </c:pt>
                <c:pt idx="87">
                  <c:v>3.0899083333334687E-2</c:v>
                </c:pt>
                <c:pt idx="88">
                  <c:v>3.0898999999998011E-2</c:v>
                </c:pt>
                <c:pt idx="89">
                  <c:v>3.0899083333332911E-2</c:v>
                </c:pt>
                <c:pt idx="90">
                  <c:v>3.0899000000001564E-2</c:v>
                </c:pt>
                <c:pt idx="91">
                  <c:v>3.0899083333332911E-2</c:v>
                </c:pt>
                <c:pt idx="92">
                  <c:v>3.0899083333331134E-2</c:v>
                </c:pt>
                <c:pt idx="93">
                  <c:v>3.0899000000001564E-2</c:v>
                </c:pt>
                <c:pt idx="94">
                  <c:v>3.0899083333334687E-2</c:v>
                </c:pt>
                <c:pt idx="95">
                  <c:v>3.0898999999998011E-2</c:v>
                </c:pt>
                <c:pt idx="96">
                  <c:v>3.0899083333332911E-2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98-C444-9EAE-2A034F133A7B}"/>
            </c:ext>
          </c:extLst>
        </c:ser>
        <c:ser>
          <c:idx val="5"/>
          <c:order val="5"/>
          <c:tx>
            <c:strRef>
              <c:f>'Non-cum 1day avg of avgs'!$AG$1</c:f>
              <c:strCache>
                <c:ptCount val="1"/>
                <c:pt idx="0">
                  <c:v>133N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avgs'!$AG$2:$AG$98</c:f>
              <c:numCache>
                <c:formatCode>General</c:formatCode>
                <c:ptCount val="97"/>
                <c:pt idx="0">
                  <c:v>0</c:v>
                </c:pt>
                <c:pt idx="1">
                  <c:v>0.14235275000000014</c:v>
                </c:pt>
                <c:pt idx="2">
                  <c:v>0.25160616666666646</c:v>
                </c:pt>
                <c:pt idx="3">
                  <c:v>0.26440058333333383</c:v>
                </c:pt>
                <c:pt idx="4">
                  <c:v>0.13452950000000019</c:v>
                </c:pt>
                <c:pt idx="5">
                  <c:v>0.12098808333333277</c:v>
                </c:pt>
                <c:pt idx="6">
                  <c:v>0.22191483333333384</c:v>
                </c:pt>
                <c:pt idx="7">
                  <c:v>0.10454491666666588</c:v>
                </c:pt>
                <c:pt idx="8">
                  <c:v>0.10471350000000079</c:v>
                </c:pt>
                <c:pt idx="9">
                  <c:v>7.1995916666666382E-2</c:v>
                </c:pt>
                <c:pt idx="10">
                  <c:v>0.18478424999999987</c:v>
                </c:pt>
                <c:pt idx="11">
                  <c:v>0.31928999999999963</c:v>
                </c:pt>
                <c:pt idx="12">
                  <c:v>0.23429358333333461</c:v>
                </c:pt>
                <c:pt idx="13">
                  <c:v>9.7499166666666248E-2</c:v>
                </c:pt>
                <c:pt idx="14">
                  <c:v>6.4553583333332831E-2</c:v>
                </c:pt>
                <c:pt idx="15">
                  <c:v>5.1327583333332427E-2</c:v>
                </c:pt>
                <c:pt idx="16">
                  <c:v>2.3931083333334158E-2</c:v>
                </c:pt>
                <c:pt idx="17">
                  <c:v>1.8375250000000953E-2</c:v>
                </c:pt>
                <c:pt idx="18">
                  <c:v>2.7862083333332066E-2</c:v>
                </c:pt>
                <c:pt idx="19">
                  <c:v>1.598600000000161E-2</c:v>
                </c:pt>
                <c:pt idx="20">
                  <c:v>3.7029083333332657E-2</c:v>
                </c:pt>
                <c:pt idx="21">
                  <c:v>1.7458000000001306E-2</c:v>
                </c:pt>
                <c:pt idx="22">
                  <c:v>4.6083333332447296E-5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1.5983083333331649E-2</c:v>
                </c:pt>
                <c:pt idx="34">
                  <c:v>4.4109250000000877E-2</c:v>
                </c:pt>
                <c:pt idx="35">
                  <c:v>4.4632000000000005E-2</c:v>
                </c:pt>
                <c:pt idx="36">
                  <c:v>5.4868083333332152E-2</c:v>
                </c:pt>
                <c:pt idx="37">
                  <c:v>0.18225533333333388</c:v>
                </c:pt>
                <c:pt idx="38">
                  <c:v>0.1925049999999997</c:v>
                </c:pt>
                <c:pt idx="39">
                  <c:v>4.7296083333334238E-2</c:v>
                </c:pt>
                <c:pt idx="40">
                  <c:v>5.1123916666666602E-2</c:v>
                </c:pt>
                <c:pt idx="41">
                  <c:v>5.1498416666667879E-2</c:v>
                </c:pt>
                <c:pt idx="42">
                  <c:v>5.1498416666666103E-2</c:v>
                </c:pt>
                <c:pt idx="43">
                  <c:v>5.0718833333331048E-2</c:v>
                </c:pt>
                <c:pt idx="44">
                  <c:v>3.323791666666942E-2</c:v>
                </c:pt>
                <c:pt idx="45">
                  <c:v>2.7465833333331524E-2</c:v>
                </c:pt>
                <c:pt idx="46">
                  <c:v>2.7465750000000178E-2</c:v>
                </c:pt>
                <c:pt idx="47">
                  <c:v>2.803033333333449E-2</c:v>
                </c:pt>
                <c:pt idx="48">
                  <c:v>7.1359083333333295E-2</c:v>
                </c:pt>
                <c:pt idx="49">
                  <c:v>0.30744533333333379</c:v>
                </c:pt>
                <c:pt idx="50">
                  <c:v>0.35694383333333235</c:v>
                </c:pt>
                <c:pt idx="51">
                  <c:v>0.12370266666666652</c:v>
                </c:pt>
                <c:pt idx="52">
                  <c:v>0.17725383333333422</c:v>
                </c:pt>
                <c:pt idx="53">
                  <c:v>0.17852766666666575</c:v>
                </c:pt>
                <c:pt idx="54">
                  <c:v>0.17852800000000002</c:v>
                </c:pt>
                <c:pt idx="55">
                  <c:v>0.17399008333333477</c:v>
                </c:pt>
                <c:pt idx="56">
                  <c:v>0.11965374999999767</c:v>
                </c:pt>
                <c:pt idx="57">
                  <c:v>0.30301808333333469</c:v>
                </c:pt>
                <c:pt idx="58">
                  <c:v>0.18935358333333241</c:v>
                </c:pt>
                <c:pt idx="59">
                  <c:v>0.11258833333333307</c:v>
                </c:pt>
                <c:pt idx="60">
                  <c:v>8.3461750000001445E-2</c:v>
                </c:pt>
                <c:pt idx="61">
                  <c:v>9.032733333333276E-2</c:v>
                </c:pt>
                <c:pt idx="62">
                  <c:v>4.0522916666665409E-2</c:v>
                </c:pt>
                <c:pt idx="63">
                  <c:v>2.0599416666666315E-2</c:v>
                </c:pt>
                <c:pt idx="64">
                  <c:v>2.0599416666668091E-2</c:v>
                </c:pt>
                <c:pt idx="65">
                  <c:v>2.0321750000000804E-2</c:v>
                </c:pt>
                <c:pt idx="66">
                  <c:v>1.9434999999997871E-2</c:v>
                </c:pt>
                <c:pt idx="67">
                  <c:v>2.3021333333336003E-2</c:v>
                </c:pt>
                <c:pt idx="68">
                  <c:v>3.0677166666665201E-2</c:v>
                </c:pt>
                <c:pt idx="69">
                  <c:v>3.0899083333332911E-2</c:v>
                </c:pt>
                <c:pt idx="70">
                  <c:v>2.7289666666666434E-2</c:v>
                </c:pt>
                <c:pt idx="71">
                  <c:v>1.2828999999999979E-2</c:v>
                </c:pt>
                <c:pt idx="72">
                  <c:v>1.5066666666641026E-4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2.7944333333334015E-2</c:v>
                </c:pt>
                <c:pt idx="77">
                  <c:v>0.14498758333333406</c:v>
                </c:pt>
                <c:pt idx="78">
                  <c:v>0.15792708333333216</c:v>
                </c:pt>
                <c:pt idx="79">
                  <c:v>0.16749833333333619</c:v>
                </c:pt>
                <c:pt idx="80">
                  <c:v>0.47247166666666729</c:v>
                </c:pt>
                <c:pt idx="81">
                  <c:v>0.52796416666666701</c:v>
                </c:pt>
                <c:pt idx="82">
                  <c:v>6.1895833333334593E-2</c:v>
                </c:pt>
                <c:pt idx="83">
                  <c:v>2.3710833333328907E-2</c:v>
                </c:pt>
                <c:pt idx="84">
                  <c:v>5.4282499999999345E-2</c:v>
                </c:pt>
                <c:pt idx="85">
                  <c:v>4.48599999999999E-2</c:v>
                </c:pt>
                <c:pt idx="86">
                  <c:v>2.1321666666668904E-2</c:v>
                </c:pt>
                <c:pt idx="87">
                  <c:v>2.0599999999998175E-2</c:v>
                </c:pt>
                <c:pt idx="88">
                  <c:v>2.7642499999998904E-2</c:v>
                </c:pt>
                <c:pt idx="89">
                  <c:v>7.5118333333335841E-2</c:v>
                </c:pt>
                <c:pt idx="90">
                  <c:v>3.9680833333333609E-2</c:v>
                </c:pt>
                <c:pt idx="91">
                  <c:v>2.0208333333334494E-2</c:v>
                </c:pt>
                <c:pt idx="92">
                  <c:v>8.8341666666629237E-3</c:v>
                </c:pt>
                <c:pt idx="93">
                  <c:v>1.5217500000002104E-2</c:v>
                </c:pt>
                <c:pt idx="94">
                  <c:v>3.4244999999998527E-2</c:v>
                </c:pt>
                <c:pt idx="95">
                  <c:v>0.13021916666667011</c:v>
                </c:pt>
                <c:pt idx="96">
                  <c:v>3.8369166666665677E-2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98-C444-9EAE-2A034F133A7B}"/>
            </c:ext>
          </c:extLst>
        </c:ser>
        <c:ser>
          <c:idx val="6"/>
          <c:order val="6"/>
          <c:tx>
            <c:strRef>
              <c:f>'Non-cum 1day avg of avgs'!$AH$1</c:f>
              <c:strCache>
                <c:ptCount val="1"/>
                <c:pt idx="0">
                  <c:v>133L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avgs'!$AH$2:$AH$98</c:f>
              <c:numCache>
                <c:formatCode>General</c:formatCode>
                <c:ptCount val="97"/>
                <c:pt idx="0">
                  <c:v>0</c:v>
                </c:pt>
                <c:pt idx="1">
                  <c:v>4.920425000000006E-2</c:v>
                </c:pt>
                <c:pt idx="2">
                  <c:v>8.2507250000000143E-2</c:v>
                </c:pt>
                <c:pt idx="3">
                  <c:v>8.3086166666666461E-2</c:v>
                </c:pt>
                <c:pt idx="4">
                  <c:v>8.3256333333333377E-2</c:v>
                </c:pt>
                <c:pt idx="5">
                  <c:v>8.3255999999999997E-2</c:v>
                </c:pt>
                <c:pt idx="6">
                  <c:v>8.3256000000000441E-2</c:v>
                </c:pt>
                <c:pt idx="7">
                  <c:v>8.1067333333332492E-2</c:v>
                </c:pt>
                <c:pt idx="8">
                  <c:v>5.7497250000000388E-2</c:v>
                </c:pt>
                <c:pt idx="9">
                  <c:v>1.8054333333333172E-2</c:v>
                </c:pt>
                <c:pt idx="10">
                  <c:v>3.3470583333333082E-2</c:v>
                </c:pt>
                <c:pt idx="11">
                  <c:v>3.3474000000000448E-2</c:v>
                </c:pt>
                <c:pt idx="12">
                  <c:v>3.3806416666666284E-2</c:v>
                </c:pt>
                <c:pt idx="13">
                  <c:v>5.0253166666666793E-2</c:v>
                </c:pt>
                <c:pt idx="14">
                  <c:v>5.6648250000000289E-2</c:v>
                </c:pt>
                <c:pt idx="15">
                  <c:v>5.6648833333333037E-2</c:v>
                </c:pt>
                <c:pt idx="16">
                  <c:v>5.6648250000000289E-2</c:v>
                </c:pt>
                <c:pt idx="17">
                  <c:v>3.3699499999999993E-2</c:v>
                </c:pt>
                <c:pt idx="18">
                  <c:v>2.7408333333323043E-4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1.0902666666666505E-2</c:v>
                </c:pt>
                <c:pt idx="24">
                  <c:v>0.26821883333333307</c:v>
                </c:pt>
                <c:pt idx="25">
                  <c:v>0.37333833333333377</c:v>
                </c:pt>
                <c:pt idx="26">
                  <c:v>0.13975516666666543</c:v>
                </c:pt>
                <c:pt idx="27">
                  <c:v>0</c:v>
                </c:pt>
                <c:pt idx="28">
                  <c:v>8.4955000000013214E-3</c:v>
                </c:pt>
                <c:pt idx="29">
                  <c:v>0.13143416666666674</c:v>
                </c:pt>
                <c:pt idx="30">
                  <c:v>0.1716633333333335</c:v>
                </c:pt>
                <c:pt idx="31">
                  <c:v>0.16841091666666586</c:v>
                </c:pt>
                <c:pt idx="32">
                  <c:v>5.5293083333332937E-2</c:v>
                </c:pt>
                <c:pt idx="33">
                  <c:v>1.4928666666667922E-2</c:v>
                </c:pt>
                <c:pt idx="34">
                  <c:v>9.2143499999999712E-2</c:v>
                </c:pt>
                <c:pt idx="35">
                  <c:v>5.7920833333333199E-2</c:v>
                </c:pt>
                <c:pt idx="36">
                  <c:v>5.3215000000000678E-2</c:v>
                </c:pt>
                <c:pt idx="37">
                  <c:v>5.3215083333332913E-2</c:v>
                </c:pt>
                <c:pt idx="38">
                  <c:v>5.321499999999979E-2</c:v>
                </c:pt>
                <c:pt idx="39">
                  <c:v>5.1491083333334409E-2</c:v>
                </c:pt>
                <c:pt idx="40">
                  <c:v>2.6529249999998505E-2</c:v>
                </c:pt>
                <c:pt idx="41">
                  <c:v>7.3143500000000472E-2</c:v>
                </c:pt>
                <c:pt idx="42">
                  <c:v>7.3776583333333257E-2</c:v>
                </c:pt>
                <c:pt idx="43">
                  <c:v>2.6891083333332233E-2</c:v>
                </c:pt>
                <c:pt idx="44">
                  <c:v>2.0944166666669872E-3</c:v>
                </c:pt>
                <c:pt idx="45">
                  <c:v>4.1999999999653426E-5</c:v>
                </c:pt>
                <c:pt idx="46">
                  <c:v>1.3479500000001643E-2</c:v>
                </c:pt>
                <c:pt idx="47">
                  <c:v>1.5562749999998182E-2</c:v>
                </c:pt>
                <c:pt idx="48">
                  <c:v>3.0875000000030184E-4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1.5958333333454533E-4</c:v>
                </c:pt>
                <c:pt idx="53">
                  <c:v>1.5120833333330808E-3</c:v>
                </c:pt>
                <c:pt idx="54">
                  <c:v>6.0993333333332345E-3</c:v>
                </c:pt>
                <c:pt idx="55">
                  <c:v>8.5832500000000422E-3</c:v>
                </c:pt>
                <c:pt idx="56">
                  <c:v>7.5562083333333696E-2</c:v>
                </c:pt>
                <c:pt idx="57">
                  <c:v>0.17090241666666639</c:v>
                </c:pt>
                <c:pt idx="58">
                  <c:v>8.2091249999999505E-2</c:v>
                </c:pt>
                <c:pt idx="59">
                  <c:v>9.1021750000000345E-2</c:v>
                </c:pt>
                <c:pt idx="60">
                  <c:v>0.15580358333333333</c:v>
                </c:pt>
                <c:pt idx="61">
                  <c:v>4.8342666666666645E-2</c:v>
                </c:pt>
                <c:pt idx="62">
                  <c:v>0</c:v>
                </c:pt>
                <c:pt idx="63">
                  <c:v>0</c:v>
                </c:pt>
                <c:pt idx="64">
                  <c:v>4.7334500000000723E-2</c:v>
                </c:pt>
                <c:pt idx="65">
                  <c:v>9.9563333333332338E-2</c:v>
                </c:pt>
                <c:pt idx="66">
                  <c:v>9.9563666666666606E-2</c:v>
                </c:pt>
                <c:pt idx="67">
                  <c:v>9.9563833333334628E-2</c:v>
                </c:pt>
                <c:pt idx="68">
                  <c:v>9.9563166666665204E-2</c:v>
                </c:pt>
                <c:pt idx="69">
                  <c:v>9.9563999999999986E-2</c:v>
                </c:pt>
                <c:pt idx="70">
                  <c:v>9.9563333333334114E-2</c:v>
                </c:pt>
                <c:pt idx="71">
                  <c:v>9.9563666666666606E-2</c:v>
                </c:pt>
                <c:pt idx="72">
                  <c:v>7.0472249999999903E-2</c:v>
                </c:pt>
                <c:pt idx="73">
                  <c:v>2.7482499999997856E-3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8.697499999996694E-4</c:v>
                </c:pt>
                <c:pt idx="78">
                  <c:v>8.4949999999999193E-3</c:v>
                </c:pt>
                <c:pt idx="79">
                  <c:v>8.4740833333345478E-3</c:v>
                </c:pt>
                <c:pt idx="80">
                  <c:v>9.0931666666671518E-3</c:v>
                </c:pt>
                <c:pt idx="81">
                  <c:v>8.5667499999990682E-3</c:v>
                </c:pt>
                <c:pt idx="82">
                  <c:v>3.9249166666674995E-3</c:v>
                </c:pt>
                <c:pt idx="83">
                  <c:v>1.5813333333333013E-2</c:v>
                </c:pt>
                <c:pt idx="84">
                  <c:v>1.4050000000000118E-2</c:v>
                </c:pt>
                <c:pt idx="85">
                  <c:v>4.1751666666662857E-3</c:v>
                </c:pt>
                <c:pt idx="86">
                  <c:v>5.5268833333333767E-2</c:v>
                </c:pt>
                <c:pt idx="87">
                  <c:v>7.0381166666664718E-2</c:v>
                </c:pt>
                <c:pt idx="88">
                  <c:v>7.0381166666667383E-2</c:v>
                </c:pt>
                <c:pt idx="89">
                  <c:v>5.0124333333331883E-2</c:v>
                </c:pt>
                <c:pt idx="90">
                  <c:v>2.0453333333323442E-3</c:v>
                </c:pt>
                <c:pt idx="91">
                  <c:v>0</c:v>
                </c:pt>
                <c:pt idx="92">
                  <c:v>2.8749166666690584E-3</c:v>
                </c:pt>
                <c:pt idx="93">
                  <c:v>1.9611916666668172E-2</c:v>
                </c:pt>
                <c:pt idx="94">
                  <c:v>2.2316000000000003E-2</c:v>
                </c:pt>
                <c:pt idx="95">
                  <c:v>2.2316000000000003E-2</c:v>
                </c:pt>
                <c:pt idx="96">
                  <c:v>2.1822833333332348E-2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98-C444-9EAE-2A034F133A7B}"/>
            </c:ext>
          </c:extLst>
        </c:ser>
        <c:ser>
          <c:idx val="7"/>
          <c:order val="7"/>
          <c:tx>
            <c:strRef>
              <c:f>'Non-cum 1day avg of avgs'!$AI$1</c:f>
              <c:strCache>
                <c:ptCount val="1"/>
                <c:pt idx="0">
                  <c:v>133R</c:v>
                </c:pt>
              </c:strCache>
            </c:strRef>
          </c:tx>
          <c:spPr>
            <a:ln w="28575" cap="rnd">
              <a:solidFill>
                <a:srgbClr val="FF2F9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2F92"/>
              </a:solidFill>
              <a:ln w="9525">
                <a:solidFill>
                  <a:srgbClr val="FF2F92"/>
                </a:solidFill>
              </a:ln>
              <a:effectLst/>
            </c:spPr>
          </c:marker>
          <c:cat>
            <c:numRef>
              <c:f>'Non-cum 1day avg of avgs'!$T$2:$T$98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 1day avg of avgs'!$AI$2:$AI$98</c:f>
              <c:numCache>
                <c:formatCode>General</c:formatCode>
                <c:ptCount val="97"/>
                <c:pt idx="0">
                  <c:v>0</c:v>
                </c:pt>
                <c:pt idx="1">
                  <c:v>0.15345191666666746</c:v>
                </c:pt>
                <c:pt idx="2">
                  <c:v>0.34806574999999906</c:v>
                </c:pt>
                <c:pt idx="3">
                  <c:v>0.28873558333333538</c:v>
                </c:pt>
                <c:pt idx="4">
                  <c:v>8.2426666666664872E-2</c:v>
                </c:pt>
                <c:pt idx="5">
                  <c:v>0.26642808333333434</c:v>
                </c:pt>
                <c:pt idx="6">
                  <c:v>0.25398466666666586</c:v>
                </c:pt>
                <c:pt idx="7">
                  <c:v>3.7691333333333077E-2</c:v>
                </c:pt>
                <c:pt idx="8">
                  <c:v>0</c:v>
                </c:pt>
                <c:pt idx="9">
                  <c:v>8.308500000000052E-3</c:v>
                </c:pt>
                <c:pt idx="10">
                  <c:v>2.4390083333332591E-2</c:v>
                </c:pt>
                <c:pt idx="11">
                  <c:v>2.4415333333333678E-2</c:v>
                </c:pt>
                <c:pt idx="12">
                  <c:v>5.3509166666667163E-2</c:v>
                </c:pt>
                <c:pt idx="13">
                  <c:v>6.8589083333333356E-2</c:v>
                </c:pt>
                <c:pt idx="14">
                  <c:v>0.23156399999999877</c:v>
                </c:pt>
                <c:pt idx="15">
                  <c:v>0.28839116666666786</c:v>
                </c:pt>
                <c:pt idx="16">
                  <c:v>0.27731274999999922</c:v>
                </c:pt>
                <c:pt idx="17">
                  <c:v>7.9203000000000578E-2</c:v>
                </c:pt>
                <c:pt idx="18">
                  <c:v>6.8584166666667556E-3</c:v>
                </c:pt>
                <c:pt idx="19">
                  <c:v>0.10263866666666654</c:v>
                </c:pt>
                <c:pt idx="20">
                  <c:v>0.19741075000000041</c:v>
                </c:pt>
                <c:pt idx="21">
                  <c:v>0.14320516666666716</c:v>
                </c:pt>
                <c:pt idx="22">
                  <c:v>6.6079166666668243E-3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0.21990499999999802</c:v>
                </c:pt>
                <c:pt idx="34">
                  <c:v>0.17899175000000245</c:v>
                </c:pt>
                <c:pt idx="35">
                  <c:v>4.6379499999998686E-2</c:v>
                </c:pt>
                <c:pt idx="36">
                  <c:v>4.806516666666738E-2</c:v>
                </c:pt>
                <c:pt idx="37">
                  <c:v>4.7038749999996909E-2</c:v>
                </c:pt>
                <c:pt idx="38">
                  <c:v>4.2343666666670998E-2</c:v>
                </c:pt>
                <c:pt idx="39">
                  <c:v>2.0968166666666122E-2</c:v>
                </c:pt>
                <c:pt idx="40">
                  <c:v>2.061058333333321E-2</c:v>
                </c:pt>
                <c:pt idx="41">
                  <c:v>0.13129550000000023</c:v>
                </c:pt>
                <c:pt idx="42">
                  <c:v>0.15449524999999831</c:v>
                </c:pt>
                <c:pt idx="43">
                  <c:v>0.15449516666666696</c:v>
                </c:pt>
                <c:pt idx="44">
                  <c:v>0.15454391666666645</c:v>
                </c:pt>
                <c:pt idx="45">
                  <c:v>7.3028666666669295E-2</c:v>
                </c:pt>
                <c:pt idx="46">
                  <c:v>0.16520783333333178</c:v>
                </c:pt>
                <c:pt idx="47">
                  <c:v>0.27465816666666676</c:v>
                </c:pt>
                <c:pt idx="48">
                  <c:v>0.25769549999999875</c:v>
                </c:pt>
                <c:pt idx="49">
                  <c:v>7.4359666666667934E-2</c:v>
                </c:pt>
                <c:pt idx="50">
                  <c:v>0.36133266666666586</c:v>
                </c:pt>
                <c:pt idx="51">
                  <c:v>0.45172091666666603</c:v>
                </c:pt>
                <c:pt idx="52">
                  <c:v>8.308500000000052E-2</c:v>
                </c:pt>
                <c:pt idx="53">
                  <c:v>3.4324999999988393E-3</c:v>
                </c:pt>
                <c:pt idx="54">
                  <c:v>3.1758333333335997E-3</c:v>
                </c:pt>
                <c:pt idx="55">
                  <c:v>1.4338333333334674E-2</c:v>
                </c:pt>
                <c:pt idx="56">
                  <c:v>6.9579999999998421E-2</c:v>
                </c:pt>
                <c:pt idx="57">
                  <c:v>7.5530833333335323E-2</c:v>
                </c:pt>
                <c:pt idx="58">
                  <c:v>7.5541666666666174E-2</c:v>
                </c:pt>
                <c:pt idx="59">
                  <c:v>5.084166666666512E-2</c:v>
                </c:pt>
                <c:pt idx="60">
                  <c:v>4.7190833333337068E-2</c:v>
                </c:pt>
                <c:pt idx="61">
                  <c:v>5.4574999999996265E-2</c:v>
                </c:pt>
                <c:pt idx="62">
                  <c:v>0.10086499999999887</c:v>
                </c:pt>
                <c:pt idx="63">
                  <c:v>0.10643000000000313</c:v>
                </c:pt>
                <c:pt idx="64">
                  <c:v>0.10643000000000136</c:v>
                </c:pt>
                <c:pt idx="65">
                  <c:v>0.1064299999999978</c:v>
                </c:pt>
                <c:pt idx="66">
                  <c:v>0.10643083333333259</c:v>
                </c:pt>
                <c:pt idx="67">
                  <c:v>0.10643000000000136</c:v>
                </c:pt>
                <c:pt idx="68">
                  <c:v>0.10643000000000313</c:v>
                </c:pt>
                <c:pt idx="69">
                  <c:v>9.7044166666664822E-2</c:v>
                </c:pt>
                <c:pt idx="70">
                  <c:v>1.7902499999999932E-2</c:v>
                </c:pt>
                <c:pt idx="71">
                  <c:v>4.5027499999996223E-2</c:v>
                </c:pt>
                <c:pt idx="72">
                  <c:v>0.15019250000000284</c:v>
                </c:pt>
                <c:pt idx="73">
                  <c:v>0.15449416666666416</c:v>
                </c:pt>
                <c:pt idx="74">
                  <c:v>0.1544958333333355</c:v>
                </c:pt>
                <c:pt idx="75">
                  <c:v>0.15449499999999894</c:v>
                </c:pt>
                <c:pt idx="76">
                  <c:v>0.15449500000000072</c:v>
                </c:pt>
                <c:pt idx="77">
                  <c:v>0.12070666666666519</c:v>
                </c:pt>
                <c:pt idx="78">
                  <c:v>0.29359833333333363</c:v>
                </c:pt>
                <c:pt idx="79">
                  <c:v>0.35018999999999956</c:v>
                </c:pt>
                <c:pt idx="80">
                  <c:v>0.22948333333333615</c:v>
                </c:pt>
                <c:pt idx="81">
                  <c:v>5.0416666666670551E-3</c:v>
                </c:pt>
                <c:pt idx="82">
                  <c:v>0</c:v>
                </c:pt>
                <c:pt idx="83">
                  <c:v>0</c:v>
                </c:pt>
                <c:pt idx="84">
                  <c:v>2.7955833333331626E-2</c:v>
                </c:pt>
                <c:pt idx="85">
                  <c:v>2.0204166666665913E-2</c:v>
                </c:pt>
                <c:pt idx="86">
                  <c:v>1.0299166666669635E-2</c:v>
                </c:pt>
                <c:pt idx="87">
                  <c:v>1.4710833333330342E-2</c:v>
                </c:pt>
                <c:pt idx="88">
                  <c:v>1.7899166666667909E-2</c:v>
                </c:pt>
                <c:pt idx="89">
                  <c:v>2.8110833333331087E-2</c:v>
                </c:pt>
                <c:pt idx="90">
                  <c:v>0.10685166666666746</c:v>
                </c:pt>
                <c:pt idx="91">
                  <c:v>0.15106250000000188</c:v>
                </c:pt>
                <c:pt idx="92">
                  <c:v>0.15106249999999832</c:v>
                </c:pt>
                <c:pt idx="93">
                  <c:v>0.1510625000000001</c:v>
                </c:pt>
                <c:pt idx="94">
                  <c:v>0.10667583333333219</c:v>
                </c:pt>
                <c:pt idx="95">
                  <c:v>4.9327499999998636E-2</c:v>
                </c:pt>
                <c:pt idx="96">
                  <c:v>9.5750000000016655E-4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98-C444-9EAE-2A034F133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428607"/>
        <c:axId val="1502222367"/>
      </c:lineChart>
      <c:catAx>
        <c:axId val="1599428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222367"/>
        <c:crosses val="autoZero"/>
        <c:auto val="1"/>
        <c:lblAlgn val="ctr"/>
        <c:lblOffset val="100"/>
        <c:noMultiLvlLbl val="0"/>
      </c:catAx>
      <c:valAx>
        <c:axId val="150222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Food Intake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2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Apoe-/- 4 days Hourly Food</a:t>
            </a:r>
            <a:r>
              <a:rPr lang="en-US" baseline="0"/>
              <a:t> Intake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'Non-Cumulative 1 day avg'!$U$1</c:f>
              <c:strCache>
                <c:ptCount val="1"/>
                <c:pt idx="0">
                  <c:v>123N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'Non-Cumulative 1 day avg'!$T$2:$T$98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'Non-Cumulative 1 day avg'!$U$2:$U$98</c:f>
              <c:numCache>
                <c:formatCode>General</c:formatCode>
                <c:ptCount val="97"/>
                <c:pt idx="0">
                  <c:v>0</c:v>
                </c:pt>
                <c:pt idx="1">
                  <c:v>1.5769750000000027E-2</c:v>
                </c:pt>
                <c:pt idx="2">
                  <c:v>3.6803083333333486E-2</c:v>
                </c:pt>
                <c:pt idx="3">
                  <c:v>3.4396749999999976E-2</c:v>
                </c:pt>
                <c:pt idx="4">
                  <c:v>2.4545250000000074E-2</c:v>
                </c:pt>
                <c:pt idx="5">
                  <c:v>2.1499166666666625E-2</c:v>
                </c:pt>
                <c:pt idx="6">
                  <c:v>1.05255833333322E-2</c:v>
                </c:pt>
                <c:pt idx="7">
                  <c:v>8.7345000000009776E-3</c:v>
                </c:pt>
                <c:pt idx="8">
                  <c:v>5.8349416666666709E-2</c:v>
                </c:pt>
                <c:pt idx="9">
                  <c:v>6.6948000000000008E-2</c:v>
                </c:pt>
                <c:pt idx="10">
                  <c:v>6.6106749999999881E-2</c:v>
                </c:pt>
                <c:pt idx="11">
                  <c:v>3.1175666666666935E-2</c:v>
                </c:pt>
                <c:pt idx="12">
                  <c:v>1.2874499999999234E-2</c:v>
                </c:pt>
                <c:pt idx="13">
                  <c:v>1.2874583333333689E-2</c:v>
                </c:pt>
                <c:pt idx="14">
                  <c:v>1.2006250000000218E-2</c:v>
                </c:pt>
                <c:pt idx="15">
                  <c:v>1.0961833333333448E-2</c:v>
                </c:pt>
                <c:pt idx="16">
                  <c:v>3.8649999999997853E-3</c:v>
                </c:pt>
                <c:pt idx="17">
                  <c:v>3.5371666666668133E-3</c:v>
                </c:pt>
                <c:pt idx="18">
                  <c:v>0.12390716666666624</c:v>
                </c:pt>
                <c:pt idx="19">
                  <c:v>0.21371833333333345</c:v>
                </c:pt>
                <c:pt idx="20">
                  <c:v>0.21378783333333384</c:v>
                </c:pt>
                <c:pt idx="21">
                  <c:v>0.21442341666666698</c:v>
                </c:pt>
                <c:pt idx="22">
                  <c:v>0.15619383333333392</c:v>
                </c:pt>
                <c:pt idx="23">
                  <c:v>7.3611666666666409E-3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5.4749999999437193E-5</c:v>
                </c:pt>
                <c:pt idx="28">
                  <c:v>1.2370833333328335E-3</c:v>
                </c:pt>
                <c:pt idx="29">
                  <c:v>1.2374166666671016E-3</c:v>
                </c:pt>
                <c:pt idx="30">
                  <c:v>3.7155000000002047E-3</c:v>
                </c:pt>
                <c:pt idx="31">
                  <c:v>4.4264499999999707E-2</c:v>
                </c:pt>
                <c:pt idx="32">
                  <c:v>9.0758749999998223E-2</c:v>
                </c:pt>
                <c:pt idx="33">
                  <c:v>0.10128000000000092</c:v>
                </c:pt>
                <c:pt idx="34">
                  <c:v>0.10128000000000181</c:v>
                </c:pt>
                <c:pt idx="35">
                  <c:v>9.2600333333331619E-2</c:v>
                </c:pt>
                <c:pt idx="36">
                  <c:v>3.6698500000000855E-2</c:v>
                </c:pt>
                <c:pt idx="37">
                  <c:v>3.6316666666635911E-4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2.2846666666662685E-3</c:v>
                </c:pt>
                <c:pt idx="45">
                  <c:v>3.759300000000021E-2</c:v>
                </c:pt>
                <c:pt idx="46">
                  <c:v>0.23077983333333307</c:v>
                </c:pt>
                <c:pt idx="47">
                  <c:v>0.26264183333333335</c:v>
                </c:pt>
                <c:pt idx="48">
                  <c:v>0.18001941666666621</c:v>
                </c:pt>
                <c:pt idx="49">
                  <c:v>5.3622499999992357E-3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4.2404166666685228E-3</c:v>
                </c:pt>
                <c:pt idx="56">
                  <c:v>8.9944999999991282E-3</c:v>
                </c:pt>
                <c:pt idx="57">
                  <c:v>6.8663333333320864E-3</c:v>
                </c:pt>
                <c:pt idx="58">
                  <c:v>6.8665000000009968E-3</c:v>
                </c:pt>
                <c:pt idx="59">
                  <c:v>6.8665000000009968E-3</c:v>
                </c:pt>
                <c:pt idx="60">
                  <c:v>6.8446666666659439E-3</c:v>
                </c:pt>
                <c:pt idx="61">
                  <c:v>9.6500000000006025E-3</c:v>
                </c:pt>
                <c:pt idx="62">
                  <c:v>2.3282666666666785E-2</c:v>
                </c:pt>
                <c:pt idx="63">
                  <c:v>5.8312583333332668E-2</c:v>
                </c:pt>
                <c:pt idx="64">
                  <c:v>8.3129333333333832E-2</c:v>
                </c:pt>
                <c:pt idx="65">
                  <c:v>8.4113999999999578E-2</c:v>
                </c:pt>
                <c:pt idx="66">
                  <c:v>7.4854166666666444E-2</c:v>
                </c:pt>
                <c:pt idx="67">
                  <c:v>5.5343666666667346E-2</c:v>
                </c:pt>
                <c:pt idx="68">
                  <c:v>5.3573583333331953E-2</c:v>
                </c:pt>
                <c:pt idx="69">
                  <c:v>1.6525083333334578E-2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3.7733333333367369E-4</c:v>
                </c:pt>
                <c:pt idx="75">
                  <c:v>2.7346666666661079E-3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1.5951916666667287E-2</c:v>
                </c:pt>
                <c:pt idx="84">
                  <c:v>6.948783333333175E-2</c:v>
                </c:pt>
                <c:pt idx="85">
                  <c:v>6.806975000000115E-2</c:v>
                </c:pt>
                <c:pt idx="86">
                  <c:v>8.382499999999915E-2</c:v>
                </c:pt>
                <c:pt idx="87">
                  <c:v>0.17516074999999987</c:v>
                </c:pt>
                <c:pt idx="88">
                  <c:v>0.18882750000000037</c:v>
                </c:pt>
                <c:pt idx="89">
                  <c:v>0.18882750000000037</c:v>
                </c:pt>
                <c:pt idx="90">
                  <c:v>0.17349441666666721</c:v>
                </c:pt>
                <c:pt idx="91">
                  <c:v>0.13775999999999922</c:v>
                </c:pt>
                <c:pt idx="92">
                  <c:v>0.208064583333333</c:v>
                </c:pt>
                <c:pt idx="93">
                  <c:v>0.1463208333333359</c:v>
                </c:pt>
                <c:pt idx="94">
                  <c:v>2.8220916666665374E-2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3-834B-855A-78915122ABB4}"/>
            </c:ext>
          </c:extLst>
        </c:ser>
        <c:ser>
          <c:idx val="1"/>
          <c:order val="1"/>
          <c:tx>
            <c:strRef>
              <c:f>'Non-Cumulative 1 day avg'!$V$1</c:f>
              <c:strCache>
                <c:ptCount val="1"/>
                <c:pt idx="0">
                  <c:v>124L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'Non-Cumulative 1 day avg'!$T$2:$T$98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'Non-Cumulative 1 day avg'!$V$2:$V$98</c:f>
              <c:numCache>
                <c:formatCode>General</c:formatCode>
                <c:ptCount val="97"/>
                <c:pt idx="0">
                  <c:v>0</c:v>
                </c:pt>
                <c:pt idx="1">
                  <c:v>8.368199999999959E-2</c:v>
                </c:pt>
                <c:pt idx="2">
                  <c:v>6.4164666666667092E-2</c:v>
                </c:pt>
                <c:pt idx="3">
                  <c:v>2.6595083333333047E-2</c:v>
                </c:pt>
                <c:pt idx="4">
                  <c:v>4.4864000000000459E-2</c:v>
                </c:pt>
                <c:pt idx="5">
                  <c:v>5.0646083333333536E-2</c:v>
                </c:pt>
                <c:pt idx="6">
                  <c:v>3.2595333333333087E-2</c:v>
                </c:pt>
                <c:pt idx="7">
                  <c:v>7.5811666666663058E-3</c:v>
                </c:pt>
                <c:pt idx="8">
                  <c:v>8.5676666666669732E-3</c:v>
                </c:pt>
                <c:pt idx="9">
                  <c:v>1.5262916666666904E-2</c:v>
                </c:pt>
                <c:pt idx="10">
                  <c:v>2.4842500000000101E-2</c:v>
                </c:pt>
                <c:pt idx="11">
                  <c:v>1.5030416666665936E-2</c:v>
                </c:pt>
                <c:pt idx="12">
                  <c:v>1.0118333333339891E-3</c:v>
                </c:pt>
                <c:pt idx="13">
                  <c:v>2.3333333336594819E-6</c:v>
                </c:pt>
                <c:pt idx="14">
                  <c:v>0</c:v>
                </c:pt>
                <c:pt idx="15">
                  <c:v>0.17242799999999914</c:v>
                </c:pt>
                <c:pt idx="16">
                  <c:v>0.50595641666666769</c:v>
                </c:pt>
                <c:pt idx="17">
                  <c:v>0.1411308333333321</c:v>
                </c:pt>
                <c:pt idx="18">
                  <c:v>0.13818741666666767</c:v>
                </c:pt>
                <c:pt idx="19">
                  <c:v>0.13818733333333277</c:v>
                </c:pt>
                <c:pt idx="20">
                  <c:v>0.13818749999999946</c:v>
                </c:pt>
                <c:pt idx="21">
                  <c:v>0.11113083333333451</c:v>
                </c:pt>
                <c:pt idx="22">
                  <c:v>9.5506666666667073E-3</c:v>
                </c:pt>
                <c:pt idx="23">
                  <c:v>0</c:v>
                </c:pt>
                <c:pt idx="24">
                  <c:v>9.2060999999999282E-2</c:v>
                </c:pt>
                <c:pt idx="25">
                  <c:v>0.13995599999999975</c:v>
                </c:pt>
                <c:pt idx="26">
                  <c:v>2.3800666666667247E-2</c:v>
                </c:pt>
                <c:pt idx="27">
                  <c:v>2.0699666666667227E-2</c:v>
                </c:pt>
                <c:pt idx="28">
                  <c:v>1.7010833333332975E-2</c:v>
                </c:pt>
                <c:pt idx="29">
                  <c:v>5.3089999999995641E-3</c:v>
                </c:pt>
                <c:pt idx="30">
                  <c:v>5.1498333333324098E-3</c:v>
                </c:pt>
                <c:pt idx="31">
                  <c:v>5.1846666666683916E-3</c:v>
                </c:pt>
                <c:pt idx="32">
                  <c:v>9.4451666666657275E-3</c:v>
                </c:pt>
                <c:pt idx="33">
                  <c:v>1.2016333333333407E-2</c:v>
                </c:pt>
                <c:pt idx="34">
                  <c:v>1.2016250000000284E-2</c:v>
                </c:pt>
                <c:pt idx="35">
                  <c:v>1.2016333333333407E-2</c:v>
                </c:pt>
                <c:pt idx="36">
                  <c:v>1.1083083333332411E-2</c:v>
                </c:pt>
                <c:pt idx="37">
                  <c:v>1.5816666666666812E-2</c:v>
                </c:pt>
                <c:pt idx="38">
                  <c:v>0.18745433333333317</c:v>
                </c:pt>
                <c:pt idx="39">
                  <c:v>0.24032583333333424</c:v>
                </c:pt>
                <c:pt idx="40">
                  <c:v>0.24032599999999782</c:v>
                </c:pt>
                <c:pt idx="41">
                  <c:v>0.19199591666666826</c:v>
                </c:pt>
                <c:pt idx="42">
                  <c:v>6.3983666666667105E-2</c:v>
                </c:pt>
                <c:pt idx="43">
                  <c:v>7.9062416666666024E-2</c:v>
                </c:pt>
                <c:pt idx="44">
                  <c:v>0.10986325000000008</c:v>
                </c:pt>
                <c:pt idx="45">
                  <c:v>7.2906583333335107E-2</c:v>
                </c:pt>
                <c:pt idx="46">
                  <c:v>3.9396166666666232E-2</c:v>
                </c:pt>
                <c:pt idx="47">
                  <c:v>3.9482166666665819E-2</c:v>
                </c:pt>
                <c:pt idx="48">
                  <c:v>3.9482083333332696E-2</c:v>
                </c:pt>
                <c:pt idx="49">
                  <c:v>3.9482083333334472E-2</c:v>
                </c:pt>
                <c:pt idx="50">
                  <c:v>3.9482166666665819E-2</c:v>
                </c:pt>
                <c:pt idx="51">
                  <c:v>3.9482083333333584E-2</c:v>
                </c:pt>
                <c:pt idx="52">
                  <c:v>3.9482083333332696E-2</c:v>
                </c:pt>
                <c:pt idx="53">
                  <c:v>3.9482166666666707E-2</c:v>
                </c:pt>
                <c:pt idx="54">
                  <c:v>3.8159333333332768E-2</c:v>
                </c:pt>
                <c:pt idx="55">
                  <c:v>2.1267000000000813E-2</c:v>
                </c:pt>
                <c:pt idx="56">
                  <c:v>3.0611666666660042E-3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6.5878333333335704E-3</c:v>
                </c:pt>
                <c:pt idx="63">
                  <c:v>0.25023350000000022</c:v>
                </c:pt>
                <c:pt idx="64">
                  <c:v>0.37235858333333383</c:v>
                </c:pt>
                <c:pt idx="65">
                  <c:v>0.23183958333333354</c:v>
                </c:pt>
                <c:pt idx="66">
                  <c:v>0.13561291666666619</c:v>
                </c:pt>
                <c:pt idx="67">
                  <c:v>8.2659666666667242E-2</c:v>
                </c:pt>
                <c:pt idx="68">
                  <c:v>1.9569083333332848E-2</c:v>
                </c:pt>
                <c:pt idx="69">
                  <c:v>9.38333333326824E-5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8.3250000001200419E-5</c:v>
                </c:pt>
                <c:pt idx="77">
                  <c:v>5.0001666666652511E-3</c:v>
                </c:pt>
                <c:pt idx="78">
                  <c:v>9.6461666666680657E-3</c:v>
                </c:pt>
                <c:pt idx="79">
                  <c:v>2.2746333333332203E-2</c:v>
                </c:pt>
                <c:pt idx="80">
                  <c:v>6.1849166666689825E-3</c:v>
                </c:pt>
                <c:pt idx="81">
                  <c:v>4.1428333333310974E-3</c:v>
                </c:pt>
                <c:pt idx="82">
                  <c:v>4.4718333333326754E-3</c:v>
                </c:pt>
                <c:pt idx="83">
                  <c:v>6.0950000000037363E-4</c:v>
                </c:pt>
                <c:pt idx="84">
                  <c:v>1.2867583333334487E-2</c:v>
                </c:pt>
                <c:pt idx="85">
                  <c:v>5.9362583333332886E-2</c:v>
                </c:pt>
                <c:pt idx="86">
                  <c:v>6.3514749999999509E-2</c:v>
                </c:pt>
                <c:pt idx="87">
                  <c:v>6.3514750000001285E-2</c:v>
                </c:pt>
                <c:pt idx="88">
                  <c:v>6.3514583333334151E-2</c:v>
                </c:pt>
                <c:pt idx="89">
                  <c:v>0.11021566666666516</c:v>
                </c:pt>
                <c:pt idx="90">
                  <c:v>0.23402408333333558</c:v>
                </c:pt>
                <c:pt idx="91">
                  <c:v>4.80600000000031E-3</c:v>
                </c:pt>
                <c:pt idx="92">
                  <c:v>9.3535416666663096E-2</c:v>
                </c:pt>
                <c:pt idx="93">
                  <c:v>0.28390133333333356</c:v>
                </c:pt>
                <c:pt idx="94">
                  <c:v>0.15388675000000163</c:v>
                </c:pt>
                <c:pt idx="95">
                  <c:v>0.1298829166666664</c:v>
                </c:pt>
                <c:pt idx="96">
                  <c:v>0.11669299999999971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E3-834B-855A-78915122ABB4}"/>
            </c:ext>
          </c:extLst>
        </c:ser>
        <c:ser>
          <c:idx val="2"/>
          <c:order val="2"/>
          <c:tx>
            <c:strRef>
              <c:f>'Non-Cumulative 1 day avg'!$W$1</c:f>
              <c:strCache>
                <c:ptCount val="1"/>
                <c:pt idx="0">
                  <c:v>124N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'Non-Cumulative 1 day avg'!$T$2:$T$98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'Non-Cumulative 1 day avg'!$W$2:$W$98</c:f>
              <c:numCache>
                <c:formatCode>General</c:formatCode>
                <c:ptCount val="97"/>
                <c:pt idx="0">
                  <c:v>0</c:v>
                </c:pt>
                <c:pt idx="1">
                  <c:v>0.14117858333333322</c:v>
                </c:pt>
                <c:pt idx="2">
                  <c:v>7.6535333333333622E-2</c:v>
                </c:pt>
                <c:pt idx="3">
                  <c:v>2.359066666666676E-2</c:v>
                </c:pt>
                <c:pt idx="4">
                  <c:v>1.1792666666666562E-2</c:v>
                </c:pt>
                <c:pt idx="5">
                  <c:v>1.2016249999999395E-2</c:v>
                </c:pt>
                <c:pt idx="6">
                  <c:v>1.2016250000000284E-2</c:v>
                </c:pt>
                <c:pt idx="7">
                  <c:v>1.2016333333332962E-2</c:v>
                </c:pt>
                <c:pt idx="8">
                  <c:v>1.2016250000000728E-2</c:v>
                </c:pt>
                <c:pt idx="9">
                  <c:v>1.6797083333333074E-2</c:v>
                </c:pt>
                <c:pt idx="10">
                  <c:v>2.7193499999999649E-2</c:v>
                </c:pt>
                <c:pt idx="11">
                  <c:v>2.74658333333333E-2</c:v>
                </c:pt>
                <c:pt idx="12">
                  <c:v>2.6018583333334622E-2</c:v>
                </c:pt>
                <c:pt idx="13">
                  <c:v>1.1686999999998893E-2</c:v>
                </c:pt>
                <c:pt idx="14">
                  <c:v>5.8056666666666423E-2</c:v>
                </c:pt>
                <c:pt idx="15">
                  <c:v>7.12394999999999E-2</c:v>
                </c:pt>
                <c:pt idx="16">
                  <c:v>7.1239500000000344E-2</c:v>
                </c:pt>
                <c:pt idx="17">
                  <c:v>6.8513666666666584E-2</c:v>
                </c:pt>
                <c:pt idx="18">
                  <c:v>3.6807833333333928E-2</c:v>
                </c:pt>
                <c:pt idx="19">
                  <c:v>5.349683333333255E-2</c:v>
                </c:pt>
                <c:pt idx="20">
                  <c:v>0.10788958333333376</c:v>
                </c:pt>
                <c:pt idx="21">
                  <c:v>3.9042083333334254E-2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3.5324999999897244E-4</c:v>
                </c:pt>
                <c:pt idx="31">
                  <c:v>8.5475000000023726E-4</c:v>
                </c:pt>
                <c:pt idx="32">
                  <c:v>8.5833333333296125E-4</c:v>
                </c:pt>
                <c:pt idx="33">
                  <c:v>9.8958333333376558E-4</c:v>
                </c:pt>
                <c:pt idx="34">
                  <c:v>3.6325416666666221E-2</c:v>
                </c:pt>
                <c:pt idx="35">
                  <c:v>4.9312583333334103E-2</c:v>
                </c:pt>
                <c:pt idx="36">
                  <c:v>1.1410999999998506E-2</c:v>
                </c:pt>
                <c:pt idx="37">
                  <c:v>1.8203666666667839E-2</c:v>
                </c:pt>
                <c:pt idx="38">
                  <c:v>5.6689666666665861E-2</c:v>
                </c:pt>
                <c:pt idx="39">
                  <c:v>0.13539575000000159</c:v>
                </c:pt>
                <c:pt idx="40">
                  <c:v>0.11493141666666506</c:v>
                </c:pt>
                <c:pt idx="41">
                  <c:v>6.567058333333442E-2</c:v>
                </c:pt>
                <c:pt idx="42">
                  <c:v>7.0381166666666495E-2</c:v>
                </c:pt>
                <c:pt idx="43">
                  <c:v>7.0381166666664718E-2</c:v>
                </c:pt>
                <c:pt idx="44">
                  <c:v>7.0381166666668271E-2</c:v>
                </c:pt>
                <c:pt idx="45">
                  <c:v>5.7465416666667934E-2</c:v>
                </c:pt>
                <c:pt idx="46">
                  <c:v>5.437083333332815E-3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1.0364499999998777E-2</c:v>
                </c:pt>
                <c:pt idx="64">
                  <c:v>4.3806083333333135E-2</c:v>
                </c:pt>
                <c:pt idx="65">
                  <c:v>4.634850000000057E-2</c:v>
                </c:pt>
                <c:pt idx="66">
                  <c:v>4.6348666666665927E-2</c:v>
                </c:pt>
                <c:pt idx="67">
                  <c:v>4.6348500000001458E-2</c:v>
                </c:pt>
                <c:pt idx="68">
                  <c:v>6.4857916666666071E-2</c:v>
                </c:pt>
                <c:pt idx="69">
                  <c:v>0.12585025000000005</c:v>
                </c:pt>
                <c:pt idx="70">
                  <c:v>0.13046266666666728</c:v>
                </c:pt>
                <c:pt idx="71">
                  <c:v>0.11185683333333252</c:v>
                </c:pt>
                <c:pt idx="72">
                  <c:v>5.3013499999998714E-2</c:v>
                </c:pt>
                <c:pt idx="73">
                  <c:v>2.9182333333334753E-2</c:v>
                </c:pt>
                <c:pt idx="74">
                  <c:v>2.9182500000000999E-2</c:v>
                </c:pt>
                <c:pt idx="75">
                  <c:v>2.7411333333331456E-2</c:v>
                </c:pt>
                <c:pt idx="76">
                  <c:v>6.1854166666659438E-3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1.1207666666667393E-2</c:v>
                </c:pt>
                <c:pt idx="88">
                  <c:v>4.4483333333333874E-2</c:v>
                </c:pt>
                <c:pt idx="89">
                  <c:v>4.5849000000000473E-2</c:v>
                </c:pt>
                <c:pt idx="90">
                  <c:v>4.972916666666638E-2</c:v>
                </c:pt>
                <c:pt idx="91">
                  <c:v>5.3215000000000678E-2</c:v>
                </c:pt>
                <c:pt idx="92">
                  <c:v>5.4643583333332302E-2</c:v>
                </c:pt>
                <c:pt idx="93">
                  <c:v>8.696166666666727E-2</c:v>
                </c:pt>
                <c:pt idx="94">
                  <c:v>0.11622958333333244</c:v>
                </c:pt>
                <c:pt idx="95">
                  <c:v>0.11592208333333343</c:v>
                </c:pt>
                <c:pt idx="96">
                  <c:v>0.16987608333333437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E3-834B-855A-78915122ABB4}"/>
            </c:ext>
          </c:extLst>
        </c:ser>
        <c:ser>
          <c:idx val="3"/>
          <c:order val="3"/>
          <c:tx>
            <c:strRef>
              <c:f>'Non-Cumulative 1 day avg'!$X$1</c:f>
              <c:strCache>
                <c:ptCount val="1"/>
                <c:pt idx="0">
                  <c:v>123L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'Non-Cumulative 1 day avg'!$T$2:$T$98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'Non-Cumulative 1 day avg'!$X$2:$X$98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2.5221666666670473E-3</c:v>
                </c:pt>
                <c:pt idx="3">
                  <c:v>6.0888333333335432E-3</c:v>
                </c:pt>
                <c:pt idx="4">
                  <c:v>0</c:v>
                </c:pt>
                <c:pt idx="5">
                  <c:v>8.335833333332765E-4</c:v>
                </c:pt>
                <c:pt idx="6">
                  <c:v>9.7501666666666154E-3</c:v>
                </c:pt>
                <c:pt idx="7">
                  <c:v>3.0555749999999993E-2</c:v>
                </c:pt>
                <c:pt idx="8">
                  <c:v>3.008674999999994E-2</c:v>
                </c:pt>
                <c:pt idx="9">
                  <c:v>3.1705249999999907E-2</c:v>
                </c:pt>
                <c:pt idx="10">
                  <c:v>3.7388166666666889E-2</c:v>
                </c:pt>
                <c:pt idx="11">
                  <c:v>4.1198833333333518E-2</c:v>
                </c:pt>
                <c:pt idx="12">
                  <c:v>4.1198666666666606E-2</c:v>
                </c:pt>
                <c:pt idx="13">
                  <c:v>4.1198750000000173E-2</c:v>
                </c:pt>
                <c:pt idx="14">
                  <c:v>3.0375833333333269E-2</c:v>
                </c:pt>
                <c:pt idx="15">
                  <c:v>1.5422499999999673E-3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2.4363416666666637E-2</c:v>
                </c:pt>
                <c:pt idx="23">
                  <c:v>0.16404666666666645</c:v>
                </c:pt>
                <c:pt idx="24">
                  <c:v>0.18625875000000036</c:v>
                </c:pt>
                <c:pt idx="25">
                  <c:v>0.17824758333333257</c:v>
                </c:pt>
                <c:pt idx="26">
                  <c:v>4.8864583333333655E-2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7.4933333333326857E-4</c:v>
                </c:pt>
                <c:pt idx="32">
                  <c:v>7.736750000000292E-3</c:v>
                </c:pt>
                <c:pt idx="33">
                  <c:v>1.2952583333333045E-2</c:v>
                </c:pt>
                <c:pt idx="34">
                  <c:v>5.3605000000000125E-2</c:v>
                </c:pt>
                <c:pt idx="35">
                  <c:v>9.5985166666666455E-2</c:v>
                </c:pt>
                <c:pt idx="36">
                  <c:v>9.6988666666667278E-2</c:v>
                </c:pt>
                <c:pt idx="37">
                  <c:v>9.698866666666639E-2</c:v>
                </c:pt>
                <c:pt idx="38">
                  <c:v>9.6988749999999957E-2</c:v>
                </c:pt>
                <c:pt idx="39">
                  <c:v>0.10164250000000008</c:v>
                </c:pt>
                <c:pt idx="40">
                  <c:v>0.15018941666666663</c:v>
                </c:pt>
                <c:pt idx="41">
                  <c:v>0.16067258333333356</c:v>
                </c:pt>
                <c:pt idx="42">
                  <c:v>0.11549074999999975</c:v>
                </c:pt>
                <c:pt idx="43">
                  <c:v>9.1786500000000881E-2</c:v>
                </c:pt>
                <c:pt idx="44">
                  <c:v>4.2873583333332466E-2</c:v>
                </c:pt>
                <c:pt idx="45">
                  <c:v>8.9093666666666849E-2</c:v>
                </c:pt>
                <c:pt idx="46">
                  <c:v>7.1288499999999644E-2</c:v>
                </c:pt>
                <c:pt idx="47">
                  <c:v>5.6035833333338836E-3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3.6064999999982916E-3</c:v>
                </c:pt>
                <c:pt idx="58">
                  <c:v>5.88550000000021E-3</c:v>
                </c:pt>
                <c:pt idx="59">
                  <c:v>0</c:v>
                </c:pt>
                <c:pt idx="60">
                  <c:v>5.3195833333345988E-3</c:v>
                </c:pt>
                <c:pt idx="61">
                  <c:v>1.9046499999999966E-2</c:v>
                </c:pt>
                <c:pt idx="62">
                  <c:v>1.9741083333333354E-2</c:v>
                </c:pt>
                <c:pt idx="63">
                  <c:v>1.9741083333332909E-2</c:v>
                </c:pt>
                <c:pt idx="64">
                  <c:v>1.9570333333334133E-2</c:v>
                </c:pt>
                <c:pt idx="65">
                  <c:v>3.3077249999999392E-2</c:v>
                </c:pt>
                <c:pt idx="66">
                  <c:v>0.13519425000000007</c:v>
                </c:pt>
                <c:pt idx="67">
                  <c:v>0.27249141666666699</c:v>
                </c:pt>
                <c:pt idx="68">
                  <c:v>0.2763749166666658</c:v>
                </c:pt>
                <c:pt idx="69">
                  <c:v>0.27637483333333357</c:v>
                </c:pt>
                <c:pt idx="70">
                  <c:v>0.1346507499999996</c:v>
                </c:pt>
                <c:pt idx="71">
                  <c:v>1.143775000000069E-2</c:v>
                </c:pt>
                <c:pt idx="72">
                  <c:v>1.8882833333333515E-2</c:v>
                </c:pt>
                <c:pt idx="73">
                  <c:v>1.8882750000000392E-2</c:v>
                </c:pt>
                <c:pt idx="74">
                  <c:v>1.8882749999999504E-2</c:v>
                </c:pt>
                <c:pt idx="75">
                  <c:v>1.8188250000000572E-2</c:v>
                </c:pt>
                <c:pt idx="76">
                  <c:v>4.9976666666662339E-3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7.5152499999999733E-3</c:v>
                </c:pt>
                <c:pt idx="86">
                  <c:v>2.1026833333332107E-2</c:v>
                </c:pt>
                <c:pt idx="87">
                  <c:v>3.9109166666664308E-3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1.4300416666668703E-2</c:v>
                </c:pt>
                <c:pt idx="94">
                  <c:v>1.115058333333252E-2</c:v>
                </c:pt>
                <c:pt idx="95">
                  <c:v>0</c:v>
                </c:pt>
                <c:pt idx="96">
                  <c:v>1.7742666666666906E-2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E3-834B-855A-78915122A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610623"/>
        <c:axId val="1524472367"/>
      </c:lineChart>
      <c:catAx>
        <c:axId val="150161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72367"/>
        <c:crosses val="autoZero"/>
        <c:auto val="1"/>
        <c:lblAlgn val="ctr"/>
        <c:lblOffset val="100"/>
        <c:noMultiLvlLbl val="0"/>
      </c:catAx>
      <c:valAx>
        <c:axId val="152447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Food</a:t>
                </a:r>
                <a:r>
                  <a:rPr lang="en-US" baseline="0"/>
                  <a:t> Intake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61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Ldlr-/- 4</a:t>
            </a:r>
            <a:r>
              <a:rPr lang="en-US" baseline="0"/>
              <a:t> days Hourly Food Intake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'Non-Cumulative 1 day avg'!$AB$1</c:f>
              <c:strCache>
                <c:ptCount val="1"/>
                <c:pt idx="0">
                  <c:v>130N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cat>
            <c:numRef>
              <c:f>'Non-Cumulative 1 day avg'!$T$2:$T$98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'Non-Cumulative 1 day avg'!$AB$2:$AB$98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0.26968641666666748</c:v>
                </c:pt>
                <c:pt idx="18">
                  <c:v>0.41953316666666618</c:v>
                </c:pt>
                <c:pt idx="19">
                  <c:v>3.3571833333333689E-2</c:v>
                </c:pt>
                <c:pt idx="20">
                  <c:v>4.1866333333333561E-2</c:v>
                </c:pt>
                <c:pt idx="21">
                  <c:v>1.7777249999999967E-2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4.9481833333333114E-2</c:v>
                </c:pt>
                <c:pt idx="40">
                  <c:v>0.28494466666666574</c:v>
                </c:pt>
                <c:pt idx="41">
                  <c:v>0.12022250000000101</c:v>
                </c:pt>
                <c:pt idx="42">
                  <c:v>0</c:v>
                </c:pt>
                <c:pt idx="43">
                  <c:v>0</c:v>
                </c:pt>
                <c:pt idx="44">
                  <c:v>1.4491666666671676E-4</c:v>
                </c:pt>
                <c:pt idx="45">
                  <c:v>0.12712091666666581</c:v>
                </c:pt>
                <c:pt idx="46">
                  <c:v>0.23174291666666669</c:v>
                </c:pt>
                <c:pt idx="47">
                  <c:v>0.23030516666666712</c:v>
                </c:pt>
                <c:pt idx="48">
                  <c:v>9.0401083333333077E-2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1.5491666666669346E-3</c:v>
                </c:pt>
                <c:pt idx="53">
                  <c:v>2.9323750000000537E-2</c:v>
                </c:pt>
                <c:pt idx="54">
                  <c:v>3.9482083333332696E-2</c:v>
                </c:pt>
                <c:pt idx="55">
                  <c:v>3.9482166666666707E-2</c:v>
                </c:pt>
                <c:pt idx="56">
                  <c:v>8.5145000000000692E-2</c:v>
                </c:pt>
                <c:pt idx="57">
                  <c:v>0.33770441666666606</c:v>
                </c:pt>
                <c:pt idx="58">
                  <c:v>0.1766635833333341</c:v>
                </c:pt>
                <c:pt idx="59">
                  <c:v>3.2419250000000233E-2</c:v>
                </c:pt>
                <c:pt idx="60">
                  <c:v>5.4325833333326301E-3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5.3861666666659147E-3</c:v>
                </c:pt>
                <c:pt idx="73">
                  <c:v>8.3658333333334056E-3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0.158846500000001</c:v>
                </c:pt>
                <c:pt idx="93">
                  <c:v>0.26859374999999996</c:v>
                </c:pt>
                <c:pt idx="94">
                  <c:v>0.20057524999999998</c:v>
                </c:pt>
                <c:pt idx="95">
                  <c:v>0.19352150000000012</c:v>
                </c:pt>
                <c:pt idx="96">
                  <c:v>5.3348999999999869E-2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E5-1347-86A1-77C479476DE3}"/>
            </c:ext>
          </c:extLst>
        </c:ser>
        <c:ser>
          <c:idx val="1"/>
          <c:order val="1"/>
          <c:tx>
            <c:strRef>
              <c:f>'Non-Cumulative 1 day avg'!$AC$1</c:f>
              <c:strCache>
                <c:ptCount val="1"/>
                <c:pt idx="0">
                  <c:v>130R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numRef>
              <c:f>'Non-Cumulative 1 day avg'!$T$2:$T$98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'Non-Cumulative 1 day avg'!$AC$2:$AC$98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1.2150000000010763E-4</c:v>
                </c:pt>
                <c:pt idx="5">
                  <c:v>4.7575000000001921E-3</c:v>
                </c:pt>
                <c:pt idx="6">
                  <c:v>1.0299999999974219E-4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2.7210416666667125E-2</c:v>
                </c:pt>
                <c:pt idx="15">
                  <c:v>0.14989866666666751</c:v>
                </c:pt>
                <c:pt idx="16">
                  <c:v>0.1583519166666667</c:v>
                </c:pt>
                <c:pt idx="17">
                  <c:v>0.24077299999999946</c:v>
                </c:pt>
                <c:pt idx="18">
                  <c:v>0.20799650000000014</c:v>
                </c:pt>
                <c:pt idx="19">
                  <c:v>0.19828833333333318</c:v>
                </c:pt>
                <c:pt idx="20">
                  <c:v>0.19912025</c:v>
                </c:pt>
                <c:pt idx="21">
                  <c:v>0.19912941666666661</c:v>
                </c:pt>
                <c:pt idx="22">
                  <c:v>0.16211358333333248</c:v>
                </c:pt>
                <c:pt idx="23">
                  <c:v>1.5058916666666811E-2</c:v>
                </c:pt>
                <c:pt idx="24">
                  <c:v>0</c:v>
                </c:pt>
                <c:pt idx="25">
                  <c:v>8.6997499999998951E-3</c:v>
                </c:pt>
                <c:pt idx="26">
                  <c:v>4.8340250000000751E-2</c:v>
                </c:pt>
                <c:pt idx="27">
                  <c:v>3.9658583333332054E-2</c:v>
                </c:pt>
                <c:pt idx="28">
                  <c:v>1.7925000000000857E-2</c:v>
                </c:pt>
                <c:pt idx="29">
                  <c:v>2.9608083333334534E-2</c:v>
                </c:pt>
                <c:pt idx="30">
                  <c:v>1.0683333333334488E-3</c:v>
                </c:pt>
                <c:pt idx="31">
                  <c:v>0</c:v>
                </c:pt>
                <c:pt idx="32">
                  <c:v>3.3700833333325519E-3</c:v>
                </c:pt>
                <c:pt idx="33">
                  <c:v>1.4487916666666933E-2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1.7792166666666276E-2</c:v>
                </c:pt>
                <c:pt idx="44">
                  <c:v>0.16230966666666635</c:v>
                </c:pt>
                <c:pt idx="45">
                  <c:v>0.19397741666666679</c:v>
                </c:pt>
                <c:pt idx="46">
                  <c:v>0.19469016666666761</c:v>
                </c:pt>
                <c:pt idx="47">
                  <c:v>0.33817633333333319</c:v>
                </c:pt>
                <c:pt idx="48">
                  <c:v>0.33396449999999778</c:v>
                </c:pt>
                <c:pt idx="49">
                  <c:v>0.26876241666667067</c:v>
                </c:pt>
                <c:pt idx="50">
                  <c:v>0.2729414999999964</c:v>
                </c:pt>
                <c:pt idx="51">
                  <c:v>0.25089383333333526</c:v>
                </c:pt>
                <c:pt idx="52">
                  <c:v>0.11110433333333347</c:v>
                </c:pt>
                <c:pt idx="53">
                  <c:v>5.4968583333333321E-2</c:v>
                </c:pt>
                <c:pt idx="54">
                  <c:v>1.7090333333332985E-2</c:v>
                </c:pt>
                <c:pt idx="55">
                  <c:v>2.4853333333334504E-3</c:v>
                </c:pt>
                <c:pt idx="56">
                  <c:v>1.1338583333333041E-2</c:v>
                </c:pt>
                <c:pt idx="57">
                  <c:v>3.1778333333347675E-3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4.1377583333332524E-2</c:v>
                </c:pt>
                <c:pt idx="62">
                  <c:v>0.13392758333333266</c:v>
                </c:pt>
                <c:pt idx="63">
                  <c:v>0.34936433333333294</c:v>
                </c:pt>
                <c:pt idx="64">
                  <c:v>0.22104591666666362</c:v>
                </c:pt>
                <c:pt idx="65">
                  <c:v>4.6262500000004536E-2</c:v>
                </c:pt>
                <c:pt idx="66">
                  <c:v>2.5940833333333302E-3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2.8993333333318105E-3</c:v>
                </c:pt>
                <c:pt idx="73">
                  <c:v>6.2577083333334116E-2</c:v>
                </c:pt>
                <c:pt idx="74">
                  <c:v>0.11430933333333293</c:v>
                </c:pt>
                <c:pt idx="75">
                  <c:v>0.11327683333333383</c:v>
                </c:pt>
                <c:pt idx="76">
                  <c:v>0.1132965833333337</c:v>
                </c:pt>
                <c:pt idx="77">
                  <c:v>0.11329641666666568</c:v>
                </c:pt>
                <c:pt idx="78">
                  <c:v>0.1132965833333337</c:v>
                </c:pt>
                <c:pt idx="79">
                  <c:v>9.2888000000000304E-2</c:v>
                </c:pt>
                <c:pt idx="80">
                  <c:v>3.7129333333332681E-2</c:v>
                </c:pt>
                <c:pt idx="81">
                  <c:v>3.4314166666664647E-2</c:v>
                </c:pt>
                <c:pt idx="82">
                  <c:v>2.3461166666670863E-2</c:v>
                </c:pt>
                <c:pt idx="83">
                  <c:v>8.9956666666637375E-3</c:v>
                </c:pt>
                <c:pt idx="84">
                  <c:v>2.6455000000016327E-3</c:v>
                </c:pt>
                <c:pt idx="85">
                  <c:v>5.1613166666664156E-2</c:v>
                </c:pt>
                <c:pt idx="86">
                  <c:v>0.17642041666666763</c:v>
                </c:pt>
                <c:pt idx="87">
                  <c:v>0.18196100000000115</c:v>
                </c:pt>
                <c:pt idx="88">
                  <c:v>0.18196108333333427</c:v>
                </c:pt>
                <c:pt idx="89">
                  <c:v>0.17455099999999923</c:v>
                </c:pt>
                <c:pt idx="90">
                  <c:v>0.34659500000000243</c:v>
                </c:pt>
                <c:pt idx="91">
                  <c:v>8.3949333333331211E-2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1.7991666666663519E-3</c:v>
                </c:pt>
                <c:pt idx="96">
                  <c:v>0.15716416666666611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E5-1347-86A1-77C479476DE3}"/>
            </c:ext>
          </c:extLst>
        </c:ser>
        <c:ser>
          <c:idx val="2"/>
          <c:order val="2"/>
          <c:tx>
            <c:strRef>
              <c:f>'Non-Cumulative 1 day avg'!$AD$1</c:f>
              <c:strCache>
                <c:ptCount val="1"/>
                <c:pt idx="0">
                  <c:v>131N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'Non-Cumulative 1 day avg'!$T$2:$T$98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'Non-Cumulative 1 day avg'!$AD$2:$AD$98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5.5239166666662953E-3</c:v>
                </c:pt>
                <c:pt idx="6">
                  <c:v>2.5650000000000617E-2</c:v>
                </c:pt>
                <c:pt idx="7">
                  <c:v>2.7465833333332856E-2</c:v>
                </c:pt>
                <c:pt idx="8">
                  <c:v>1.5094499999998678E-2</c:v>
                </c:pt>
                <c:pt idx="9">
                  <c:v>3.6628333333346141E-3</c:v>
                </c:pt>
                <c:pt idx="10">
                  <c:v>0.1032985833333333</c:v>
                </c:pt>
                <c:pt idx="11">
                  <c:v>9.8149583333333013E-2</c:v>
                </c:pt>
                <c:pt idx="12">
                  <c:v>7.2046166666666522E-2</c:v>
                </c:pt>
                <c:pt idx="13">
                  <c:v>7.2097666666666171E-2</c:v>
                </c:pt>
                <c:pt idx="14">
                  <c:v>7.0300416666666976E-2</c:v>
                </c:pt>
                <c:pt idx="15">
                  <c:v>2.1644500000000733E-2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1.2682499999998598E-3</c:v>
                </c:pt>
                <c:pt idx="20">
                  <c:v>0.38959466666666653</c:v>
                </c:pt>
                <c:pt idx="21">
                  <c:v>0.51745891666666743</c:v>
                </c:pt>
                <c:pt idx="22">
                  <c:v>0.19481024999999974</c:v>
                </c:pt>
                <c:pt idx="23">
                  <c:v>0.34083083333333253</c:v>
                </c:pt>
                <c:pt idx="24">
                  <c:v>0.59228408333333249</c:v>
                </c:pt>
                <c:pt idx="25">
                  <c:v>0.11333500000000019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3.2741666666780134E-4</c:v>
                </c:pt>
                <c:pt idx="30">
                  <c:v>6.1401666666665022E-3</c:v>
                </c:pt>
                <c:pt idx="31">
                  <c:v>2.5994166666638563E-3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1.6326500000000799E-2</c:v>
                </c:pt>
                <c:pt idx="44">
                  <c:v>0.19401475000000179</c:v>
                </c:pt>
                <c:pt idx="45">
                  <c:v>0.24204258333333328</c:v>
                </c:pt>
                <c:pt idx="46">
                  <c:v>0.24204241666666704</c:v>
                </c:pt>
                <c:pt idx="47">
                  <c:v>0.18202683333333169</c:v>
                </c:pt>
                <c:pt idx="48">
                  <c:v>0.12054550000000219</c:v>
                </c:pt>
                <c:pt idx="49">
                  <c:v>8.7385499999998117E-2</c:v>
                </c:pt>
                <c:pt idx="50">
                  <c:v>3.7369166666660902E-3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4.2021666666691715E-3</c:v>
                </c:pt>
                <c:pt idx="59">
                  <c:v>6.7125249999999248E-2</c:v>
                </c:pt>
                <c:pt idx="60">
                  <c:v>9.4413750000000185E-2</c:v>
                </c:pt>
                <c:pt idx="61">
                  <c:v>7.396608333333532E-2</c:v>
                </c:pt>
                <c:pt idx="62">
                  <c:v>5.5117500000001485E-3</c:v>
                </c:pt>
                <c:pt idx="63">
                  <c:v>0</c:v>
                </c:pt>
                <c:pt idx="64">
                  <c:v>5.9608333333294183E-4</c:v>
                </c:pt>
                <c:pt idx="65">
                  <c:v>7.4397249999996973E-2</c:v>
                </c:pt>
                <c:pt idx="66">
                  <c:v>0.12412758333333418</c:v>
                </c:pt>
                <c:pt idx="67">
                  <c:v>0.1235962500000003</c:v>
                </c:pt>
                <c:pt idx="68">
                  <c:v>0.11180483333333235</c:v>
                </c:pt>
                <c:pt idx="69">
                  <c:v>0.26383150000000199</c:v>
                </c:pt>
                <c:pt idx="70">
                  <c:v>0.31399791666666488</c:v>
                </c:pt>
                <c:pt idx="71">
                  <c:v>0.28581541666666688</c:v>
                </c:pt>
                <c:pt idx="72">
                  <c:v>8.4005250000000586E-2</c:v>
                </c:pt>
                <c:pt idx="73">
                  <c:v>3.2725250000000372E-2</c:v>
                </c:pt>
                <c:pt idx="74">
                  <c:v>4.4632000000000005E-2</c:v>
                </c:pt>
                <c:pt idx="75">
                  <c:v>4.4631999999998229E-2</c:v>
                </c:pt>
                <c:pt idx="76">
                  <c:v>3.2214749999999626E-2</c:v>
                </c:pt>
                <c:pt idx="77">
                  <c:v>1.439916666667429E-3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1.3863500000002915E-2</c:v>
                </c:pt>
                <c:pt idx="84">
                  <c:v>7.2415916666665581E-2</c:v>
                </c:pt>
                <c:pt idx="85">
                  <c:v>7.8502916666666422E-2</c:v>
                </c:pt>
                <c:pt idx="86">
                  <c:v>9.6016166666665015E-2</c:v>
                </c:pt>
                <c:pt idx="87">
                  <c:v>9.8345000000001903E-3</c:v>
                </c:pt>
                <c:pt idx="88">
                  <c:v>0</c:v>
                </c:pt>
                <c:pt idx="89">
                  <c:v>0</c:v>
                </c:pt>
                <c:pt idx="90">
                  <c:v>0.10920250000000031</c:v>
                </c:pt>
                <c:pt idx="91">
                  <c:v>0.26656183333333416</c:v>
                </c:pt>
                <c:pt idx="92">
                  <c:v>0.26779133333333505</c:v>
                </c:pt>
                <c:pt idx="93">
                  <c:v>0.23482166666666515</c:v>
                </c:pt>
                <c:pt idx="94">
                  <c:v>0.13420499999999969</c:v>
                </c:pt>
                <c:pt idx="95">
                  <c:v>0.27712166666666604</c:v>
                </c:pt>
                <c:pt idx="96">
                  <c:v>0.18433916666666761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E5-1347-86A1-77C479476DE3}"/>
            </c:ext>
          </c:extLst>
        </c:ser>
        <c:ser>
          <c:idx val="3"/>
          <c:order val="3"/>
          <c:tx>
            <c:strRef>
              <c:f>'Non-Cumulative 1 day avg'!$AE$1</c:f>
              <c:strCache>
                <c:ptCount val="1"/>
                <c:pt idx="0">
                  <c:v>131L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'Non-Cumulative 1 day avg'!$T$2:$T$98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'Non-Cumulative 1 day avg'!$AE$2:$AE$98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2.0350083333333657E-2</c:v>
                </c:pt>
                <c:pt idx="3">
                  <c:v>5.6006166666666468E-2</c:v>
                </c:pt>
                <c:pt idx="4">
                  <c:v>1.8984333333333492E-2</c:v>
                </c:pt>
                <c:pt idx="5">
                  <c:v>7.7248333333326258E-3</c:v>
                </c:pt>
                <c:pt idx="6">
                  <c:v>7.724750000000391E-3</c:v>
                </c:pt>
                <c:pt idx="7">
                  <c:v>7.4158333333338433E-3</c:v>
                </c:pt>
                <c:pt idx="8">
                  <c:v>3.5491333333332875E-2</c:v>
                </c:pt>
                <c:pt idx="9">
                  <c:v>6.3885083333333537E-2</c:v>
                </c:pt>
                <c:pt idx="10">
                  <c:v>6.2733416666666653E-2</c:v>
                </c:pt>
                <c:pt idx="11">
                  <c:v>7.2118500000000196E-2</c:v>
                </c:pt>
                <c:pt idx="12">
                  <c:v>8.0174666666666283E-2</c:v>
                </c:pt>
                <c:pt idx="13">
                  <c:v>8.1538249999999479E-2</c:v>
                </c:pt>
                <c:pt idx="14">
                  <c:v>8.1539083333333817E-2</c:v>
                </c:pt>
                <c:pt idx="15">
                  <c:v>8.1540166666666192E-2</c:v>
                </c:pt>
                <c:pt idx="16">
                  <c:v>8.153900000000025E-2</c:v>
                </c:pt>
                <c:pt idx="17">
                  <c:v>8.1538333333333934E-2</c:v>
                </c:pt>
                <c:pt idx="18">
                  <c:v>8.153916666666694E-2</c:v>
                </c:pt>
                <c:pt idx="19">
                  <c:v>7.3328333333332996E-2</c:v>
                </c:pt>
                <c:pt idx="20">
                  <c:v>7.9709666666666568E-2</c:v>
                </c:pt>
                <c:pt idx="21">
                  <c:v>9.6487166666666013E-2</c:v>
                </c:pt>
                <c:pt idx="22">
                  <c:v>0.28550225000000129</c:v>
                </c:pt>
                <c:pt idx="23">
                  <c:v>0.19174033333333229</c:v>
                </c:pt>
                <c:pt idx="24">
                  <c:v>4.3924999999989112E-4</c:v>
                </c:pt>
                <c:pt idx="25">
                  <c:v>4.3389999999994266E-3</c:v>
                </c:pt>
                <c:pt idx="26">
                  <c:v>1.075500000000007E-2</c:v>
                </c:pt>
                <c:pt idx="27">
                  <c:v>0</c:v>
                </c:pt>
                <c:pt idx="28">
                  <c:v>1.1455000000011317E-3</c:v>
                </c:pt>
                <c:pt idx="29">
                  <c:v>2.4894999999999445E-2</c:v>
                </c:pt>
                <c:pt idx="30">
                  <c:v>3.4332833333333923E-2</c:v>
                </c:pt>
                <c:pt idx="31">
                  <c:v>3.4331166666667023E-2</c:v>
                </c:pt>
                <c:pt idx="32">
                  <c:v>3.4331999999999141E-2</c:v>
                </c:pt>
                <c:pt idx="33">
                  <c:v>3.3598666666666777E-2</c:v>
                </c:pt>
                <c:pt idx="34">
                  <c:v>4.9295333333332803E-2</c:v>
                </c:pt>
                <c:pt idx="35">
                  <c:v>8.2034999999995861E-3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1.159041666666738E-2</c:v>
                </c:pt>
                <c:pt idx="47">
                  <c:v>2.6685333333334338E-2</c:v>
                </c:pt>
                <c:pt idx="48">
                  <c:v>2.8324083333332695E-2</c:v>
                </c:pt>
                <c:pt idx="49">
                  <c:v>2.8323999999999572E-2</c:v>
                </c:pt>
                <c:pt idx="50">
                  <c:v>2.6544833333334683E-2</c:v>
                </c:pt>
                <c:pt idx="51">
                  <c:v>5.8823333333331007E-3</c:v>
                </c:pt>
                <c:pt idx="52">
                  <c:v>0</c:v>
                </c:pt>
                <c:pt idx="53">
                  <c:v>0</c:v>
                </c:pt>
                <c:pt idx="54">
                  <c:v>1.4417499999999528E-2</c:v>
                </c:pt>
                <c:pt idx="55">
                  <c:v>4.901258333333347E-2</c:v>
                </c:pt>
                <c:pt idx="56">
                  <c:v>6.2842833333332848E-2</c:v>
                </c:pt>
                <c:pt idx="57">
                  <c:v>6.2148499999999274E-2</c:v>
                </c:pt>
                <c:pt idx="58">
                  <c:v>4.553725000000064E-2</c:v>
                </c:pt>
                <c:pt idx="59">
                  <c:v>4.3793333333332463E-2</c:v>
                </c:pt>
                <c:pt idx="60">
                  <c:v>7.7639999999998821E-3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3.4315416666667709E-2</c:v>
                </c:pt>
                <c:pt idx="66">
                  <c:v>0.26992058333333357</c:v>
                </c:pt>
                <c:pt idx="67">
                  <c:v>0.31414024999999945</c:v>
                </c:pt>
                <c:pt idx="68">
                  <c:v>0.28770016666666631</c:v>
                </c:pt>
                <c:pt idx="69">
                  <c:v>8.5987333333334526E-2</c:v>
                </c:pt>
                <c:pt idx="70">
                  <c:v>2.0362499999997397E-3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2.7342500000004932E-3</c:v>
                </c:pt>
                <c:pt idx="77">
                  <c:v>1.5886416666665681E-2</c:v>
                </c:pt>
                <c:pt idx="78">
                  <c:v>1.814400000000127E-2</c:v>
                </c:pt>
                <c:pt idx="79">
                  <c:v>3.4162833333332365E-2</c:v>
                </c:pt>
                <c:pt idx="80">
                  <c:v>2.4851250000001102E-2</c:v>
                </c:pt>
                <c:pt idx="81">
                  <c:v>1.1312499999993619E-3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E5-1347-86A1-77C479476DE3}"/>
            </c:ext>
          </c:extLst>
        </c:ser>
        <c:ser>
          <c:idx val="4"/>
          <c:order val="4"/>
          <c:tx>
            <c:strRef>
              <c:f>'Non-Cumulative 1 day avg'!$AF$1</c:f>
              <c:strCache>
                <c:ptCount val="1"/>
                <c:pt idx="0">
                  <c:v>132L</c:v>
                </c:pt>
              </c:strCache>
            </c:strRef>
          </c:tx>
          <c:spPr>
            <a:ln w="28575" cap="rnd">
              <a:solidFill>
                <a:srgbClr val="9411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41100"/>
              </a:solidFill>
              <a:ln w="9525">
                <a:solidFill>
                  <a:srgbClr val="941100"/>
                </a:solidFill>
              </a:ln>
              <a:effectLst/>
            </c:spPr>
          </c:marker>
          <c:cat>
            <c:numRef>
              <c:f>'Non-Cumulative 1 day avg'!$T$2:$T$98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'Non-Cumulative 1 day avg'!$AF$2:$AF$98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7.3916666666695718E-4</c:v>
                </c:pt>
                <c:pt idx="3">
                  <c:v>7.18919166666665E-2</c:v>
                </c:pt>
                <c:pt idx="4">
                  <c:v>0.15713091666666656</c:v>
                </c:pt>
                <c:pt idx="5">
                  <c:v>0.20729108333333279</c:v>
                </c:pt>
                <c:pt idx="6">
                  <c:v>0.20279125000000109</c:v>
                </c:pt>
                <c:pt idx="7">
                  <c:v>0.19610558333333206</c:v>
                </c:pt>
                <c:pt idx="8">
                  <c:v>0.19264708333333402</c:v>
                </c:pt>
                <c:pt idx="9">
                  <c:v>0.28329450000000023</c:v>
                </c:pt>
                <c:pt idx="10">
                  <c:v>0.48327341666666612</c:v>
                </c:pt>
                <c:pt idx="11">
                  <c:v>3.9053083333332239E-2</c:v>
                </c:pt>
                <c:pt idx="12">
                  <c:v>7.3768250000002311E-2</c:v>
                </c:pt>
                <c:pt idx="13">
                  <c:v>0.12902091666666582</c:v>
                </c:pt>
                <c:pt idx="14">
                  <c:v>9.6588333333329501E-3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1.6906750000000415E-2</c:v>
                </c:pt>
                <c:pt idx="21">
                  <c:v>0.190411000000001</c:v>
                </c:pt>
                <c:pt idx="22">
                  <c:v>6.6587249999998654E-2</c:v>
                </c:pt>
                <c:pt idx="23">
                  <c:v>0.18655925000000018</c:v>
                </c:pt>
                <c:pt idx="24">
                  <c:v>0.2889520000000001</c:v>
                </c:pt>
                <c:pt idx="25">
                  <c:v>0.19530891666666683</c:v>
                </c:pt>
                <c:pt idx="26">
                  <c:v>0.19249316666666694</c:v>
                </c:pt>
                <c:pt idx="27">
                  <c:v>0.18561058333333413</c:v>
                </c:pt>
                <c:pt idx="28">
                  <c:v>0.19741058333333328</c:v>
                </c:pt>
                <c:pt idx="29">
                  <c:v>0.1974105833333315</c:v>
                </c:pt>
                <c:pt idx="30">
                  <c:v>0.16079991666666782</c:v>
                </c:pt>
                <c:pt idx="31">
                  <c:v>4.8381250000001153E-2</c:v>
                </c:pt>
                <c:pt idx="32">
                  <c:v>5.0067499999997267E-3</c:v>
                </c:pt>
                <c:pt idx="33">
                  <c:v>1.3893333333321323E-3</c:v>
                </c:pt>
                <c:pt idx="34">
                  <c:v>2.4522249999998635E-2</c:v>
                </c:pt>
                <c:pt idx="35">
                  <c:v>3.2496166666667214E-2</c:v>
                </c:pt>
                <c:pt idx="36">
                  <c:v>2.0001416666668881E-2</c:v>
                </c:pt>
                <c:pt idx="37">
                  <c:v>0.10084733333333062</c:v>
                </c:pt>
                <c:pt idx="38">
                  <c:v>0.13217933333333498</c:v>
                </c:pt>
                <c:pt idx="39">
                  <c:v>0.13217941666666544</c:v>
                </c:pt>
                <c:pt idx="40">
                  <c:v>0.10354841666666736</c:v>
                </c:pt>
                <c:pt idx="41">
                  <c:v>8.4273666666666358E-2</c:v>
                </c:pt>
                <c:pt idx="42">
                  <c:v>6.5034916666668607E-2</c:v>
                </c:pt>
                <c:pt idx="43">
                  <c:v>6.8664749999998165E-2</c:v>
                </c:pt>
                <c:pt idx="44">
                  <c:v>5.9061000000001584E-2</c:v>
                </c:pt>
                <c:pt idx="45">
                  <c:v>7.5630000000010966E-3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1.636666666673392E-4</c:v>
                </c:pt>
                <c:pt idx="58">
                  <c:v>2.0396833333329312E-2</c:v>
                </c:pt>
                <c:pt idx="59">
                  <c:v>3.4332833333333923E-2</c:v>
                </c:pt>
                <c:pt idx="60">
                  <c:v>3.4332166666667163E-2</c:v>
                </c:pt>
                <c:pt idx="61">
                  <c:v>3.4331999999999141E-2</c:v>
                </c:pt>
                <c:pt idx="62">
                  <c:v>3.4332250000000286E-2</c:v>
                </c:pt>
                <c:pt idx="63">
                  <c:v>5.2242666666668214E-2</c:v>
                </c:pt>
                <c:pt idx="64">
                  <c:v>0.13543158333333416</c:v>
                </c:pt>
                <c:pt idx="65">
                  <c:v>1.2134999999998897E-2</c:v>
                </c:pt>
                <c:pt idx="66">
                  <c:v>0</c:v>
                </c:pt>
                <c:pt idx="67">
                  <c:v>0</c:v>
                </c:pt>
                <c:pt idx="68">
                  <c:v>8.8834999999996E-3</c:v>
                </c:pt>
                <c:pt idx="69">
                  <c:v>7.8097249999999008E-2</c:v>
                </c:pt>
                <c:pt idx="70">
                  <c:v>6.5367916666666304E-2</c:v>
                </c:pt>
                <c:pt idx="71">
                  <c:v>1.4174333333334843E-2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4.7088833333333469E-2</c:v>
                </c:pt>
                <c:pt idx="79">
                  <c:v>0.10913141666666526</c:v>
                </c:pt>
                <c:pt idx="80">
                  <c:v>0.11814250000000115</c:v>
                </c:pt>
                <c:pt idx="81">
                  <c:v>0.19458624999999685</c:v>
                </c:pt>
                <c:pt idx="82">
                  <c:v>4.1146000000001237E-2</c:v>
                </c:pt>
                <c:pt idx="83">
                  <c:v>0</c:v>
                </c:pt>
                <c:pt idx="84">
                  <c:v>3.197166666669915E-3</c:v>
                </c:pt>
                <c:pt idx="85">
                  <c:v>2.6362499999997624E-2</c:v>
                </c:pt>
                <c:pt idx="86">
                  <c:v>3.0899083333334687E-2</c:v>
                </c:pt>
                <c:pt idx="87">
                  <c:v>3.0899083333334687E-2</c:v>
                </c:pt>
                <c:pt idx="88">
                  <c:v>3.0898999999998011E-2</c:v>
                </c:pt>
                <c:pt idx="89">
                  <c:v>3.0899083333332911E-2</c:v>
                </c:pt>
                <c:pt idx="90">
                  <c:v>3.0899000000001564E-2</c:v>
                </c:pt>
                <c:pt idx="91">
                  <c:v>3.0899083333332911E-2</c:v>
                </c:pt>
                <c:pt idx="92">
                  <c:v>3.0899083333331134E-2</c:v>
                </c:pt>
                <c:pt idx="93">
                  <c:v>3.0899000000001564E-2</c:v>
                </c:pt>
                <c:pt idx="94">
                  <c:v>3.0899083333334687E-2</c:v>
                </c:pt>
                <c:pt idx="95">
                  <c:v>3.0898999999998011E-2</c:v>
                </c:pt>
                <c:pt idx="96">
                  <c:v>3.0899083333332911E-2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E5-1347-86A1-77C479476DE3}"/>
            </c:ext>
          </c:extLst>
        </c:ser>
        <c:ser>
          <c:idx val="5"/>
          <c:order val="5"/>
          <c:tx>
            <c:strRef>
              <c:f>'Non-Cumulative 1 day avg'!$AG$1</c:f>
              <c:strCache>
                <c:ptCount val="1"/>
                <c:pt idx="0">
                  <c:v>133N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'Non-Cumulative 1 day avg'!$T$2:$T$98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'Non-Cumulative 1 day avg'!$AG$2:$AG$98</c:f>
              <c:numCache>
                <c:formatCode>General</c:formatCode>
                <c:ptCount val="97"/>
                <c:pt idx="0">
                  <c:v>0</c:v>
                </c:pt>
                <c:pt idx="1">
                  <c:v>0.14235275000000014</c:v>
                </c:pt>
                <c:pt idx="2">
                  <c:v>0.25160616666666646</c:v>
                </c:pt>
                <c:pt idx="3">
                  <c:v>0.26440058333333383</c:v>
                </c:pt>
                <c:pt idx="4">
                  <c:v>0.13452950000000019</c:v>
                </c:pt>
                <c:pt idx="5">
                  <c:v>0.12098808333333277</c:v>
                </c:pt>
                <c:pt idx="6">
                  <c:v>0.22191483333333384</c:v>
                </c:pt>
                <c:pt idx="7">
                  <c:v>0.10454491666666588</c:v>
                </c:pt>
                <c:pt idx="8">
                  <c:v>0.10471350000000079</c:v>
                </c:pt>
                <c:pt idx="9">
                  <c:v>7.1995916666666382E-2</c:v>
                </c:pt>
                <c:pt idx="10">
                  <c:v>0.18478424999999987</c:v>
                </c:pt>
                <c:pt idx="11">
                  <c:v>0.31928999999999963</c:v>
                </c:pt>
                <c:pt idx="12">
                  <c:v>0.23429358333333461</c:v>
                </c:pt>
                <c:pt idx="13">
                  <c:v>9.7499166666666248E-2</c:v>
                </c:pt>
                <c:pt idx="14">
                  <c:v>6.4553583333332831E-2</c:v>
                </c:pt>
                <c:pt idx="15">
                  <c:v>5.1327583333332427E-2</c:v>
                </c:pt>
                <c:pt idx="16">
                  <c:v>2.3931083333334158E-2</c:v>
                </c:pt>
                <c:pt idx="17">
                  <c:v>1.8375250000000953E-2</c:v>
                </c:pt>
                <c:pt idx="18">
                  <c:v>2.7862083333332066E-2</c:v>
                </c:pt>
                <c:pt idx="19">
                  <c:v>1.598600000000161E-2</c:v>
                </c:pt>
                <c:pt idx="20">
                  <c:v>3.7029083333332657E-2</c:v>
                </c:pt>
                <c:pt idx="21">
                  <c:v>1.7458000000001306E-2</c:v>
                </c:pt>
                <c:pt idx="22">
                  <c:v>4.6083333332447296E-5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1.5983083333331649E-2</c:v>
                </c:pt>
                <c:pt idx="34">
                  <c:v>4.4109250000000877E-2</c:v>
                </c:pt>
                <c:pt idx="35">
                  <c:v>4.4632000000000005E-2</c:v>
                </c:pt>
                <c:pt idx="36">
                  <c:v>5.4868083333332152E-2</c:v>
                </c:pt>
                <c:pt idx="37">
                  <c:v>0.18225533333333388</c:v>
                </c:pt>
                <c:pt idx="38">
                  <c:v>0.1925049999999997</c:v>
                </c:pt>
                <c:pt idx="39">
                  <c:v>4.7296083333334238E-2</c:v>
                </c:pt>
                <c:pt idx="40">
                  <c:v>5.1123916666666602E-2</c:v>
                </c:pt>
                <c:pt idx="41">
                  <c:v>5.1498416666667879E-2</c:v>
                </c:pt>
                <c:pt idx="42">
                  <c:v>5.1498416666666103E-2</c:v>
                </c:pt>
                <c:pt idx="43">
                  <c:v>5.0718833333331048E-2</c:v>
                </c:pt>
                <c:pt idx="44">
                  <c:v>3.323791666666942E-2</c:v>
                </c:pt>
                <c:pt idx="45">
                  <c:v>2.7465833333331524E-2</c:v>
                </c:pt>
                <c:pt idx="46">
                  <c:v>2.7465750000000178E-2</c:v>
                </c:pt>
                <c:pt idx="47">
                  <c:v>2.803033333333449E-2</c:v>
                </c:pt>
                <c:pt idx="48">
                  <c:v>7.1359083333333295E-2</c:v>
                </c:pt>
                <c:pt idx="49">
                  <c:v>0.30744533333333379</c:v>
                </c:pt>
                <c:pt idx="50">
                  <c:v>0.35694383333333235</c:v>
                </c:pt>
                <c:pt idx="51">
                  <c:v>0.12370266666666652</c:v>
                </c:pt>
                <c:pt idx="52">
                  <c:v>0.17725383333333422</c:v>
                </c:pt>
                <c:pt idx="53">
                  <c:v>0.17852766666666575</c:v>
                </c:pt>
                <c:pt idx="54">
                  <c:v>0.17852800000000002</c:v>
                </c:pt>
                <c:pt idx="55">
                  <c:v>0.17399008333333477</c:v>
                </c:pt>
                <c:pt idx="56">
                  <c:v>0.11965374999999767</c:v>
                </c:pt>
                <c:pt idx="57">
                  <c:v>0.30301808333333469</c:v>
                </c:pt>
                <c:pt idx="58">
                  <c:v>0.18935358333333241</c:v>
                </c:pt>
                <c:pt idx="59">
                  <c:v>0.11258833333333307</c:v>
                </c:pt>
                <c:pt idx="60">
                  <c:v>8.3461750000001445E-2</c:v>
                </c:pt>
                <c:pt idx="61">
                  <c:v>9.032733333333276E-2</c:v>
                </c:pt>
                <c:pt idx="62">
                  <c:v>4.0522916666665409E-2</c:v>
                </c:pt>
                <c:pt idx="63">
                  <c:v>2.0599416666666315E-2</c:v>
                </c:pt>
                <c:pt idx="64">
                  <c:v>2.0599416666668091E-2</c:v>
                </c:pt>
                <c:pt idx="65">
                  <c:v>2.0321750000000804E-2</c:v>
                </c:pt>
                <c:pt idx="66">
                  <c:v>1.9434999999997871E-2</c:v>
                </c:pt>
                <c:pt idx="67">
                  <c:v>2.3021333333336003E-2</c:v>
                </c:pt>
                <c:pt idx="68">
                  <c:v>3.0677166666665201E-2</c:v>
                </c:pt>
                <c:pt idx="69">
                  <c:v>3.0899083333332911E-2</c:v>
                </c:pt>
                <c:pt idx="70">
                  <c:v>2.7289666666666434E-2</c:v>
                </c:pt>
                <c:pt idx="71">
                  <c:v>1.2828999999999979E-2</c:v>
                </c:pt>
                <c:pt idx="72">
                  <c:v>1.5066666666641026E-4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2.7944333333334015E-2</c:v>
                </c:pt>
                <c:pt idx="77">
                  <c:v>0.14498758333333406</c:v>
                </c:pt>
                <c:pt idx="78">
                  <c:v>0.15792708333333216</c:v>
                </c:pt>
                <c:pt idx="79">
                  <c:v>0.16749833333333619</c:v>
                </c:pt>
                <c:pt idx="80">
                  <c:v>0.47247166666666729</c:v>
                </c:pt>
                <c:pt idx="81">
                  <c:v>0.52796416666666701</c:v>
                </c:pt>
                <c:pt idx="82">
                  <c:v>6.1895833333334593E-2</c:v>
                </c:pt>
                <c:pt idx="83">
                  <c:v>2.3710833333328907E-2</c:v>
                </c:pt>
                <c:pt idx="84">
                  <c:v>5.4282499999999345E-2</c:v>
                </c:pt>
                <c:pt idx="85">
                  <c:v>4.48599999999999E-2</c:v>
                </c:pt>
                <c:pt idx="86">
                  <c:v>2.1321666666668904E-2</c:v>
                </c:pt>
                <c:pt idx="87">
                  <c:v>2.0599999999998175E-2</c:v>
                </c:pt>
                <c:pt idx="88">
                  <c:v>2.7642499999998904E-2</c:v>
                </c:pt>
                <c:pt idx="89">
                  <c:v>7.5118333333335841E-2</c:v>
                </c:pt>
                <c:pt idx="90">
                  <c:v>3.9680833333333609E-2</c:v>
                </c:pt>
                <c:pt idx="91">
                  <c:v>2.0208333333334494E-2</c:v>
                </c:pt>
                <c:pt idx="92">
                  <c:v>8.8341666666629237E-3</c:v>
                </c:pt>
                <c:pt idx="93">
                  <c:v>1.5217500000002104E-2</c:v>
                </c:pt>
                <c:pt idx="94">
                  <c:v>3.4244999999998527E-2</c:v>
                </c:pt>
                <c:pt idx="95">
                  <c:v>0.13021916666667011</c:v>
                </c:pt>
                <c:pt idx="96">
                  <c:v>3.8369166666665677E-2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E5-1347-86A1-77C479476DE3}"/>
            </c:ext>
          </c:extLst>
        </c:ser>
        <c:ser>
          <c:idx val="6"/>
          <c:order val="6"/>
          <c:tx>
            <c:strRef>
              <c:f>'Non-Cumulative 1 day avg'!$AH$1</c:f>
              <c:strCache>
                <c:ptCount val="1"/>
                <c:pt idx="0">
                  <c:v>133L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'Non-Cumulative 1 day avg'!$T$2:$T$98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'Non-Cumulative 1 day avg'!$AH$2:$AH$98</c:f>
              <c:numCache>
                <c:formatCode>General</c:formatCode>
                <c:ptCount val="97"/>
                <c:pt idx="0">
                  <c:v>0</c:v>
                </c:pt>
                <c:pt idx="1">
                  <c:v>4.920425000000006E-2</c:v>
                </c:pt>
                <c:pt idx="2">
                  <c:v>8.2507250000000143E-2</c:v>
                </c:pt>
                <c:pt idx="3">
                  <c:v>8.3086166666666461E-2</c:v>
                </c:pt>
                <c:pt idx="4">
                  <c:v>8.3256333333333377E-2</c:v>
                </c:pt>
                <c:pt idx="5">
                  <c:v>8.3255999999999997E-2</c:v>
                </c:pt>
                <c:pt idx="6">
                  <c:v>8.3256000000000441E-2</c:v>
                </c:pt>
                <c:pt idx="7">
                  <c:v>8.1067333333332492E-2</c:v>
                </c:pt>
                <c:pt idx="8">
                  <c:v>5.7497250000000388E-2</c:v>
                </c:pt>
                <c:pt idx="9">
                  <c:v>1.8054333333333172E-2</c:v>
                </c:pt>
                <c:pt idx="10">
                  <c:v>3.3470583333333082E-2</c:v>
                </c:pt>
                <c:pt idx="11">
                  <c:v>3.3474000000000448E-2</c:v>
                </c:pt>
                <c:pt idx="12">
                  <c:v>3.3806416666666284E-2</c:v>
                </c:pt>
                <c:pt idx="13">
                  <c:v>5.0253166666666793E-2</c:v>
                </c:pt>
                <c:pt idx="14">
                  <c:v>5.6648250000000289E-2</c:v>
                </c:pt>
                <c:pt idx="15">
                  <c:v>5.6648833333333037E-2</c:v>
                </c:pt>
                <c:pt idx="16">
                  <c:v>5.6648250000000289E-2</c:v>
                </c:pt>
                <c:pt idx="17">
                  <c:v>3.3699499999999993E-2</c:v>
                </c:pt>
                <c:pt idx="18">
                  <c:v>2.7408333333323043E-4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1.0902666666666505E-2</c:v>
                </c:pt>
                <c:pt idx="24">
                  <c:v>0.26821883333333307</c:v>
                </c:pt>
                <c:pt idx="25">
                  <c:v>0.37333833333333377</c:v>
                </c:pt>
                <c:pt idx="26">
                  <c:v>0.13975516666666543</c:v>
                </c:pt>
                <c:pt idx="27">
                  <c:v>0</c:v>
                </c:pt>
                <c:pt idx="28">
                  <c:v>8.4955000000013214E-3</c:v>
                </c:pt>
                <c:pt idx="29">
                  <c:v>0.13143416666666674</c:v>
                </c:pt>
                <c:pt idx="30">
                  <c:v>0.1716633333333335</c:v>
                </c:pt>
                <c:pt idx="31">
                  <c:v>0.16841091666666586</c:v>
                </c:pt>
                <c:pt idx="32">
                  <c:v>5.5293083333332937E-2</c:v>
                </c:pt>
                <c:pt idx="33">
                  <c:v>1.4928666666667922E-2</c:v>
                </c:pt>
                <c:pt idx="34">
                  <c:v>9.2143499999999712E-2</c:v>
                </c:pt>
                <c:pt idx="35">
                  <c:v>5.7920833333333199E-2</c:v>
                </c:pt>
                <c:pt idx="36">
                  <c:v>5.3215000000000678E-2</c:v>
                </c:pt>
                <c:pt idx="37">
                  <c:v>5.3215083333332913E-2</c:v>
                </c:pt>
                <c:pt idx="38">
                  <c:v>5.321499999999979E-2</c:v>
                </c:pt>
                <c:pt idx="39">
                  <c:v>5.1491083333334409E-2</c:v>
                </c:pt>
                <c:pt idx="40">
                  <c:v>2.6529249999998505E-2</c:v>
                </c:pt>
                <c:pt idx="41">
                  <c:v>7.3143500000000472E-2</c:v>
                </c:pt>
                <c:pt idx="42">
                  <c:v>7.3776583333333257E-2</c:v>
                </c:pt>
                <c:pt idx="43">
                  <c:v>2.6891083333332233E-2</c:v>
                </c:pt>
                <c:pt idx="44">
                  <c:v>2.0944166666669872E-3</c:v>
                </c:pt>
                <c:pt idx="45">
                  <c:v>4.1999999999653426E-5</c:v>
                </c:pt>
                <c:pt idx="46">
                  <c:v>1.3479500000001643E-2</c:v>
                </c:pt>
                <c:pt idx="47">
                  <c:v>1.5562749999998182E-2</c:v>
                </c:pt>
                <c:pt idx="48">
                  <c:v>3.0875000000030184E-4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1.5958333333454533E-4</c:v>
                </c:pt>
                <c:pt idx="53">
                  <c:v>1.5120833333330808E-3</c:v>
                </c:pt>
                <c:pt idx="54">
                  <c:v>6.0993333333332345E-3</c:v>
                </c:pt>
                <c:pt idx="55">
                  <c:v>8.5832500000000422E-3</c:v>
                </c:pt>
                <c:pt idx="56">
                  <c:v>7.5562083333333696E-2</c:v>
                </c:pt>
                <c:pt idx="57">
                  <c:v>0.17090241666666639</c:v>
                </c:pt>
                <c:pt idx="58">
                  <c:v>8.2091249999999505E-2</c:v>
                </c:pt>
                <c:pt idx="59">
                  <c:v>9.1021750000000345E-2</c:v>
                </c:pt>
                <c:pt idx="60">
                  <c:v>0.15580358333333333</c:v>
                </c:pt>
                <c:pt idx="61">
                  <c:v>4.8342666666666645E-2</c:v>
                </c:pt>
                <c:pt idx="62">
                  <c:v>0</c:v>
                </c:pt>
                <c:pt idx="63">
                  <c:v>0</c:v>
                </c:pt>
                <c:pt idx="64">
                  <c:v>4.7334500000000723E-2</c:v>
                </c:pt>
                <c:pt idx="65">
                  <c:v>9.9563333333332338E-2</c:v>
                </c:pt>
                <c:pt idx="66">
                  <c:v>9.9563666666666606E-2</c:v>
                </c:pt>
                <c:pt idx="67">
                  <c:v>9.9563833333334628E-2</c:v>
                </c:pt>
                <c:pt idx="68">
                  <c:v>9.9563166666665204E-2</c:v>
                </c:pt>
                <c:pt idx="69">
                  <c:v>9.9563999999999986E-2</c:v>
                </c:pt>
                <c:pt idx="70">
                  <c:v>9.9563333333334114E-2</c:v>
                </c:pt>
                <c:pt idx="71">
                  <c:v>9.9563666666666606E-2</c:v>
                </c:pt>
                <c:pt idx="72">
                  <c:v>7.0472249999999903E-2</c:v>
                </c:pt>
                <c:pt idx="73">
                  <c:v>2.7482499999997856E-3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8.697499999996694E-4</c:v>
                </c:pt>
                <c:pt idx="78">
                  <c:v>8.4949999999999193E-3</c:v>
                </c:pt>
                <c:pt idx="79">
                  <c:v>8.4740833333345478E-3</c:v>
                </c:pt>
                <c:pt idx="80">
                  <c:v>9.0931666666671518E-3</c:v>
                </c:pt>
                <c:pt idx="81">
                  <c:v>8.5667499999990682E-3</c:v>
                </c:pt>
                <c:pt idx="82">
                  <c:v>3.9249166666674995E-3</c:v>
                </c:pt>
                <c:pt idx="83">
                  <c:v>1.5813333333333013E-2</c:v>
                </c:pt>
                <c:pt idx="84">
                  <c:v>1.4050000000000118E-2</c:v>
                </c:pt>
                <c:pt idx="85">
                  <c:v>4.1751666666662857E-3</c:v>
                </c:pt>
                <c:pt idx="86">
                  <c:v>5.5268833333333767E-2</c:v>
                </c:pt>
                <c:pt idx="87">
                  <c:v>7.0381166666664718E-2</c:v>
                </c:pt>
                <c:pt idx="88">
                  <c:v>7.0381166666667383E-2</c:v>
                </c:pt>
                <c:pt idx="89">
                  <c:v>5.0124333333331883E-2</c:v>
                </c:pt>
                <c:pt idx="90">
                  <c:v>2.0453333333323442E-3</c:v>
                </c:pt>
                <c:pt idx="91">
                  <c:v>0</c:v>
                </c:pt>
                <c:pt idx="92">
                  <c:v>2.8749166666690584E-3</c:v>
                </c:pt>
                <c:pt idx="93">
                  <c:v>1.9611916666668172E-2</c:v>
                </c:pt>
                <c:pt idx="94">
                  <c:v>2.2316000000000003E-2</c:v>
                </c:pt>
                <c:pt idx="95">
                  <c:v>2.2316000000000003E-2</c:v>
                </c:pt>
                <c:pt idx="96">
                  <c:v>2.1822833333332348E-2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E5-1347-86A1-77C479476DE3}"/>
            </c:ext>
          </c:extLst>
        </c:ser>
        <c:ser>
          <c:idx val="7"/>
          <c:order val="7"/>
          <c:tx>
            <c:strRef>
              <c:f>'Non-Cumulative 1 day avg'!$AI$1</c:f>
              <c:strCache>
                <c:ptCount val="1"/>
                <c:pt idx="0">
                  <c:v>133R</c:v>
                </c:pt>
              </c:strCache>
            </c:strRef>
          </c:tx>
          <c:spPr>
            <a:ln w="28575" cap="rnd">
              <a:solidFill>
                <a:srgbClr val="FF2F9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2F92"/>
              </a:solidFill>
              <a:ln w="9525">
                <a:solidFill>
                  <a:srgbClr val="FF2F92"/>
                </a:solidFill>
              </a:ln>
              <a:effectLst/>
            </c:spPr>
          </c:marker>
          <c:cat>
            <c:numRef>
              <c:f>'Non-Cumulative 1 day avg'!$T$2:$T$98</c:f>
              <c:numCache>
                <c:formatCode>0.00</c:formatCode>
                <c:ptCount val="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</c:numCache>
            </c:numRef>
          </c:cat>
          <c:val>
            <c:numRef>
              <c:f>'Non-Cumulative 1 day avg'!$AI$2:$AI$98</c:f>
              <c:numCache>
                <c:formatCode>General</c:formatCode>
                <c:ptCount val="97"/>
                <c:pt idx="0">
                  <c:v>0</c:v>
                </c:pt>
                <c:pt idx="1">
                  <c:v>0.15345191666666746</c:v>
                </c:pt>
                <c:pt idx="2">
                  <c:v>0.34806574999999906</c:v>
                </c:pt>
                <c:pt idx="3">
                  <c:v>0.28873558333333538</c:v>
                </c:pt>
                <c:pt idx="4">
                  <c:v>8.2426666666664872E-2</c:v>
                </c:pt>
                <c:pt idx="5">
                  <c:v>0.26642808333333434</c:v>
                </c:pt>
                <c:pt idx="6">
                  <c:v>0.25398466666666586</c:v>
                </c:pt>
                <c:pt idx="7">
                  <c:v>3.7691333333333077E-2</c:v>
                </c:pt>
                <c:pt idx="8">
                  <c:v>0</c:v>
                </c:pt>
                <c:pt idx="9">
                  <c:v>8.308500000000052E-3</c:v>
                </c:pt>
                <c:pt idx="10">
                  <c:v>2.4390083333332591E-2</c:v>
                </c:pt>
                <c:pt idx="11">
                  <c:v>2.4415333333333678E-2</c:v>
                </c:pt>
                <c:pt idx="12">
                  <c:v>5.3509166666667163E-2</c:v>
                </c:pt>
                <c:pt idx="13">
                  <c:v>6.8589083333333356E-2</c:v>
                </c:pt>
                <c:pt idx="14">
                  <c:v>0.23156399999999877</c:v>
                </c:pt>
                <c:pt idx="15">
                  <c:v>0.28839116666666786</c:v>
                </c:pt>
                <c:pt idx="16">
                  <c:v>0.27731274999999922</c:v>
                </c:pt>
                <c:pt idx="17">
                  <c:v>7.9203000000000578E-2</c:v>
                </c:pt>
                <c:pt idx="18">
                  <c:v>6.8584166666667556E-3</c:v>
                </c:pt>
                <c:pt idx="19">
                  <c:v>0.10263866666666654</c:v>
                </c:pt>
                <c:pt idx="20">
                  <c:v>0.19741075000000041</c:v>
                </c:pt>
                <c:pt idx="21">
                  <c:v>0.14320516666666716</c:v>
                </c:pt>
                <c:pt idx="22">
                  <c:v>6.6079166666668243E-3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0.21990499999999802</c:v>
                </c:pt>
                <c:pt idx="34">
                  <c:v>0.17899175000000245</c:v>
                </c:pt>
                <c:pt idx="35">
                  <c:v>4.6379499999998686E-2</c:v>
                </c:pt>
                <c:pt idx="36">
                  <c:v>4.806516666666738E-2</c:v>
                </c:pt>
                <c:pt idx="37">
                  <c:v>4.7038749999996909E-2</c:v>
                </c:pt>
                <c:pt idx="38">
                  <c:v>4.2343666666670998E-2</c:v>
                </c:pt>
                <c:pt idx="39">
                  <c:v>2.0968166666666122E-2</c:v>
                </c:pt>
                <c:pt idx="40">
                  <c:v>2.061058333333321E-2</c:v>
                </c:pt>
                <c:pt idx="41">
                  <c:v>0.13129550000000023</c:v>
                </c:pt>
                <c:pt idx="42">
                  <c:v>0.15449524999999831</c:v>
                </c:pt>
                <c:pt idx="43">
                  <c:v>0.15449516666666696</c:v>
                </c:pt>
                <c:pt idx="44">
                  <c:v>0.15454391666666645</c:v>
                </c:pt>
                <c:pt idx="45">
                  <c:v>7.3028666666669295E-2</c:v>
                </c:pt>
                <c:pt idx="46">
                  <c:v>0.16520783333333178</c:v>
                </c:pt>
                <c:pt idx="47">
                  <c:v>0.27465816666666676</c:v>
                </c:pt>
                <c:pt idx="48">
                  <c:v>0.25769549999999875</c:v>
                </c:pt>
                <c:pt idx="49">
                  <c:v>7.4359666666667934E-2</c:v>
                </c:pt>
                <c:pt idx="50">
                  <c:v>0.36133266666666586</c:v>
                </c:pt>
                <c:pt idx="51">
                  <c:v>0.45172091666666603</c:v>
                </c:pt>
                <c:pt idx="52">
                  <c:v>8.308500000000052E-2</c:v>
                </c:pt>
                <c:pt idx="53">
                  <c:v>3.4324999999988393E-3</c:v>
                </c:pt>
                <c:pt idx="54">
                  <c:v>3.1758333333335997E-3</c:v>
                </c:pt>
                <c:pt idx="55">
                  <c:v>1.4338333333334674E-2</c:v>
                </c:pt>
                <c:pt idx="56">
                  <c:v>6.9579999999998421E-2</c:v>
                </c:pt>
                <c:pt idx="57">
                  <c:v>7.5530833333335323E-2</c:v>
                </c:pt>
                <c:pt idx="58">
                  <c:v>7.5541666666666174E-2</c:v>
                </c:pt>
                <c:pt idx="59">
                  <c:v>5.084166666666512E-2</c:v>
                </c:pt>
                <c:pt idx="60">
                  <c:v>4.7190833333337068E-2</c:v>
                </c:pt>
                <c:pt idx="61">
                  <c:v>5.4574999999996265E-2</c:v>
                </c:pt>
                <c:pt idx="62">
                  <c:v>0.10086499999999887</c:v>
                </c:pt>
                <c:pt idx="63">
                  <c:v>0.10643000000000313</c:v>
                </c:pt>
                <c:pt idx="64">
                  <c:v>0.10643000000000136</c:v>
                </c:pt>
                <c:pt idx="65">
                  <c:v>0.1064299999999978</c:v>
                </c:pt>
                <c:pt idx="66">
                  <c:v>0.10643083333333259</c:v>
                </c:pt>
                <c:pt idx="67">
                  <c:v>0.10643000000000136</c:v>
                </c:pt>
                <c:pt idx="68">
                  <c:v>0.10643000000000313</c:v>
                </c:pt>
                <c:pt idx="69">
                  <c:v>9.7044166666664822E-2</c:v>
                </c:pt>
                <c:pt idx="70">
                  <c:v>1.7902499999999932E-2</c:v>
                </c:pt>
                <c:pt idx="71">
                  <c:v>4.5027499999996223E-2</c:v>
                </c:pt>
                <c:pt idx="72">
                  <c:v>0.15019250000000284</c:v>
                </c:pt>
                <c:pt idx="73">
                  <c:v>0.15449416666666416</c:v>
                </c:pt>
                <c:pt idx="74">
                  <c:v>0.1544958333333355</c:v>
                </c:pt>
                <c:pt idx="75">
                  <c:v>0.15449499999999894</c:v>
                </c:pt>
                <c:pt idx="76">
                  <c:v>0.15449500000000072</c:v>
                </c:pt>
                <c:pt idx="77">
                  <c:v>0.12070666666666519</c:v>
                </c:pt>
                <c:pt idx="78">
                  <c:v>0.29359833333333363</c:v>
                </c:pt>
                <c:pt idx="79">
                  <c:v>0.35018999999999956</c:v>
                </c:pt>
                <c:pt idx="80">
                  <c:v>0.22948333333333615</c:v>
                </c:pt>
                <c:pt idx="81">
                  <c:v>5.0416666666670551E-3</c:v>
                </c:pt>
                <c:pt idx="82">
                  <c:v>0</c:v>
                </c:pt>
                <c:pt idx="83">
                  <c:v>0</c:v>
                </c:pt>
                <c:pt idx="84">
                  <c:v>2.7955833333331626E-2</c:v>
                </c:pt>
                <c:pt idx="85">
                  <c:v>2.0204166666665913E-2</c:v>
                </c:pt>
                <c:pt idx="86">
                  <c:v>1.0299166666669635E-2</c:v>
                </c:pt>
                <c:pt idx="87">
                  <c:v>1.4710833333330342E-2</c:v>
                </c:pt>
                <c:pt idx="88">
                  <c:v>1.7899166666667909E-2</c:v>
                </c:pt>
                <c:pt idx="89">
                  <c:v>2.8110833333331087E-2</c:v>
                </c:pt>
                <c:pt idx="90">
                  <c:v>0.10685166666666746</c:v>
                </c:pt>
                <c:pt idx="91">
                  <c:v>0.15106250000000188</c:v>
                </c:pt>
                <c:pt idx="92">
                  <c:v>0.15106249999999832</c:v>
                </c:pt>
                <c:pt idx="93">
                  <c:v>0.1510625000000001</c:v>
                </c:pt>
                <c:pt idx="94">
                  <c:v>0.10667583333333219</c:v>
                </c:pt>
                <c:pt idx="95">
                  <c:v>4.9327499999998636E-2</c:v>
                </c:pt>
                <c:pt idx="96">
                  <c:v>9.5750000000016655E-4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E5-1347-86A1-77C479476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428607"/>
        <c:axId val="1502222367"/>
      </c:lineChart>
      <c:catAx>
        <c:axId val="1599428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222367"/>
        <c:crosses val="autoZero"/>
        <c:auto val="1"/>
        <c:lblAlgn val="ctr"/>
        <c:lblOffset val="100"/>
        <c:noMultiLvlLbl val="0"/>
      </c:catAx>
      <c:valAx>
        <c:axId val="150222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Food Intake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2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Apoe-/- 48hrs Food Intake</a:t>
            </a:r>
          </a:p>
        </c:rich>
      </c:tx>
      <c:layout>
        <c:manualLayout>
          <c:xMode val="edge"/>
          <c:yMode val="edge"/>
          <c:x val="0.41735092989402084"/>
          <c:y val="1.6018306636155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'Non-Cumulative 1 day avg'!$BE$31</c:f>
              <c:strCache>
                <c:ptCount val="1"/>
                <c:pt idx="0">
                  <c:v>Apoe TRF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plus"/>
            <c:errValType val="cust"/>
            <c:noEndCap val="0"/>
            <c:plus>
              <c:numRef>
                <c:f>'Non-Cumulative 1 day avg'!$AX$32:$AX$80</c:f>
                <c:numCache>
                  <c:formatCode>General</c:formatCode>
                  <c:ptCount val="49"/>
                  <c:pt idx="0">
                    <c:v>1.6083658777897442E-2</c:v>
                  </c:pt>
                  <c:pt idx="1">
                    <c:v>1.7273142853943216E-2</c:v>
                  </c:pt>
                  <c:pt idx="2">
                    <c:v>8.0977644248679051E-3</c:v>
                  </c:pt>
                  <c:pt idx="3">
                    <c:v>3.6959431477501851E-3</c:v>
                  </c:pt>
                  <c:pt idx="4">
                    <c:v>3.9347704350963424E-3</c:v>
                  </c:pt>
                  <c:pt idx="5">
                    <c:v>4.691105338346665E-3</c:v>
                  </c:pt>
                  <c:pt idx="6">
                    <c:v>3.3298939384790939E-3</c:v>
                  </c:pt>
                  <c:pt idx="7">
                    <c:v>2.2659511993361908E-3</c:v>
                  </c:pt>
                  <c:pt idx="8">
                    <c:v>7.2079064326611491E-3</c:v>
                  </c:pt>
                  <c:pt idx="9">
                    <c:v>8.7883634464319908E-3</c:v>
                  </c:pt>
                  <c:pt idx="10">
                    <c:v>1.2569193586012658E-2</c:v>
                  </c:pt>
                  <c:pt idx="11">
                    <c:v>1.4123079642664706E-2</c:v>
                  </c:pt>
                  <c:pt idx="12">
                    <c:v>7.3517292319596125E-3</c:v>
                  </c:pt>
                  <c:pt idx="13">
                    <c:v>6.4861058167026827E-3</c:v>
                  </c:pt>
                  <c:pt idx="14">
                    <c:v>1.5896257176788848E-2</c:v>
                  </c:pt>
                  <c:pt idx="15">
                    <c:v>1.3118065012878414E-2</c:v>
                  </c:pt>
                  <c:pt idx="16">
                    <c:v>1.5452376829280311E-2</c:v>
                  </c:pt>
                  <c:pt idx="17">
                    <c:v>1.1473688471726329E-2</c:v>
                  </c:pt>
                  <c:pt idx="18">
                    <c:v>1.1615763562478211E-2</c:v>
                  </c:pt>
                  <c:pt idx="19">
                    <c:v>1.5739086066816139E-2</c:v>
                  </c:pt>
                  <c:pt idx="20">
                    <c:v>1.2706042042744767E-2</c:v>
                  </c:pt>
                  <c:pt idx="21">
                    <c:v>1.4276403563601813E-2</c:v>
                  </c:pt>
                  <c:pt idx="22">
                    <c:v>8.4255181275080509E-3</c:v>
                  </c:pt>
                  <c:pt idx="23">
                    <c:v>1.0160921200212888E-2</c:v>
                  </c:pt>
                  <c:pt idx="24">
                    <c:v>1.299753518207384E-2</c:v>
                  </c:pt>
                  <c:pt idx="25">
                    <c:v>1.7273142853943216E-2</c:v>
                  </c:pt>
                  <c:pt idx="26">
                    <c:v>8.0977644248679051E-3</c:v>
                  </c:pt>
                  <c:pt idx="27">
                    <c:v>3.6959431477501851E-3</c:v>
                  </c:pt>
                  <c:pt idx="28">
                    <c:v>3.9347704350963424E-3</c:v>
                  </c:pt>
                  <c:pt idx="29">
                    <c:v>4.691105338346665E-3</c:v>
                  </c:pt>
                  <c:pt idx="30">
                    <c:v>3.3298939384790939E-3</c:v>
                  </c:pt>
                  <c:pt idx="31">
                    <c:v>2.2659511993361908E-3</c:v>
                  </c:pt>
                  <c:pt idx="32">
                    <c:v>7.2079064326611491E-3</c:v>
                  </c:pt>
                  <c:pt idx="33">
                    <c:v>8.7883634464319908E-3</c:v>
                  </c:pt>
                  <c:pt idx="34">
                    <c:v>1.2569193586012658E-2</c:v>
                  </c:pt>
                  <c:pt idx="35">
                    <c:v>1.4123079642664706E-2</c:v>
                  </c:pt>
                  <c:pt idx="36">
                    <c:v>7.3517292319596125E-3</c:v>
                  </c:pt>
                  <c:pt idx="37">
                    <c:v>6.4861058167026827E-3</c:v>
                  </c:pt>
                  <c:pt idx="38">
                    <c:v>1.5896257176788848E-2</c:v>
                  </c:pt>
                  <c:pt idx="39">
                    <c:v>1.3118065012878414E-2</c:v>
                  </c:pt>
                  <c:pt idx="40">
                    <c:v>1.5452376829280311E-2</c:v>
                  </c:pt>
                  <c:pt idx="41">
                    <c:v>1.1473688471726329E-2</c:v>
                  </c:pt>
                  <c:pt idx="42">
                    <c:v>1.1615763562478211E-2</c:v>
                  </c:pt>
                  <c:pt idx="43">
                    <c:v>1.5739086066816139E-2</c:v>
                  </c:pt>
                  <c:pt idx="44">
                    <c:v>1.2706042042744767E-2</c:v>
                  </c:pt>
                  <c:pt idx="45">
                    <c:v>1.4276403563601813E-2</c:v>
                  </c:pt>
                  <c:pt idx="46">
                    <c:v>8.4255181275080509E-3</c:v>
                  </c:pt>
                  <c:pt idx="47">
                    <c:v>1.0160921200212888E-2</c:v>
                  </c:pt>
                  <c:pt idx="48">
                    <c:v>1.299753518207384E-2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'Non-Cumulative 1 day avg'!$BI$32:$BI$80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</c:numCache>
            </c:numRef>
          </c:cat>
          <c:val>
            <c:numRef>
              <c:f>'Non-Cumulative 1 day avg'!$BE$32:$BE$80</c:f>
              <c:numCache>
                <c:formatCode>General</c:formatCode>
                <c:ptCount val="49"/>
                <c:pt idx="0">
                  <c:v>3.5607348958333174E-2</c:v>
                </c:pt>
                <c:pt idx="1">
                  <c:v>4.0733958333333375E-2</c:v>
                </c:pt>
                <c:pt idx="2">
                  <c:v>2.1288453125000134E-2</c:v>
                </c:pt>
                <c:pt idx="3">
                  <c:v>1.2452630208333232E-2</c:v>
                </c:pt>
                <c:pt idx="4">
                  <c:v>9.3873906249999362E-3</c:v>
                </c:pt>
                <c:pt idx="5">
                  <c:v>8.501489583333216E-3</c:v>
                </c:pt>
                <c:pt idx="6">
                  <c:v>7.6194635416665379E-3</c:v>
                </c:pt>
                <c:pt idx="7">
                  <c:v>9.8871718750002113E-3</c:v>
                </c:pt>
                <c:pt idx="8">
                  <c:v>1.4753729166666604E-2</c:v>
                </c:pt>
                <c:pt idx="9">
                  <c:v>1.7035463541666407E-2</c:v>
                </c:pt>
                <c:pt idx="10">
                  <c:v>2.3498838541666803E-2</c:v>
                </c:pt>
                <c:pt idx="11">
                  <c:v>2.4263317708333371E-2</c:v>
                </c:pt>
                <c:pt idx="12">
                  <c:v>2.0737781250000017E-2</c:v>
                </c:pt>
                <c:pt idx="13">
                  <c:v>2.2548682291666775E-2</c:v>
                </c:pt>
                <c:pt idx="14">
                  <c:v>4.1221854166666461E-2</c:v>
                </c:pt>
                <c:pt idx="15">
                  <c:v>8.2873838541666744E-2</c:v>
                </c:pt>
                <c:pt idx="16">
                  <c:v>0.11888734375000004</c:v>
                </c:pt>
                <c:pt idx="17">
                  <c:v>8.5737015625000051E-2</c:v>
                </c:pt>
                <c:pt idx="18">
                  <c:v>8.7375979166666812E-2</c:v>
                </c:pt>
                <c:pt idx="19">
                  <c:v>8.1203552083333352E-2</c:v>
                </c:pt>
                <c:pt idx="20">
                  <c:v>9.0992916666666201E-2</c:v>
                </c:pt>
                <c:pt idx="21">
                  <c:v>9.824895312500076E-2</c:v>
                </c:pt>
                <c:pt idx="22">
                  <c:v>6.9475671874999867E-2</c:v>
                </c:pt>
                <c:pt idx="23">
                  <c:v>5.3014687499999949E-2</c:v>
                </c:pt>
                <c:pt idx="24">
                  <c:v>5.4626833333333236E-2</c:v>
                </c:pt>
                <c:pt idx="25">
                  <c:v>4.0733958333333375E-2</c:v>
                </c:pt>
                <c:pt idx="26">
                  <c:v>2.1288453125000134E-2</c:v>
                </c:pt>
                <c:pt idx="27">
                  <c:v>1.2452630208333232E-2</c:v>
                </c:pt>
                <c:pt idx="28">
                  <c:v>9.3873906249999362E-3</c:v>
                </c:pt>
                <c:pt idx="29">
                  <c:v>8.501489583333216E-3</c:v>
                </c:pt>
                <c:pt idx="30">
                  <c:v>7.6194635416665379E-3</c:v>
                </c:pt>
                <c:pt idx="31">
                  <c:v>9.8871718750002113E-3</c:v>
                </c:pt>
                <c:pt idx="32">
                  <c:v>1.4753729166666604E-2</c:v>
                </c:pt>
                <c:pt idx="33">
                  <c:v>1.7035463541666407E-2</c:v>
                </c:pt>
                <c:pt idx="34">
                  <c:v>2.3498838541666803E-2</c:v>
                </c:pt>
                <c:pt idx="35">
                  <c:v>2.4263317708333371E-2</c:v>
                </c:pt>
                <c:pt idx="36">
                  <c:v>2.0737781250000017E-2</c:v>
                </c:pt>
                <c:pt idx="37">
                  <c:v>2.2548682291666775E-2</c:v>
                </c:pt>
                <c:pt idx="38">
                  <c:v>4.1221854166666461E-2</c:v>
                </c:pt>
                <c:pt idx="39">
                  <c:v>8.2873838541666744E-2</c:v>
                </c:pt>
                <c:pt idx="40">
                  <c:v>0.11888734375000004</c:v>
                </c:pt>
                <c:pt idx="41">
                  <c:v>8.5737015625000051E-2</c:v>
                </c:pt>
                <c:pt idx="42">
                  <c:v>8.7375979166666812E-2</c:v>
                </c:pt>
                <c:pt idx="43">
                  <c:v>8.1203552083333352E-2</c:v>
                </c:pt>
                <c:pt idx="44">
                  <c:v>9.0992916666666201E-2</c:v>
                </c:pt>
                <c:pt idx="45">
                  <c:v>9.824895312500076E-2</c:v>
                </c:pt>
                <c:pt idx="46">
                  <c:v>6.9475671874999867E-2</c:v>
                </c:pt>
                <c:pt idx="47">
                  <c:v>5.3014687499999949E-2</c:v>
                </c:pt>
                <c:pt idx="48">
                  <c:v>5.4626833333333236E-2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D2-2140-A0B1-67B67D044ABE}"/>
            </c:ext>
          </c:extLst>
        </c:ser>
        <c:ser>
          <c:idx val="1"/>
          <c:order val="1"/>
          <c:tx>
            <c:strRef>
              <c:f>'Non-Cumulative 1 day avg'!$BF$31</c:f>
              <c:strCache>
                <c:ptCount val="1"/>
                <c:pt idx="0">
                  <c:v>Apoe ad lib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plus"/>
            <c:errValType val="cust"/>
            <c:noEndCap val="0"/>
            <c:plus>
              <c:numRef>
                <c:f>'Non-Cumulative 1 day avg'!$AY$32:$AY$80</c:f>
                <c:numCache>
                  <c:formatCode>General</c:formatCode>
                  <c:ptCount val="49"/>
                  <c:pt idx="0">
                    <c:v>3.6562270866583917E-2</c:v>
                  </c:pt>
                  <c:pt idx="1">
                    <c:v>3.7409850466483686E-2</c:v>
                  </c:pt>
                  <c:pt idx="2">
                    <c:v>3.2660408322615034E-2</c:v>
                  </c:pt>
                  <c:pt idx="3">
                    <c:v>2.7914680613395457E-2</c:v>
                  </c:pt>
                  <c:pt idx="4">
                    <c:v>1.7331863554287837E-2</c:v>
                  </c:pt>
                  <c:pt idx="5">
                    <c:v>4.2087589593578029E-2</c:v>
                  </c:pt>
                  <c:pt idx="6">
                    <c:v>1.8830624485722643E-2</c:v>
                  </c:pt>
                  <c:pt idx="7">
                    <c:v>1.5985816312897149E-2</c:v>
                  </c:pt>
                  <c:pt idx="8">
                    <c:v>6.9881268463295679E-3</c:v>
                  </c:pt>
                  <c:pt idx="9">
                    <c:v>1.1820503651609714E-2</c:v>
                  </c:pt>
                  <c:pt idx="10">
                    <c:v>7.6035392520494632E-3</c:v>
                  </c:pt>
                  <c:pt idx="11">
                    <c:v>3.345738599086906E-2</c:v>
                  </c:pt>
                  <c:pt idx="12">
                    <c:v>3.9257994705128751E-2</c:v>
                  </c:pt>
                  <c:pt idx="13">
                    <c:v>7.6172089182849579E-3</c:v>
                  </c:pt>
                  <c:pt idx="14">
                    <c:v>1.0597740102967511E-2</c:v>
                  </c:pt>
                  <c:pt idx="15">
                    <c:v>2.9565274868804427E-2</c:v>
                  </c:pt>
                  <c:pt idx="16">
                    <c:v>9.5765554700503845E-3</c:v>
                  </c:pt>
                  <c:pt idx="17">
                    <c:v>1.5683261295181855E-2</c:v>
                  </c:pt>
                  <c:pt idx="18">
                    <c:v>1.6146367766951317E-2</c:v>
                  </c:pt>
                  <c:pt idx="19">
                    <c:v>1.8340150135013809E-2</c:v>
                  </c:pt>
                  <c:pt idx="20">
                    <c:v>1.1374466603944188E-2</c:v>
                  </c:pt>
                  <c:pt idx="21">
                    <c:v>3.531825865610258E-2</c:v>
                  </c:pt>
                  <c:pt idx="22">
                    <c:v>1.757615963397827E-2</c:v>
                  </c:pt>
                  <c:pt idx="23">
                    <c:v>1.5994366001161862E-2</c:v>
                  </c:pt>
                  <c:pt idx="24">
                    <c:v>3.5236903362717079E-2</c:v>
                  </c:pt>
                  <c:pt idx="25">
                    <c:v>3.7409850466483686E-2</c:v>
                  </c:pt>
                  <c:pt idx="26">
                    <c:v>3.2660408322615034E-2</c:v>
                  </c:pt>
                  <c:pt idx="27">
                    <c:v>2.7914680613395457E-2</c:v>
                  </c:pt>
                  <c:pt idx="28">
                    <c:v>1.7331863554287837E-2</c:v>
                  </c:pt>
                  <c:pt idx="29">
                    <c:v>4.2087589593578029E-2</c:v>
                  </c:pt>
                  <c:pt idx="30">
                    <c:v>1.8830624485722643E-2</c:v>
                  </c:pt>
                  <c:pt idx="31">
                    <c:v>1.5985816312897149E-2</c:v>
                  </c:pt>
                  <c:pt idx="32">
                    <c:v>6.9881268463295679E-3</c:v>
                  </c:pt>
                  <c:pt idx="33">
                    <c:v>1.1820503651609714E-2</c:v>
                  </c:pt>
                  <c:pt idx="34">
                    <c:v>7.6035392520494632E-3</c:v>
                  </c:pt>
                  <c:pt idx="35">
                    <c:v>3.345738599086906E-2</c:v>
                  </c:pt>
                  <c:pt idx="36">
                    <c:v>3.9257994705128751E-2</c:v>
                  </c:pt>
                  <c:pt idx="37">
                    <c:v>7.6172089182849579E-3</c:v>
                  </c:pt>
                  <c:pt idx="38">
                    <c:v>1.0597740102967511E-2</c:v>
                  </c:pt>
                  <c:pt idx="39">
                    <c:v>2.9565274868804427E-2</c:v>
                  </c:pt>
                  <c:pt idx="40">
                    <c:v>9.5765554700503845E-3</c:v>
                  </c:pt>
                  <c:pt idx="41">
                    <c:v>1.5683261295181855E-2</c:v>
                  </c:pt>
                  <c:pt idx="42">
                    <c:v>1.6146367766951317E-2</c:v>
                  </c:pt>
                  <c:pt idx="43">
                    <c:v>1.8340150135013809E-2</c:v>
                  </c:pt>
                  <c:pt idx="44">
                    <c:v>1.1374466603944188E-2</c:v>
                  </c:pt>
                  <c:pt idx="45">
                    <c:v>3.531825865610258E-2</c:v>
                  </c:pt>
                  <c:pt idx="46">
                    <c:v>1.757615963397827E-2</c:v>
                  </c:pt>
                  <c:pt idx="47">
                    <c:v>1.5994366001161862E-2</c:v>
                  </c:pt>
                  <c:pt idx="48">
                    <c:v>3.5236903362717079E-2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'Non-Cumulative 1 day avg'!$BI$32:$BI$80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</c:numCache>
            </c:numRef>
          </c:cat>
          <c:val>
            <c:numRef>
              <c:f>'Non-Cumulative 1 day avg'!$BF$32:$BF$80</c:f>
              <c:numCache>
                <c:formatCode>General</c:formatCode>
                <c:ptCount val="49"/>
                <c:pt idx="0">
                  <c:v>7.3954034722222173E-2</c:v>
                </c:pt>
                <c:pt idx="1">
                  <c:v>7.4669048611111316E-2</c:v>
                </c:pt>
                <c:pt idx="2">
                  <c:v>7.8962493055555583E-2</c:v>
                </c:pt>
                <c:pt idx="3">
                  <c:v>6.5526951388888866E-2</c:v>
                </c:pt>
                <c:pt idx="4">
                  <c:v>5.140840972222209E-2</c:v>
                </c:pt>
                <c:pt idx="5">
                  <c:v>0.10013052777777773</c:v>
                </c:pt>
                <c:pt idx="6">
                  <c:v>7.9428395833333276E-2</c:v>
                </c:pt>
                <c:pt idx="7">
                  <c:v>9.6671888888888724E-2</c:v>
                </c:pt>
                <c:pt idx="8">
                  <c:v>8.4850868055556194E-2</c:v>
                </c:pt>
                <c:pt idx="9">
                  <c:v>7.6903118055555358E-2</c:v>
                </c:pt>
                <c:pt idx="10">
                  <c:v>3.3319576388888786E-2</c:v>
                </c:pt>
                <c:pt idx="11">
                  <c:v>6.6019673611110816E-2</c:v>
                </c:pt>
                <c:pt idx="12">
                  <c:v>6.0614354166666974E-2</c:v>
                </c:pt>
                <c:pt idx="13">
                  <c:v>1.7341652777778067E-2</c:v>
                </c:pt>
                <c:pt idx="14">
                  <c:v>2.3772118055555198E-2</c:v>
                </c:pt>
                <c:pt idx="15">
                  <c:v>4.756054861111092E-2</c:v>
                </c:pt>
                <c:pt idx="16">
                  <c:v>3.2317145833333449E-2</c:v>
                </c:pt>
                <c:pt idx="17">
                  <c:v>5.0495152777777982E-2</c:v>
                </c:pt>
                <c:pt idx="18">
                  <c:v>5.2690291666666986E-2</c:v>
                </c:pt>
                <c:pt idx="19">
                  <c:v>5.9074409722221922E-2</c:v>
                </c:pt>
                <c:pt idx="20">
                  <c:v>7.8411763888888888E-2</c:v>
                </c:pt>
                <c:pt idx="21">
                  <c:v>0.1244786388888888</c:v>
                </c:pt>
                <c:pt idx="22">
                  <c:v>0.14268962499999918</c:v>
                </c:pt>
                <c:pt idx="23">
                  <c:v>0.11682813194444523</c:v>
                </c:pt>
                <c:pt idx="24">
                  <c:v>0.12124447222222193</c:v>
                </c:pt>
                <c:pt idx="25">
                  <c:v>7.4669048611111316E-2</c:v>
                </c:pt>
                <c:pt idx="26">
                  <c:v>7.8962493055555583E-2</c:v>
                </c:pt>
                <c:pt idx="27">
                  <c:v>6.5526951388888866E-2</c:v>
                </c:pt>
                <c:pt idx="28">
                  <c:v>5.140840972222209E-2</c:v>
                </c:pt>
                <c:pt idx="29">
                  <c:v>0.10013052777777773</c:v>
                </c:pt>
                <c:pt idx="30">
                  <c:v>7.9428395833333276E-2</c:v>
                </c:pt>
                <c:pt idx="31">
                  <c:v>9.6671888888888724E-2</c:v>
                </c:pt>
                <c:pt idx="32">
                  <c:v>8.4850868055556194E-2</c:v>
                </c:pt>
                <c:pt idx="33">
                  <c:v>7.6903118055555358E-2</c:v>
                </c:pt>
                <c:pt idx="34">
                  <c:v>3.3319576388888786E-2</c:v>
                </c:pt>
                <c:pt idx="35">
                  <c:v>6.6019673611110816E-2</c:v>
                </c:pt>
                <c:pt idx="36">
                  <c:v>6.0614354166666974E-2</c:v>
                </c:pt>
                <c:pt idx="37">
                  <c:v>1.7341652777778067E-2</c:v>
                </c:pt>
                <c:pt idx="38">
                  <c:v>2.3772118055555198E-2</c:v>
                </c:pt>
                <c:pt idx="39">
                  <c:v>4.756054861111092E-2</c:v>
                </c:pt>
                <c:pt idx="40">
                  <c:v>3.2317145833333449E-2</c:v>
                </c:pt>
                <c:pt idx="41">
                  <c:v>5.0495152777777982E-2</c:v>
                </c:pt>
                <c:pt idx="42">
                  <c:v>5.2690291666666986E-2</c:v>
                </c:pt>
                <c:pt idx="43">
                  <c:v>5.9074409722221922E-2</c:v>
                </c:pt>
                <c:pt idx="44">
                  <c:v>7.8411763888888888E-2</c:v>
                </c:pt>
                <c:pt idx="45">
                  <c:v>0.1244786388888888</c:v>
                </c:pt>
                <c:pt idx="46">
                  <c:v>0.14268962499999918</c:v>
                </c:pt>
                <c:pt idx="47">
                  <c:v>0.11682813194444523</c:v>
                </c:pt>
                <c:pt idx="48">
                  <c:v>0.12124447222222193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D2-2140-A0B1-67B67D044ABE}"/>
            </c:ext>
          </c:extLst>
        </c:ser>
        <c:ser>
          <c:idx val="2"/>
          <c:order val="2"/>
          <c:tx>
            <c:strRef>
              <c:f>'Non-Cumulative 1 day avg'!$BG$31</c:f>
              <c:strCache>
                <c:ptCount val="1"/>
                <c:pt idx="0">
                  <c:v>line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</c:errBars>
          <c:cat>
            <c:numRef>
              <c:f>'Non-Cumulative 1 day avg'!$BI$32:$BI$80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</c:numCache>
            </c:numRef>
          </c:cat>
          <c:val>
            <c:numRef>
              <c:f>'Non-Cumulative 1 day avg'!$BG$32:$BG$80</c:f>
              <c:numCache>
                <c:formatCode>General</c:formatCode>
                <c:ptCount val="49"/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D2-2140-A0B1-67B67D04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922623"/>
        <c:axId val="1521225199"/>
      </c:lineChart>
      <c:catAx>
        <c:axId val="1542922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225199"/>
        <c:crosses val="autoZero"/>
        <c:auto val="1"/>
        <c:lblAlgn val="ctr"/>
        <c:lblOffset val="100"/>
        <c:noMultiLvlLbl val="0"/>
      </c:catAx>
      <c:valAx>
        <c:axId val="1521225199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Food Intake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2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41491036010816357"/>
          <c:y val="0.94766536333988005"/>
          <c:w val="0.22495149200408343"/>
          <c:h val="3.88227212543762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Ldlr-/- 48hrs Food Intake</a:t>
            </a:r>
          </a:p>
        </c:rich>
      </c:tx>
      <c:layout>
        <c:manualLayout>
          <c:xMode val="edge"/>
          <c:yMode val="edge"/>
          <c:x val="0.40564682609020325"/>
          <c:y val="1.98987736625293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'Non-Cumulative 1 day avg'!$BJ$31</c:f>
              <c:strCache>
                <c:ptCount val="1"/>
                <c:pt idx="0">
                  <c:v>Ldlr TRF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errBars>
            <c:errDir val="y"/>
            <c:errBarType val="plus"/>
            <c:errValType val="cust"/>
            <c:noEndCap val="0"/>
            <c:plus>
              <c:numRef>
                <c:f>'Non-Cumulative 1 day avg'!$AZ$32:$AZ$80</c:f>
                <c:numCache>
                  <c:formatCode>General</c:formatCode>
                  <c:ptCount val="49"/>
                  <c:pt idx="0">
                    <c:v>3.9040530150789989E-2</c:v>
                  </c:pt>
                  <c:pt idx="1">
                    <c:v>2.0428897952069369E-2</c:v>
                  </c:pt>
                  <c:pt idx="2">
                    <c:v>1.5774738473244312E-2</c:v>
                  </c:pt>
                  <c:pt idx="3">
                    <c:v>1.2596394267093899E-2</c:v>
                  </c:pt>
                  <c:pt idx="4">
                    <c:v>8.2394992086253869E-3</c:v>
                  </c:pt>
                  <c:pt idx="5">
                    <c:v>5.9502405627923421E-3</c:v>
                  </c:pt>
                  <c:pt idx="6">
                    <c:v>5.5518716403798992E-3</c:v>
                  </c:pt>
                  <c:pt idx="7">
                    <c:v>5.5890625858397514E-3</c:v>
                  </c:pt>
                  <c:pt idx="8">
                    <c:v>6.9389526532520245E-3</c:v>
                  </c:pt>
                  <c:pt idx="9">
                    <c:v>2.2103632080694588E-2</c:v>
                  </c:pt>
                  <c:pt idx="10">
                    <c:v>1.201228033634209E-2</c:v>
                  </c:pt>
                  <c:pt idx="11">
                    <c:v>1.0314756191423545E-2</c:v>
                  </c:pt>
                  <c:pt idx="12">
                    <c:v>8.0192222256035856E-3</c:v>
                  </c:pt>
                  <c:pt idx="13">
                    <c:v>8.5449222507485954E-3</c:v>
                  </c:pt>
                  <c:pt idx="14">
                    <c:v>1.4146840996010844E-2</c:v>
                  </c:pt>
                  <c:pt idx="15">
                    <c:v>1.5707715686450768E-2</c:v>
                  </c:pt>
                  <c:pt idx="16">
                    <c:v>5.3407520988129013E-3</c:v>
                  </c:pt>
                  <c:pt idx="17">
                    <c:v>2.7772442148592997E-2</c:v>
                  </c:pt>
                  <c:pt idx="18">
                    <c:v>3.6676924365845652E-2</c:v>
                  </c:pt>
                  <c:pt idx="19">
                    <c:v>2.1769478354095081E-2</c:v>
                  </c:pt>
                  <c:pt idx="20">
                    <c:v>2.0082789200715944E-2</c:v>
                  </c:pt>
                  <c:pt idx="21">
                    <c:v>2.5076544769797794E-2</c:v>
                  </c:pt>
                  <c:pt idx="22">
                    <c:v>2.4331882840791748E-2</c:v>
                  </c:pt>
                  <c:pt idx="23">
                    <c:v>2.5414663223397534E-2</c:v>
                  </c:pt>
                  <c:pt idx="24">
                    <c:v>2.8971901136658675E-2</c:v>
                  </c:pt>
                  <c:pt idx="25">
                    <c:v>2.0428897952069369E-2</c:v>
                  </c:pt>
                  <c:pt idx="26">
                    <c:v>1.5774738473244312E-2</c:v>
                  </c:pt>
                  <c:pt idx="27">
                    <c:v>1.2596394267093899E-2</c:v>
                  </c:pt>
                  <c:pt idx="28">
                    <c:v>8.2394992086253869E-3</c:v>
                  </c:pt>
                  <c:pt idx="29">
                    <c:v>5.9502405627923421E-3</c:v>
                  </c:pt>
                  <c:pt idx="30">
                    <c:v>5.5518716403798992E-3</c:v>
                  </c:pt>
                  <c:pt idx="31">
                    <c:v>5.5890625858397514E-3</c:v>
                  </c:pt>
                  <c:pt idx="32">
                    <c:v>6.9389526532520245E-3</c:v>
                  </c:pt>
                  <c:pt idx="33">
                    <c:v>2.2103632080694588E-2</c:v>
                  </c:pt>
                  <c:pt idx="34">
                    <c:v>1.201228033634209E-2</c:v>
                  </c:pt>
                  <c:pt idx="35">
                    <c:v>1.0314756191423545E-2</c:v>
                  </c:pt>
                  <c:pt idx="36">
                    <c:v>8.0192222256035856E-3</c:v>
                  </c:pt>
                  <c:pt idx="37">
                    <c:v>8.5449222507485954E-3</c:v>
                  </c:pt>
                  <c:pt idx="38">
                    <c:v>1.4146840996010844E-2</c:v>
                  </c:pt>
                  <c:pt idx="39">
                    <c:v>1.5707715686450768E-2</c:v>
                  </c:pt>
                  <c:pt idx="40">
                    <c:v>5.3407520988129013E-3</c:v>
                  </c:pt>
                  <c:pt idx="41">
                    <c:v>2.7772442148592997E-2</c:v>
                  </c:pt>
                  <c:pt idx="42">
                    <c:v>3.6676924365845652E-2</c:v>
                  </c:pt>
                  <c:pt idx="43">
                    <c:v>2.1769478354095081E-2</c:v>
                  </c:pt>
                  <c:pt idx="44">
                    <c:v>2.0082789200715944E-2</c:v>
                  </c:pt>
                  <c:pt idx="45">
                    <c:v>2.5076544769797794E-2</c:v>
                  </c:pt>
                  <c:pt idx="46">
                    <c:v>2.4331882840791748E-2</c:v>
                  </c:pt>
                  <c:pt idx="47">
                    <c:v>2.5414663223397534E-2</c:v>
                  </c:pt>
                  <c:pt idx="48">
                    <c:v>2.8971901136658675E-2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'Non-Cumulative 1 day avg'!$BI$32:$BI$80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</c:numCache>
            </c:numRef>
          </c:cat>
          <c:val>
            <c:numRef>
              <c:f>'Non-Cumulative 1 day avg'!$BJ$32:$BJ$80</c:f>
              <c:numCache>
                <c:formatCode>General</c:formatCode>
                <c:ptCount val="49"/>
                <c:pt idx="0">
                  <c:v>7.8640578124999777E-2</c:v>
                </c:pt>
                <c:pt idx="1">
                  <c:v>3.8407114583333485E-2</c:v>
                </c:pt>
                <c:pt idx="2">
                  <c:v>3.3850619791666536E-2</c:v>
                </c:pt>
                <c:pt idx="3">
                  <c:v>3.1896859374999934E-2</c:v>
                </c:pt>
                <c:pt idx="4">
                  <c:v>1.8692213541666863E-2</c:v>
                </c:pt>
                <c:pt idx="5">
                  <c:v>1.7984489583333346E-2</c:v>
                </c:pt>
                <c:pt idx="6">
                  <c:v>1.7340598958333425E-2</c:v>
                </c:pt>
                <c:pt idx="7">
                  <c:v>1.8115197916666492E-2</c:v>
                </c:pt>
                <c:pt idx="8">
                  <c:v>1.9349682291666476E-2</c:v>
                </c:pt>
                <c:pt idx="9">
                  <c:v>3.4631916666666623E-2</c:v>
                </c:pt>
                <c:pt idx="10">
                  <c:v>2.9074468750000471E-2</c:v>
                </c:pt>
                <c:pt idx="11">
                  <c:v>2.1541786458333212E-2</c:v>
                </c:pt>
                <c:pt idx="12">
                  <c:v>2.0930786458333295E-2</c:v>
                </c:pt>
                <c:pt idx="13">
                  <c:v>2.4943479166666505E-2</c:v>
                </c:pt>
                <c:pt idx="14">
                  <c:v>3.6932864583333336E-2</c:v>
                </c:pt>
                <c:pt idx="15">
                  <c:v>5.2732812500000115E-2</c:v>
                </c:pt>
                <c:pt idx="16">
                  <c:v>5.802741666666647E-2</c:v>
                </c:pt>
                <c:pt idx="17">
                  <c:v>6.5109151041666896E-2</c:v>
                </c:pt>
                <c:pt idx="18">
                  <c:v>9.7594286458333568E-2</c:v>
                </c:pt>
                <c:pt idx="19">
                  <c:v>7.0551442708333245E-2</c:v>
                </c:pt>
                <c:pt idx="20">
                  <c:v>0.11830644270833351</c:v>
                </c:pt>
                <c:pt idx="21">
                  <c:v>0.14045174479166672</c:v>
                </c:pt>
                <c:pt idx="22">
                  <c:v>0.12333165104166666</c:v>
                </c:pt>
                <c:pt idx="23">
                  <c:v>0.13019259374999984</c:v>
                </c:pt>
                <c:pt idx="24">
                  <c:v>0.10331884895833313</c:v>
                </c:pt>
                <c:pt idx="25">
                  <c:v>3.8407114583333485E-2</c:v>
                </c:pt>
                <c:pt idx="26">
                  <c:v>3.3850619791666536E-2</c:v>
                </c:pt>
                <c:pt idx="27">
                  <c:v>3.1896859374999934E-2</c:v>
                </c:pt>
                <c:pt idx="28">
                  <c:v>1.8692213541666863E-2</c:v>
                </c:pt>
                <c:pt idx="29">
                  <c:v>1.7984489583333346E-2</c:v>
                </c:pt>
                <c:pt idx="30">
                  <c:v>1.7340598958333425E-2</c:v>
                </c:pt>
                <c:pt idx="31">
                  <c:v>1.8115197916666492E-2</c:v>
                </c:pt>
                <c:pt idx="32">
                  <c:v>1.9349682291666476E-2</c:v>
                </c:pt>
                <c:pt idx="33">
                  <c:v>3.4631916666666623E-2</c:v>
                </c:pt>
                <c:pt idx="34">
                  <c:v>2.9074468750000471E-2</c:v>
                </c:pt>
                <c:pt idx="35">
                  <c:v>2.1541786458333212E-2</c:v>
                </c:pt>
                <c:pt idx="36">
                  <c:v>2.0930786458333295E-2</c:v>
                </c:pt>
                <c:pt idx="37">
                  <c:v>2.4943479166666505E-2</c:v>
                </c:pt>
                <c:pt idx="38">
                  <c:v>3.6932864583333336E-2</c:v>
                </c:pt>
                <c:pt idx="39">
                  <c:v>5.2732812500000115E-2</c:v>
                </c:pt>
                <c:pt idx="40">
                  <c:v>5.802741666666647E-2</c:v>
                </c:pt>
                <c:pt idx="41">
                  <c:v>6.5109151041666896E-2</c:v>
                </c:pt>
                <c:pt idx="42">
                  <c:v>9.7594286458333568E-2</c:v>
                </c:pt>
                <c:pt idx="43">
                  <c:v>7.0551442708333245E-2</c:v>
                </c:pt>
                <c:pt idx="44">
                  <c:v>0.11830644270833351</c:v>
                </c:pt>
                <c:pt idx="45">
                  <c:v>0.14045174479166672</c:v>
                </c:pt>
                <c:pt idx="46">
                  <c:v>0.12333165104166666</c:v>
                </c:pt>
                <c:pt idx="47">
                  <c:v>0.13019259374999984</c:v>
                </c:pt>
                <c:pt idx="48">
                  <c:v>0.10331884895833313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4-4641-8114-76D81740CE19}"/>
            </c:ext>
          </c:extLst>
        </c:ser>
        <c:ser>
          <c:idx val="1"/>
          <c:order val="1"/>
          <c:tx>
            <c:strRef>
              <c:f>'Non-Cumulative 1 day avg'!$BK$31</c:f>
              <c:strCache>
                <c:ptCount val="1"/>
                <c:pt idx="0">
                  <c:v>Ldlr ad lib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plus"/>
            <c:errValType val="cust"/>
            <c:noEndCap val="0"/>
            <c:plus>
              <c:numRef>
                <c:f>'Non-Cumulative 1 day avg'!$BA$32:$BA$80</c:f>
                <c:numCache>
                  <c:formatCode>General</c:formatCode>
                  <c:ptCount val="49"/>
                  <c:pt idx="0">
                    <c:v>2.8968662681669186E-2</c:v>
                  </c:pt>
                  <c:pt idx="1">
                    <c:v>2.1078246818756911E-2</c:v>
                  </c:pt>
                  <c:pt idx="2">
                    <c:v>3.4269009402698856E-2</c:v>
                  </c:pt>
                  <c:pt idx="3">
                    <c:v>3.4746372626800165E-2</c:v>
                  </c:pt>
                  <c:pt idx="4">
                    <c:v>1.5611042656048858E-2</c:v>
                  </c:pt>
                  <c:pt idx="5">
                    <c:v>2.7185002603656246E-2</c:v>
                  </c:pt>
                  <c:pt idx="6">
                    <c:v>3.0881646179511536E-2</c:v>
                  </c:pt>
                  <c:pt idx="7">
                    <c:v>2.5639802097586602E-2</c:v>
                  </c:pt>
                  <c:pt idx="8">
                    <c:v>4.0687779560602551E-2</c:v>
                  </c:pt>
                  <c:pt idx="9">
                    <c:v>2.6222774987427828E-2</c:v>
                  </c:pt>
                  <c:pt idx="10">
                    <c:v>3.1941042012423947E-2</c:v>
                  </c:pt>
                  <c:pt idx="11">
                    <c:v>1.9996023656987216E-2</c:v>
                  </c:pt>
                  <c:pt idx="12">
                    <c:v>1.6807312027092881E-2</c:v>
                  </c:pt>
                  <c:pt idx="13">
                    <c:v>1.6225329599678415E-2</c:v>
                  </c:pt>
                  <c:pt idx="14">
                    <c:v>1.8138439705242235E-2</c:v>
                  </c:pt>
                  <c:pt idx="15">
                    <c:v>1.4246747698370128E-2</c:v>
                  </c:pt>
                  <c:pt idx="16">
                    <c:v>1.2101438943297951E-2</c:v>
                  </c:pt>
                  <c:pt idx="17">
                    <c:v>1.1154753262464534E-2</c:v>
                  </c:pt>
                  <c:pt idx="18">
                    <c:v>1.600857642718875E-2</c:v>
                  </c:pt>
                  <c:pt idx="19">
                    <c:v>9.4050958753832941E-3</c:v>
                  </c:pt>
                  <c:pt idx="20">
                    <c:v>3.4466880857559334E-3</c:v>
                  </c:pt>
                  <c:pt idx="21">
                    <c:v>1.3397278569927824E-2</c:v>
                  </c:pt>
                  <c:pt idx="22">
                    <c:v>8.1835693027723193E-3</c:v>
                  </c:pt>
                  <c:pt idx="23">
                    <c:v>7.992782559655659E-3</c:v>
                  </c:pt>
                  <c:pt idx="24">
                    <c:v>2.4634086969997068E-2</c:v>
                  </c:pt>
                  <c:pt idx="25">
                    <c:v>2.1078246818756911E-2</c:v>
                  </c:pt>
                  <c:pt idx="26">
                    <c:v>3.4269009402698856E-2</c:v>
                  </c:pt>
                  <c:pt idx="27">
                    <c:v>3.4746372626800165E-2</c:v>
                  </c:pt>
                  <c:pt idx="28">
                    <c:v>1.5611042656048858E-2</c:v>
                  </c:pt>
                  <c:pt idx="29">
                    <c:v>2.7185002603656246E-2</c:v>
                  </c:pt>
                  <c:pt idx="30">
                    <c:v>3.0881646179511536E-2</c:v>
                  </c:pt>
                  <c:pt idx="31">
                    <c:v>2.5639802097586602E-2</c:v>
                  </c:pt>
                  <c:pt idx="32">
                    <c:v>4.0687779560602551E-2</c:v>
                  </c:pt>
                  <c:pt idx="33">
                    <c:v>2.6222774987427828E-2</c:v>
                  </c:pt>
                  <c:pt idx="34">
                    <c:v>3.1941042012423947E-2</c:v>
                  </c:pt>
                  <c:pt idx="35">
                    <c:v>1.9996023656987216E-2</c:v>
                  </c:pt>
                  <c:pt idx="36">
                    <c:v>1.6807312027092881E-2</c:v>
                  </c:pt>
                  <c:pt idx="37">
                    <c:v>1.6225329599678415E-2</c:v>
                  </c:pt>
                  <c:pt idx="38">
                    <c:v>1.8138439705242235E-2</c:v>
                  </c:pt>
                  <c:pt idx="39">
                    <c:v>1.4246747698370128E-2</c:v>
                  </c:pt>
                  <c:pt idx="40">
                    <c:v>1.2101438943297951E-2</c:v>
                  </c:pt>
                  <c:pt idx="41">
                    <c:v>1.1154753262464534E-2</c:v>
                  </c:pt>
                  <c:pt idx="42">
                    <c:v>1.600857642718875E-2</c:v>
                  </c:pt>
                  <c:pt idx="43">
                    <c:v>9.4050958753832941E-3</c:v>
                  </c:pt>
                  <c:pt idx="44">
                    <c:v>3.4466880857559334E-3</c:v>
                  </c:pt>
                  <c:pt idx="45">
                    <c:v>1.3397278569927824E-2</c:v>
                  </c:pt>
                  <c:pt idx="46">
                    <c:v>8.1835693027723193E-3</c:v>
                  </c:pt>
                  <c:pt idx="47">
                    <c:v>7.992782559655659E-3</c:v>
                  </c:pt>
                  <c:pt idx="48">
                    <c:v>2.4634086969997068E-2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'Non-Cumulative 1 day avg'!$BI$32:$BI$80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</c:numCache>
            </c:numRef>
          </c:cat>
          <c:val>
            <c:numRef>
              <c:f>'Non-Cumulative 1 day avg'!$BK$32:$BK$80</c:f>
              <c:numCache>
                <c:formatCode>General</c:formatCode>
                <c:ptCount val="49"/>
                <c:pt idx="0">
                  <c:v>6.9209348958333416E-2</c:v>
                </c:pt>
                <c:pt idx="1">
                  <c:v>9.0793973958333371E-2</c:v>
                </c:pt>
                <c:pt idx="2">
                  <c:v>0.11799618749999992</c:v>
                </c:pt>
                <c:pt idx="3">
                  <c:v>0.10147771354166674</c:v>
                </c:pt>
                <c:pt idx="4">
                  <c:v>6.9136703125000226E-2</c:v>
                </c:pt>
                <c:pt idx="5">
                  <c:v>9.1052765624999671E-2</c:v>
                </c:pt>
                <c:pt idx="6">
                  <c:v>0.11183265104166679</c:v>
                </c:pt>
                <c:pt idx="7">
                  <c:v>9.1775427083333472E-2</c:v>
                </c:pt>
                <c:pt idx="8">
                  <c:v>9.4321510416666837E-2</c:v>
                </c:pt>
                <c:pt idx="9">
                  <c:v>0.11997707291666646</c:v>
                </c:pt>
                <c:pt idx="10">
                  <c:v>9.6252197916666504E-2</c:v>
                </c:pt>
                <c:pt idx="11">
                  <c:v>5.7873104166666217E-2</c:v>
                </c:pt>
                <c:pt idx="12">
                  <c:v>6.1987557291667467E-2</c:v>
                </c:pt>
                <c:pt idx="13">
                  <c:v>6.5743604166665692E-2</c:v>
                </c:pt>
                <c:pt idx="14">
                  <c:v>6.7261036458333867E-2</c:v>
                </c:pt>
                <c:pt idx="15">
                  <c:v>6.0260343749999945E-2</c:v>
                </c:pt>
                <c:pt idx="16">
                  <c:v>6.3520098958333493E-2</c:v>
                </c:pt>
                <c:pt idx="17">
                  <c:v>5.5886968749999877E-2</c:v>
                </c:pt>
                <c:pt idx="18">
                  <c:v>4.9044130208333148E-2</c:v>
                </c:pt>
                <c:pt idx="19">
                  <c:v>5.3161223958333614E-2</c:v>
                </c:pt>
                <c:pt idx="20">
                  <c:v>5.8719270833333281E-2</c:v>
                </c:pt>
                <c:pt idx="21">
                  <c:v>6.1348067708333731E-2</c:v>
                </c:pt>
                <c:pt idx="22">
                  <c:v>4.2728354166666482E-2</c:v>
                </c:pt>
                <c:pt idx="23">
                  <c:v>5.7504333333333157E-2</c:v>
                </c:pt>
                <c:pt idx="24">
                  <c:v>7.496238541666661E-2</c:v>
                </c:pt>
                <c:pt idx="25">
                  <c:v>9.0793973958333371E-2</c:v>
                </c:pt>
                <c:pt idx="26">
                  <c:v>0.11799618749999992</c:v>
                </c:pt>
                <c:pt idx="27">
                  <c:v>0.10147771354166674</c:v>
                </c:pt>
                <c:pt idx="28">
                  <c:v>6.9136703125000226E-2</c:v>
                </c:pt>
                <c:pt idx="29">
                  <c:v>9.1052765624999671E-2</c:v>
                </c:pt>
                <c:pt idx="30">
                  <c:v>0.11183265104166679</c:v>
                </c:pt>
                <c:pt idx="31">
                  <c:v>9.1775427083333472E-2</c:v>
                </c:pt>
                <c:pt idx="32">
                  <c:v>9.4321510416666837E-2</c:v>
                </c:pt>
                <c:pt idx="33">
                  <c:v>0.11997707291666646</c:v>
                </c:pt>
                <c:pt idx="34">
                  <c:v>9.6252197916666504E-2</c:v>
                </c:pt>
                <c:pt idx="35">
                  <c:v>5.7873104166666217E-2</c:v>
                </c:pt>
                <c:pt idx="36">
                  <c:v>6.1987557291667467E-2</c:v>
                </c:pt>
                <c:pt idx="37">
                  <c:v>6.5743604166665692E-2</c:v>
                </c:pt>
                <c:pt idx="38">
                  <c:v>6.7261036458333867E-2</c:v>
                </c:pt>
                <c:pt idx="39">
                  <c:v>6.0260343749999945E-2</c:v>
                </c:pt>
                <c:pt idx="40">
                  <c:v>6.3520098958333493E-2</c:v>
                </c:pt>
                <c:pt idx="41">
                  <c:v>5.5886968749999877E-2</c:v>
                </c:pt>
                <c:pt idx="42">
                  <c:v>4.9044130208333148E-2</c:v>
                </c:pt>
                <c:pt idx="43">
                  <c:v>5.3161223958333614E-2</c:v>
                </c:pt>
                <c:pt idx="44">
                  <c:v>5.8719270833333281E-2</c:v>
                </c:pt>
                <c:pt idx="45">
                  <c:v>6.1348067708333731E-2</c:v>
                </c:pt>
                <c:pt idx="46">
                  <c:v>4.2728354166666482E-2</c:v>
                </c:pt>
                <c:pt idx="47">
                  <c:v>5.7504333333333157E-2</c:v>
                </c:pt>
                <c:pt idx="48">
                  <c:v>7.496238541666661E-2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E4-4641-8114-76D81740CE19}"/>
            </c:ext>
          </c:extLst>
        </c:ser>
        <c:ser>
          <c:idx val="2"/>
          <c:order val="2"/>
          <c:tx>
            <c:strRef>
              <c:f>'Non-Cumulative 1 day avg'!$BL$31</c:f>
              <c:strCache>
                <c:ptCount val="1"/>
                <c:pt idx="0">
                  <c:v>line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</c:errBars>
          <c:cat>
            <c:numRef>
              <c:f>'Non-Cumulative 1 day avg'!$BI$32:$BI$80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</c:numCache>
            </c:numRef>
          </c:cat>
          <c:val>
            <c:numRef>
              <c:f>'Non-Cumulative 1 day avg'!$BL$32:$BL$80</c:f>
              <c:numCache>
                <c:formatCode>General</c:formatCode>
                <c:ptCount val="49"/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E4-4641-8114-76D81740C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629807"/>
        <c:axId val="1524201983"/>
      </c:lineChart>
      <c:catAx>
        <c:axId val="1540629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201983"/>
        <c:crosses val="autoZero"/>
        <c:auto val="1"/>
        <c:lblAlgn val="ctr"/>
        <c:lblOffset val="100"/>
        <c:noMultiLvlLbl val="0"/>
      </c:catAx>
      <c:valAx>
        <c:axId val="1524201983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Food Intake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62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40551596105914411"/>
          <c:y val="0.93782987421468111"/>
          <c:w val="0.20742302989604008"/>
          <c:h val="4.2578002968210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Apoe-/-</a:t>
            </a:r>
            <a:r>
              <a:rPr lang="en-US" baseline="0"/>
              <a:t> Food Uptake (g)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'Food Uptake 1hr'!$C$1</c:f>
              <c:strCache>
                <c:ptCount val="1"/>
                <c:pt idx="0">
                  <c:v>123N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1hr'!$C$2:$C$1154</c:f>
              <c:numCache>
                <c:formatCode>General</c:formatCode>
                <c:ptCount val="1153"/>
                <c:pt idx="0">
                  <c:v>2.9967630000000001</c:v>
                </c:pt>
                <c:pt idx="12">
                  <c:v>3.0125327500000001</c:v>
                </c:pt>
                <c:pt idx="24">
                  <c:v>3.0493358333333336</c:v>
                </c:pt>
                <c:pt idx="36">
                  <c:v>3.0837325833333336</c:v>
                </c:pt>
                <c:pt idx="48">
                  <c:v>3.1082778333333336</c:v>
                </c:pt>
                <c:pt idx="60">
                  <c:v>3.1297770000000003</c:v>
                </c:pt>
                <c:pt idx="72">
                  <c:v>3.1403025833333325</c:v>
                </c:pt>
                <c:pt idx="84">
                  <c:v>3.1490370833333334</c:v>
                </c:pt>
                <c:pt idx="96">
                  <c:v>3.2073865000000001</c:v>
                </c:pt>
                <c:pt idx="108">
                  <c:v>3.2743345000000001</c:v>
                </c:pt>
                <c:pt idx="120">
                  <c:v>3.34044125</c:v>
                </c:pt>
                <c:pt idx="132">
                  <c:v>3.371616916666667</c:v>
                </c:pt>
                <c:pt idx="144">
                  <c:v>3.3844914166666662</c:v>
                </c:pt>
                <c:pt idx="156">
                  <c:v>3.3973659999999999</c:v>
                </c:pt>
                <c:pt idx="168">
                  <c:v>3.4093722500000001</c:v>
                </c:pt>
                <c:pt idx="180">
                  <c:v>3.4203340833333336</c:v>
                </c:pt>
                <c:pt idx="192">
                  <c:v>3.4241990833333333</c:v>
                </c:pt>
                <c:pt idx="204">
                  <c:v>3.4277362500000002</c:v>
                </c:pt>
                <c:pt idx="216">
                  <c:v>3.5516434166666664</c:v>
                </c:pt>
                <c:pt idx="228">
                  <c:v>3.7653617499999998</c:v>
                </c:pt>
                <c:pt idx="240">
                  <c:v>3.9791495833333337</c:v>
                </c:pt>
                <c:pt idx="252">
                  <c:v>4.1935730000000007</c:v>
                </c:pt>
                <c:pt idx="264">
                  <c:v>4.3497668333333346</c:v>
                </c:pt>
                <c:pt idx="276">
                  <c:v>4.3571280000000012</c:v>
                </c:pt>
                <c:pt idx="288">
                  <c:v>4.3571280000000012</c:v>
                </c:pt>
                <c:pt idx="300">
                  <c:v>4.3571280000000012</c:v>
                </c:pt>
                <c:pt idx="312">
                  <c:v>4.3571280000000012</c:v>
                </c:pt>
                <c:pt idx="324">
                  <c:v>4.3571827500000007</c:v>
                </c:pt>
                <c:pt idx="336">
                  <c:v>4.3584198333333335</c:v>
                </c:pt>
                <c:pt idx="348">
                  <c:v>4.3596572500000006</c:v>
                </c:pt>
                <c:pt idx="360">
                  <c:v>4.3633727500000008</c:v>
                </c:pt>
                <c:pt idx="372">
                  <c:v>4.4076372500000005</c:v>
                </c:pt>
                <c:pt idx="384">
                  <c:v>4.4983959999999987</c:v>
                </c:pt>
                <c:pt idx="396">
                  <c:v>4.5996759999999997</c:v>
                </c:pt>
                <c:pt idx="408">
                  <c:v>4.7009560000000015</c:v>
                </c:pt>
                <c:pt idx="420">
                  <c:v>4.7935563333333331</c:v>
                </c:pt>
                <c:pt idx="432">
                  <c:v>4.8302548333333339</c:v>
                </c:pt>
                <c:pt idx="444">
                  <c:v>4.8306180000000003</c:v>
                </c:pt>
                <c:pt idx="456">
                  <c:v>4.8306180000000003</c:v>
                </c:pt>
                <c:pt idx="468">
                  <c:v>4.8306180000000003</c:v>
                </c:pt>
                <c:pt idx="480">
                  <c:v>4.8306180000000003</c:v>
                </c:pt>
                <c:pt idx="492">
                  <c:v>4.8306180000000003</c:v>
                </c:pt>
                <c:pt idx="504">
                  <c:v>4.8306180000000003</c:v>
                </c:pt>
                <c:pt idx="516">
                  <c:v>4.8306180000000003</c:v>
                </c:pt>
                <c:pt idx="528">
                  <c:v>4.8329026666666666</c:v>
                </c:pt>
                <c:pt idx="540">
                  <c:v>4.8704956666666668</c:v>
                </c:pt>
                <c:pt idx="552">
                  <c:v>5.1012754999999999</c:v>
                </c:pt>
                <c:pt idx="564">
                  <c:v>5.3639173333333332</c:v>
                </c:pt>
                <c:pt idx="576">
                  <c:v>5.5439367499999994</c:v>
                </c:pt>
                <c:pt idx="588">
                  <c:v>5.5492989999999986</c:v>
                </c:pt>
                <c:pt idx="600">
                  <c:v>5.5492989999999986</c:v>
                </c:pt>
                <c:pt idx="612">
                  <c:v>5.5492989999999986</c:v>
                </c:pt>
                <c:pt idx="624">
                  <c:v>5.5492989999999986</c:v>
                </c:pt>
                <c:pt idx="636">
                  <c:v>5.5492989999999986</c:v>
                </c:pt>
                <c:pt idx="648">
                  <c:v>5.5492989999999986</c:v>
                </c:pt>
                <c:pt idx="660">
                  <c:v>5.5535394166666672</c:v>
                </c:pt>
                <c:pt idx="672">
                  <c:v>5.5625339166666663</c:v>
                </c:pt>
                <c:pt idx="684">
                  <c:v>5.5694002499999984</c:v>
                </c:pt>
                <c:pt idx="696">
                  <c:v>5.5762667499999994</c:v>
                </c:pt>
                <c:pt idx="708">
                  <c:v>5.5831332500000004</c:v>
                </c:pt>
                <c:pt idx="720">
                  <c:v>5.5899779166666663</c:v>
                </c:pt>
                <c:pt idx="732">
                  <c:v>5.5996279166666669</c:v>
                </c:pt>
                <c:pt idx="744">
                  <c:v>5.6229105833333337</c:v>
                </c:pt>
                <c:pt idx="756">
                  <c:v>5.6812231666666664</c:v>
                </c:pt>
                <c:pt idx="768">
                  <c:v>5.7643525000000002</c:v>
                </c:pt>
                <c:pt idx="780">
                  <c:v>5.8484664999999998</c:v>
                </c:pt>
                <c:pt idx="792">
                  <c:v>5.9233206666666662</c:v>
                </c:pt>
                <c:pt idx="804">
                  <c:v>5.9786643333333336</c:v>
                </c:pt>
                <c:pt idx="816">
                  <c:v>6.0322379166666655</c:v>
                </c:pt>
                <c:pt idx="828">
                  <c:v>6.0487630000000001</c:v>
                </c:pt>
                <c:pt idx="840">
                  <c:v>6.0487630000000001</c:v>
                </c:pt>
                <c:pt idx="852">
                  <c:v>6.0487630000000001</c:v>
                </c:pt>
                <c:pt idx="864">
                  <c:v>6.0487630000000001</c:v>
                </c:pt>
                <c:pt idx="876">
                  <c:v>6.0487630000000001</c:v>
                </c:pt>
                <c:pt idx="888">
                  <c:v>6.0491403333333338</c:v>
                </c:pt>
                <c:pt idx="900">
                  <c:v>6.0518749999999999</c:v>
                </c:pt>
                <c:pt idx="912">
                  <c:v>6.0518749999999999</c:v>
                </c:pt>
                <c:pt idx="924">
                  <c:v>6.0518749999999999</c:v>
                </c:pt>
                <c:pt idx="936">
                  <c:v>6.0518749999999999</c:v>
                </c:pt>
                <c:pt idx="948">
                  <c:v>6.0518749999999999</c:v>
                </c:pt>
                <c:pt idx="960">
                  <c:v>6.0518749999999999</c:v>
                </c:pt>
                <c:pt idx="972">
                  <c:v>6.0518749999999999</c:v>
                </c:pt>
                <c:pt idx="984">
                  <c:v>6.0518749999999999</c:v>
                </c:pt>
                <c:pt idx="996">
                  <c:v>6.0678269166666672</c:v>
                </c:pt>
                <c:pt idx="1008">
                  <c:v>6.1373147499999989</c:v>
                </c:pt>
                <c:pt idx="1020">
                  <c:v>6.2053845000000001</c:v>
                </c:pt>
                <c:pt idx="1032">
                  <c:v>6.2892094999999992</c:v>
                </c:pt>
                <c:pt idx="1044">
                  <c:v>6.4643702499999991</c:v>
                </c:pt>
                <c:pt idx="1056">
                  <c:v>6.6531977499999995</c:v>
                </c:pt>
                <c:pt idx="1068">
                  <c:v>6.8420252499999998</c:v>
                </c:pt>
                <c:pt idx="1080">
                  <c:v>7.015519666666667</c:v>
                </c:pt>
                <c:pt idx="1092">
                  <c:v>7.1532796666666663</c:v>
                </c:pt>
                <c:pt idx="1104">
                  <c:v>7.3613442499999993</c:v>
                </c:pt>
                <c:pt idx="1116">
                  <c:v>7.5076650833333352</c:v>
                </c:pt>
                <c:pt idx="1128">
                  <c:v>7.5358860000000005</c:v>
                </c:pt>
                <c:pt idx="1140">
                  <c:v>7.5358860000000005</c:v>
                </c:pt>
                <c:pt idx="1152">
                  <c:v>7.5358860000000005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A-574B-A0CB-5AA9457E4E7B}"/>
            </c:ext>
          </c:extLst>
        </c:ser>
        <c:ser>
          <c:idx val="1"/>
          <c:order val="1"/>
          <c:tx>
            <c:strRef>
              <c:f>'Food Uptake 1hr'!$D$1</c:f>
              <c:strCache>
                <c:ptCount val="1"/>
                <c:pt idx="0">
                  <c:v>124L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1hr'!$D$2:$D$1154</c:f>
              <c:numCache>
                <c:formatCode>General</c:formatCode>
                <c:ptCount val="1153"/>
                <c:pt idx="0">
                  <c:v>2.313647</c:v>
                </c:pt>
                <c:pt idx="12">
                  <c:v>2.3973289999999996</c:v>
                </c:pt>
                <c:pt idx="24">
                  <c:v>2.4614936666666667</c:v>
                </c:pt>
                <c:pt idx="36">
                  <c:v>2.4880887499999997</c:v>
                </c:pt>
                <c:pt idx="48">
                  <c:v>2.5329527500000002</c:v>
                </c:pt>
                <c:pt idx="60">
                  <c:v>2.5835988333333337</c:v>
                </c:pt>
                <c:pt idx="72">
                  <c:v>2.6161941666666668</c:v>
                </c:pt>
                <c:pt idx="84">
                  <c:v>2.6237753333333331</c:v>
                </c:pt>
                <c:pt idx="96">
                  <c:v>2.6323430000000001</c:v>
                </c:pt>
                <c:pt idx="108">
                  <c:v>2.647605916666667</c:v>
                </c:pt>
                <c:pt idx="120">
                  <c:v>2.6724484166666671</c:v>
                </c:pt>
                <c:pt idx="132">
                  <c:v>2.687478833333333</c:v>
                </c:pt>
                <c:pt idx="144">
                  <c:v>2.688490666666667</c:v>
                </c:pt>
                <c:pt idx="156">
                  <c:v>2.6884930000000007</c:v>
                </c:pt>
                <c:pt idx="168">
                  <c:v>2.6884930000000007</c:v>
                </c:pt>
                <c:pt idx="180">
                  <c:v>2.8609209999999998</c:v>
                </c:pt>
                <c:pt idx="192">
                  <c:v>3.3668774166666675</c:v>
                </c:pt>
                <c:pt idx="204">
                  <c:v>3.5080082499999996</c:v>
                </c:pt>
                <c:pt idx="216">
                  <c:v>3.6461956666666673</c:v>
                </c:pt>
                <c:pt idx="228">
                  <c:v>3.7843830000000001</c:v>
                </c:pt>
                <c:pt idx="240">
                  <c:v>3.9225704999999995</c:v>
                </c:pt>
                <c:pt idx="252">
                  <c:v>4.033701333333334</c:v>
                </c:pt>
                <c:pt idx="264">
                  <c:v>4.0432520000000007</c:v>
                </c:pt>
                <c:pt idx="276">
                  <c:v>4.0432520000000007</c:v>
                </c:pt>
                <c:pt idx="288">
                  <c:v>4.135313</c:v>
                </c:pt>
                <c:pt idx="300">
                  <c:v>4.2752689999999998</c:v>
                </c:pt>
                <c:pt idx="312">
                  <c:v>4.299069666666667</c:v>
                </c:pt>
                <c:pt idx="324">
                  <c:v>4.3197693333333342</c:v>
                </c:pt>
                <c:pt idx="336">
                  <c:v>4.3367801666666672</c:v>
                </c:pt>
                <c:pt idx="348">
                  <c:v>4.3420891666666668</c:v>
                </c:pt>
                <c:pt idx="360">
                  <c:v>4.3472389999999992</c:v>
                </c:pt>
                <c:pt idx="372">
                  <c:v>4.3524236666666676</c:v>
                </c:pt>
                <c:pt idx="384">
                  <c:v>4.3618688333333333</c:v>
                </c:pt>
                <c:pt idx="396">
                  <c:v>4.3738851666666667</c:v>
                </c:pt>
                <c:pt idx="408">
                  <c:v>4.385901416666667</c:v>
                </c:pt>
                <c:pt idx="420">
                  <c:v>4.3979177500000004</c:v>
                </c:pt>
                <c:pt idx="432">
                  <c:v>4.4090008333333328</c:v>
                </c:pt>
                <c:pt idx="444">
                  <c:v>4.4248174999999996</c:v>
                </c:pt>
                <c:pt idx="456">
                  <c:v>4.6122718333333328</c:v>
                </c:pt>
                <c:pt idx="468">
                  <c:v>4.852597666666667</c:v>
                </c:pt>
                <c:pt idx="480">
                  <c:v>5.0929236666666649</c:v>
                </c:pt>
                <c:pt idx="492">
                  <c:v>5.2849195833333331</c:v>
                </c:pt>
                <c:pt idx="504">
                  <c:v>5.3489032500000002</c:v>
                </c:pt>
                <c:pt idx="516">
                  <c:v>5.4279656666666662</c:v>
                </c:pt>
                <c:pt idx="528">
                  <c:v>5.5378289166666663</c:v>
                </c:pt>
                <c:pt idx="540">
                  <c:v>5.6107355000000014</c:v>
                </c:pt>
                <c:pt idx="552">
                  <c:v>5.6501316666666677</c:v>
                </c:pt>
                <c:pt idx="564">
                  <c:v>5.6896138333333335</c:v>
                </c:pt>
                <c:pt idx="576">
                  <c:v>5.7290959166666662</c:v>
                </c:pt>
                <c:pt idx="588">
                  <c:v>5.7685780000000006</c:v>
                </c:pt>
                <c:pt idx="600">
                  <c:v>5.8080601666666665</c:v>
                </c:pt>
                <c:pt idx="612">
                  <c:v>5.8475422500000001</c:v>
                </c:pt>
                <c:pt idx="624">
                  <c:v>5.8870243333333327</c:v>
                </c:pt>
                <c:pt idx="636">
                  <c:v>5.9265064999999995</c:v>
                </c:pt>
                <c:pt idx="648">
                  <c:v>5.9646658333333322</c:v>
                </c:pt>
                <c:pt idx="660">
                  <c:v>5.985932833333333</c:v>
                </c:pt>
                <c:pt idx="672">
                  <c:v>5.988993999999999</c:v>
                </c:pt>
                <c:pt idx="684">
                  <c:v>5.988993999999999</c:v>
                </c:pt>
                <c:pt idx="696">
                  <c:v>5.988993999999999</c:v>
                </c:pt>
                <c:pt idx="708">
                  <c:v>5.988993999999999</c:v>
                </c:pt>
                <c:pt idx="720">
                  <c:v>5.988993999999999</c:v>
                </c:pt>
                <c:pt idx="732">
                  <c:v>5.988993999999999</c:v>
                </c:pt>
                <c:pt idx="744">
                  <c:v>5.9955818333333326</c:v>
                </c:pt>
                <c:pt idx="756">
                  <c:v>6.2458153333333328</c:v>
                </c:pt>
                <c:pt idx="768">
                  <c:v>6.6181739166666667</c:v>
                </c:pt>
                <c:pt idx="780">
                  <c:v>6.8500135000000002</c:v>
                </c:pt>
                <c:pt idx="792">
                  <c:v>6.9856264166666664</c:v>
                </c:pt>
                <c:pt idx="804">
                  <c:v>7.0682860833333336</c:v>
                </c:pt>
                <c:pt idx="816">
                  <c:v>7.0878551666666665</c:v>
                </c:pt>
                <c:pt idx="828">
                  <c:v>7.0879489999999992</c:v>
                </c:pt>
                <c:pt idx="840">
                  <c:v>7.0879489999999992</c:v>
                </c:pt>
                <c:pt idx="852">
                  <c:v>7.0879489999999992</c:v>
                </c:pt>
                <c:pt idx="864">
                  <c:v>7.0879489999999992</c:v>
                </c:pt>
                <c:pt idx="876">
                  <c:v>7.0879489999999992</c:v>
                </c:pt>
                <c:pt idx="888">
                  <c:v>7.0879489999999992</c:v>
                </c:pt>
                <c:pt idx="900">
                  <c:v>7.0879489999999992</c:v>
                </c:pt>
                <c:pt idx="912">
                  <c:v>7.0880322500000004</c:v>
                </c:pt>
                <c:pt idx="924">
                  <c:v>7.0930324166666656</c:v>
                </c:pt>
                <c:pt idx="936">
                  <c:v>7.1026785833333337</c:v>
                </c:pt>
                <c:pt idx="948">
                  <c:v>7.1254249166666659</c:v>
                </c:pt>
                <c:pt idx="960">
                  <c:v>7.1316098333333349</c:v>
                </c:pt>
                <c:pt idx="972">
                  <c:v>7.135752666666666</c:v>
                </c:pt>
                <c:pt idx="984">
                  <c:v>7.1402244999999986</c:v>
                </c:pt>
                <c:pt idx="996">
                  <c:v>7.140833999999999</c:v>
                </c:pt>
                <c:pt idx="1008">
                  <c:v>7.1537015833333335</c:v>
                </c:pt>
                <c:pt idx="1020">
                  <c:v>7.2130641666666664</c:v>
                </c:pt>
                <c:pt idx="1032">
                  <c:v>7.2765789166666659</c:v>
                </c:pt>
                <c:pt idx="1044">
                  <c:v>7.3400936666666672</c:v>
                </c:pt>
                <c:pt idx="1056">
                  <c:v>7.4036082500000013</c:v>
                </c:pt>
                <c:pt idx="1068">
                  <c:v>7.5138239166666665</c:v>
                </c:pt>
                <c:pt idx="1080">
                  <c:v>7.7478480000000021</c:v>
                </c:pt>
                <c:pt idx="1092">
                  <c:v>7.7526540000000024</c:v>
                </c:pt>
                <c:pt idx="1104">
                  <c:v>7.8461894166666655</c:v>
                </c:pt>
                <c:pt idx="1116">
                  <c:v>8.130090749999999</c:v>
                </c:pt>
                <c:pt idx="1128">
                  <c:v>8.2839775000000007</c:v>
                </c:pt>
                <c:pt idx="1140">
                  <c:v>8.4138604166666671</c:v>
                </c:pt>
                <c:pt idx="1152">
                  <c:v>8.5305534166666668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8A-574B-A0CB-5AA9457E4E7B}"/>
            </c:ext>
          </c:extLst>
        </c:ser>
        <c:ser>
          <c:idx val="2"/>
          <c:order val="2"/>
          <c:tx>
            <c:strRef>
              <c:f>'Food Uptake 1hr'!$E$1</c:f>
              <c:strCache>
                <c:ptCount val="1"/>
                <c:pt idx="0">
                  <c:v>124N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1hr'!$E$2:$E$1154</c:f>
              <c:numCache>
                <c:formatCode>General</c:formatCode>
                <c:ptCount val="1153"/>
                <c:pt idx="0">
                  <c:v>2.8834840000000002</c:v>
                </c:pt>
                <c:pt idx="12">
                  <c:v>3.0246625833333334</c:v>
                </c:pt>
                <c:pt idx="24">
                  <c:v>3.101197916666667</c:v>
                </c:pt>
                <c:pt idx="36">
                  <c:v>3.1247885833333338</c:v>
                </c:pt>
                <c:pt idx="48">
                  <c:v>3.1365812500000003</c:v>
                </c:pt>
                <c:pt idx="60">
                  <c:v>3.1485974999999997</c:v>
                </c:pt>
                <c:pt idx="72">
                  <c:v>3.16061375</c:v>
                </c:pt>
                <c:pt idx="84">
                  <c:v>3.172630083333333</c:v>
                </c:pt>
                <c:pt idx="96">
                  <c:v>3.1846463333333337</c:v>
                </c:pt>
                <c:pt idx="108">
                  <c:v>3.2014434166666668</c:v>
                </c:pt>
                <c:pt idx="120">
                  <c:v>3.2286369166666664</c:v>
                </c:pt>
                <c:pt idx="132">
                  <c:v>3.2561027499999997</c:v>
                </c:pt>
                <c:pt idx="144">
                  <c:v>3.2821213333333343</c:v>
                </c:pt>
                <c:pt idx="156">
                  <c:v>3.2938083333333332</c:v>
                </c:pt>
                <c:pt idx="168">
                  <c:v>3.3518649999999997</c:v>
                </c:pt>
                <c:pt idx="180">
                  <c:v>3.4231044999999996</c:v>
                </c:pt>
                <c:pt idx="192">
                  <c:v>3.4943439999999999</c:v>
                </c:pt>
                <c:pt idx="204">
                  <c:v>3.5628576666666665</c:v>
                </c:pt>
                <c:pt idx="216">
                  <c:v>3.5996655000000004</c:v>
                </c:pt>
                <c:pt idx="228">
                  <c:v>3.653162333333333</c:v>
                </c:pt>
                <c:pt idx="240">
                  <c:v>3.7610519166666667</c:v>
                </c:pt>
                <c:pt idx="252">
                  <c:v>3.800094000000001</c:v>
                </c:pt>
                <c:pt idx="264">
                  <c:v>3.800094000000001</c:v>
                </c:pt>
                <c:pt idx="276">
                  <c:v>3.800094000000001</c:v>
                </c:pt>
                <c:pt idx="288">
                  <c:v>3.800094000000001</c:v>
                </c:pt>
                <c:pt idx="300">
                  <c:v>3.800094000000001</c:v>
                </c:pt>
                <c:pt idx="312">
                  <c:v>3.800094000000001</c:v>
                </c:pt>
                <c:pt idx="324">
                  <c:v>3.800094000000001</c:v>
                </c:pt>
                <c:pt idx="336">
                  <c:v>3.800094000000001</c:v>
                </c:pt>
                <c:pt idx="348">
                  <c:v>3.800094000000001</c:v>
                </c:pt>
                <c:pt idx="360">
                  <c:v>3.8004472499999999</c:v>
                </c:pt>
                <c:pt idx="372">
                  <c:v>3.8013020000000002</c:v>
                </c:pt>
                <c:pt idx="384">
                  <c:v>3.8021603333333331</c:v>
                </c:pt>
                <c:pt idx="396">
                  <c:v>3.8031499166666669</c:v>
                </c:pt>
                <c:pt idx="408">
                  <c:v>3.8394753333333331</c:v>
                </c:pt>
                <c:pt idx="420">
                  <c:v>3.8887879166666672</c:v>
                </c:pt>
                <c:pt idx="432">
                  <c:v>3.9001989166666657</c:v>
                </c:pt>
                <c:pt idx="444">
                  <c:v>3.9184025833333336</c:v>
                </c:pt>
                <c:pt idx="456">
                  <c:v>3.9750922499999994</c:v>
                </c:pt>
                <c:pt idx="468">
                  <c:v>4.110488000000001</c:v>
                </c:pt>
                <c:pt idx="480">
                  <c:v>4.2254194166666661</c:v>
                </c:pt>
                <c:pt idx="492">
                  <c:v>4.2910900000000005</c:v>
                </c:pt>
                <c:pt idx="504">
                  <c:v>4.361471166666667</c:v>
                </c:pt>
                <c:pt idx="516">
                  <c:v>4.4318523333333317</c:v>
                </c:pt>
                <c:pt idx="528">
                  <c:v>4.5022335</c:v>
                </c:pt>
                <c:pt idx="540">
                  <c:v>4.5596989166666679</c:v>
                </c:pt>
                <c:pt idx="552">
                  <c:v>4.5651360000000007</c:v>
                </c:pt>
                <c:pt idx="564">
                  <c:v>4.5651360000000007</c:v>
                </c:pt>
                <c:pt idx="576">
                  <c:v>4.5651360000000007</c:v>
                </c:pt>
                <c:pt idx="588">
                  <c:v>4.5651360000000007</c:v>
                </c:pt>
                <c:pt idx="600">
                  <c:v>4.5651360000000007</c:v>
                </c:pt>
                <c:pt idx="612">
                  <c:v>4.5651360000000007</c:v>
                </c:pt>
                <c:pt idx="624">
                  <c:v>4.5651360000000007</c:v>
                </c:pt>
                <c:pt idx="636">
                  <c:v>4.5651360000000007</c:v>
                </c:pt>
                <c:pt idx="648">
                  <c:v>4.5651360000000007</c:v>
                </c:pt>
                <c:pt idx="660">
                  <c:v>4.5651360000000007</c:v>
                </c:pt>
                <c:pt idx="672">
                  <c:v>4.5651360000000007</c:v>
                </c:pt>
                <c:pt idx="684">
                  <c:v>4.5651360000000007</c:v>
                </c:pt>
                <c:pt idx="696">
                  <c:v>4.5651360000000007</c:v>
                </c:pt>
                <c:pt idx="708">
                  <c:v>4.5651360000000007</c:v>
                </c:pt>
                <c:pt idx="720">
                  <c:v>4.5651360000000007</c:v>
                </c:pt>
                <c:pt idx="732">
                  <c:v>4.5651360000000007</c:v>
                </c:pt>
                <c:pt idx="744">
                  <c:v>4.5651360000000007</c:v>
                </c:pt>
                <c:pt idx="756">
                  <c:v>4.5755004999999995</c:v>
                </c:pt>
                <c:pt idx="768">
                  <c:v>4.6193065833333327</c:v>
                </c:pt>
                <c:pt idx="780">
                  <c:v>4.6656550833333332</c:v>
                </c:pt>
                <c:pt idx="792">
                  <c:v>4.7120037499999992</c:v>
                </c:pt>
                <c:pt idx="804">
                  <c:v>4.7583522500000006</c:v>
                </c:pt>
                <c:pt idx="816">
                  <c:v>4.8232101666666667</c:v>
                </c:pt>
                <c:pt idx="828">
                  <c:v>4.9490604166666667</c:v>
                </c:pt>
                <c:pt idx="840">
                  <c:v>5.079523083333334</c:v>
                </c:pt>
                <c:pt idx="852">
                  <c:v>5.1913799166666665</c:v>
                </c:pt>
                <c:pt idx="864">
                  <c:v>5.2443934166666653</c:v>
                </c:pt>
                <c:pt idx="876">
                  <c:v>5.27357575</c:v>
                </c:pt>
                <c:pt idx="888">
                  <c:v>5.302758250000001</c:v>
                </c:pt>
                <c:pt idx="900">
                  <c:v>5.3301695833333325</c:v>
                </c:pt>
                <c:pt idx="912">
                  <c:v>5.3363549999999984</c:v>
                </c:pt>
                <c:pt idx="924">
                  <c:v>5.3363549999999984</c:v>
                </c:pt>
                <c:pt idx="936">
                  <c:v>5.3363549999999984</c:v>
                </c:pt>
                <c:pt idx="948">
                  <c:v>5.3363549999999984</c:v>
                </c:pt>
                <c:pt idx="960">
                  <c:v>5.3363549999999984</c:v>
                </c:pt>
                <c:pt idx="972">
                  <c:v>5.3363549999999984</c:v>
                </c:pt>
                <c:pt idx="984">
                  <c:v>5.3363549999999984</c:v>
                </c:pt>
                <c:pt idx="996">
                  <c:v>5.3363549999999984</c:v>
                </c:pt>
                <c:pt idx="1008">
                  <c:v>5.3363549999999984</c:v>
                </c:pt>
                <c:pt idx="1020">
                  <c:v>5.3363549999999984</c:v>
                </c:pt>
                <c:pt idx="1032">
                  <c:v>5.3363549999999984</c:v>
                </c:pt>
                <c:pt idx="1044">
                  <c:v>5.3475626666666658</c:v>
                </c:pt>
                <c:pt idx="1056">
                  <c:v>5.3920459999999997</c:v>
                </c:pt>
                <c:pt idx="1068">
                  <c:v>5.4378950000000001</c:v>
                </c:pt>
                <c:pt idx="1080">
                  <c:v>5.4876241666666665</c:v>
                </c:pt>
                <c:pt idx="1092">
                  <c:v>5.5408391666666672</c:v>
                </c:pt>
                <c:pt idx="1104">
                  <c:v>5.5954827499999995</c:v>
                </c:pt>
                <c:pt idx="1116">
                  <c:v>5.6824444166666668</c:v>
                </c:pt>
                <c:pt idx="1128">
                  <c:v>5.7986739999999992</c:v>
                </c:pt>
                <c:pt idx="1140">
                  <c:v>5.9145960833333326</c:v>
                </c:pt>
                <c:pt idx="1152">
                  <c:v>6.084472166666667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8A-574B-A0CB-5AA9457E4E7B}"/>
            </c:ext>
          </c:extLst>
        </c:ser>
        <c:ser>
          <c:idx val="3"/>
          <c:order val="3"/>
          <c:tx>
            <c:strRef>
              <c:f>'Food Uptake 1hr'!$F$1</c:f>
              <c:strCache>
                <c:ptCount val="1"/>
                <c:pt idx="0">
                  <c:v>123L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1hr'!$F$2:$F$1154</c:f>
              <c:numCache>
                <c:formatCode>General</c:formatCode>
                <c:ptCount val="1153"/>
                <c:pt idx="0">
                  <c:v>1.5335129999999999</c:v>
                </c:pt>
                <c:pt idx="12">
                  <c:v>1.5335129999999995</c:v>
                </c:pt>
                <c:pt idx="24">
                  <c:v>1.5360351666666665</c:v>
                </c:pt>
                <c:pt idx="36">
                  <c:v>1.5421240000000001</c:v>
                </c:pt>
                <c:pt idx="48">
                  <c:v>1.5421240000000001</c:v>
                </c:pt>
                <c:pt idx="60">
                  <c:v>1.5429575833333333</c:v>
                </c:pt>
                <c:pt idx="72">
                  <c:v>1.5527077499999999</c:v>
                </c:pt>
                <c:pt idx="84">
                  <c:v>1.5832634999999999</c:v>
                </c:pt>
                <c:pt idx="96">
                  <c:v>1.6133502499999999</c:v>
                </c:pt>
                <c:pt idx="108">
                  <c:v>1.6450554999999998</c:v>
                </c:pt>
                <c:pt idx="120">
                  <c:v>1.6824436666666667</c:v>
                </c:pt>
                <c:pt idx="132">
                  <c:v>1.7236425000000002</c:v>
                </c:pt>
                <c:pt idx="144">
                  <c:v>1.7648411666666668</c:v>
                </c:pt>
                <c:pt idx="156">
                  <c:v>1.806039916666667</c:v>
                </c:pt>
                <c:pt idx="168">
                  <c:v>1.8364157500000002</c:v>
                </c:pt>
                <c:pt idx="180">
                  <c:v>1.8379580000000002</c:v>
                </c:pt>
                <c:pt idx="192">
                  <c:v>1.8379580000000002</c:v>
                </c:pt>
                <c:pt idx="204">
                  <c:v>1.8379580000000002</c:v>
                </c:pt>
                <c:pt idx="216">
                  <c:v>1.8379580000000002</c:v>
                </c:pt>
                <c:pt idx="228">
                  <c:v>1.8379580000000002</c:v>
                </c:pt>
                <c:pt idx="240">
                  <c:v>1.8379580000000002</c:v>
                </c:pt>
                <c:pt idx="252">
                  <c:v>1.8379580000000002</c:v>
                </c:pt>
                <c:pt idx="264">
                  <c:v>1.8623214166666668</c:v>
                </c:pt>
                <c:pt idx="276">
                  <c:v>2.0263680833333333</c:v>
                </c:pt>
                <c:pt idx="288">
                  <c:v>2.2126268333333337</c:v>
                </c:pt>
                <c:pt idx="300">
                  <c:v>2.3908744166666662</c:v>
                </c:pt>
                <c:pt idx="312">
                  <c:v>2.4397389999999999</c:v>
                </c:pt>
                <c:pt idx="324">
                  <c:v>2.4397389999999999</c:v>
                </c:pt>
                <c:pt idx="336">
                  <c:v>2.4397389999999999</c:v>
                </c:pt>
                <c:pt idx="348">
                  <c:v>2.4397389999999999</c:v>
                </c:pt>
                <c:pt idx="360">
                  <c:v>2.4397389999999999</c:v>
                </c:pt>
                <c:pt idx="372">
                  <c:v>2.4404883333333331</c:v>
                </c:pt>
                <c:pt idx="384">
                  <c:v>2.4482250833333334</c:v>
                </c:pt>
                <c:pt idx="396">
                  <c:v>2.4611776666666665</c:v>
                </c:pt>
                <c:pt idx="408">
                  <c:v>2.5147826666666666</c:v>
                </c:pt>
                <c:pt idx="420">
                  <c:v>2.6107678333333331</c:v>
                </c:pt>
                <c:pt idx="432">
                  <c:v>2.7077565000000003</c:v>
                </c:pt>
                <c:pt idx="444">
                  <c:v>2.8047451666666667</c:v>
                </c:pt>
                <c:pt idx="456">
                  <c:v>2.9017339166666667</c:v>
                </c:pt>
                <c:pt idx="468">
                  <c:v>3.0033764166666668</c:v>
                </c:pt>
                <c:pt idx="480">
                  <c:v>3.1535658333333334</c:v>
                </c:pt>
                <c:pt idx="492">
                  <c:v>3.314238416666667</c:v>
                </c:pt>
                <c:pt idx="504">
                  <c:v>3.4297291666666667</c:v>
                </c:pt>
                <c:pt idx="516">
                  <c:v>3.5215156666666676</c:v>
                </c:pt>
                <c:pt idx="528">
                  <c:v>3.5643892500000001</c:v>
                </c:pt>
                <c:pt idx="540">
                  <c:v>3.6534829166666669</c:v>
                </c:pt>
                <c:pt idx="552">
                  <c:v>3.7247714166666666</c:v>
                </c:pt>
                <c:pt idx="564">
                  <c:v>3.7303750000000004</c:v>
                </c:pt>
                <c:pt idx="576">
                  <c:v>3.7303750000000004</c:v>
                </c:pt>
                <c:pt idx="588">
                  <c:v>3.7303750000000004</c:v>
                </c:pt>
                <c:pt idx="600">
                  <c:v>3.7303750000000004</c:v>
                </c:pt>
                <c:pt idx="612">
                  <c:v>3.7303750000000004</c:v>
                </c:pt>
                <c:pt idx="624">
                  <c:v>3.7303750000000004</c:v>
                </c:pt>
                <c:pt idx="636">
                  <c:v>3.7303750000000004</c:v>
                </c:pt>
                <c:pt idx="648">
                  <c:v>3.7303750000000004</c:v>
                </c:pt>
                <c:pt idx="660">
                  <c:v>3.7303750000000004</c:v>
                </c:pt>
                <c:pt idx="672">
                  <c:v>3.7303750000000004</c:v>
                </c:pt>
                <c:pt idx="684">
                  <c:v>3.7339814999999987</c:v>
                </c:pt>
                <c:pt idx="696">
                  <c:v>3.7398669999999989</c:v>
                </c:pt>
                <c:pt idx="708">
                  <c:v>3.7398669999999989</c:v>
                </c:pt>
                <c:pt idx="720">
                  <c:v>3.7451865833333335</c:v>
                </c:pt>
                <c:pt idx="732">
                  <c:v>3.7642330833333335</c:v>
                </c:pt>
                <c:pt idx="744">
                  <c:v>3.7839741666666669</c:v>
                </c:pt>
                <c:pt idx="756">
                  <c:v>3.8037152499999998</c:v>
                </c:pt>
                <c:pt idx="768">
                  <c:v>3.8232855833333339</c:v>
                </c:pt>
                <c:pt idx="780">
                  <c:v>3.8563628333333333</c:v>
                </c:pt>
                <c:pt idx="792">
                  <c:v>3.9915570833333334</c:v>
                </c:pt>
                <c:pt idx="804">
                  <c:v>4.2640485000000004</c:v>
                </c:pt>
                <c:pt idx="816">
                  <c:v>4.5404234166666662</c:v>
                </c:pt>
                <c:pt idx="828">
                  <c:v>4.8167982499999997</c:v>
                </c:pt>
                <c:pt idx="840">
                  <c:v>4.9514489999999993</c:v>
                </c:pt>
                <c:pt idx="852">
                  <c:v>4.96288675</c:v>
                </c:pt>
                <c:pt idx="864">
                  <c:v>4.9817695833333335</c:v>
                </c:pt>
                <c:pt idx="876">
                  <c:v>5.0006523333333339</c:v>
                </c:pt>
                <c:pt idx="888">
                  <c:v>5.0195350833333334</c:v>
                </c:pt>
                <c:pt idx="900">
                  <c:v>5.037723333333334</c:v>
                </c:pt>
                <c:pt idx="912">
                  <c:v>5.0427210000000002</c:v>
                </c:pt>
                <c:pt idx="924">
                  <c:v>5.0427210000000002</c:v>
                </c:pt>
                <c:pt idx="936">
                  <c:v>5.0427210000000002</c:v>
                </c:pt>
                <c:pt idx="948">
                  <c:v>5.0427210000000002</c:v>
                </c:pt>
                <c:pt idx="960">
                  <c:v>5.0427210000000002</c:v>
                </c:pt>
                <c:pt idx="972">
                  <c:v>5.0427210000000002</c:v>
                </c:pt>
                <c:pt idx="984">
                  <c:v>5.0427210000000002</c:v>
                </c:pt>
                <c:pt idx="996">
                  <c:v>5.0427210000000002</c:v>
                </c:pt>
                <c:pt idx="1008">
                  <c:v>5.0427210000000002</c:v>
                </c:pt>
                <c:pt idx="1020">
                  <c:v>5.0502362500000002</c:v>
                </c:pt>
                <c:pt idx="1032">
                  <c:v>5.0712630833333323</c:v>
                </c:pt>
                <c:pt idx="1044">
                  <c:v>5.0751739999999987</c:v>
                </c:pt>
                <c:pt idx="1056">
                  <c:v>5.0751739999999987</c:v>
                </c:pt>
                <c:pt idx="1068">
                  <c:v>5.0751739999999987</c:v>
                </c:pt>
                <c:pt idx="1080">
                  <c:v>5.0751739999999987</c:v>
                </c:pt>
                <c:pt idx="1092">
                  <c:v>5.0751739999999987</c:v>
                </c:pt>
                <c:pt idx="1104">
                  <c:v>5.0751739999999987</c:v>
                </c:pt>
                <c:pt idx="1116">
                  <c:v>5.0894744166666674</c:v>
                </c:pt>
                <c:pt idx="1128">
                  <c:v>5.100625</c:v>
                </c:pt>
                <c:pt idx="1140">
                  <c:v>5.100625</c:v>
                </c:pt>
                <c:pt idx="1152">
                  <c:v>5.1183676666666669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8A-574B-A0CB-5AA9457E4E7B}"/>
            </c:ext>
          </c:extLst>
        </c:ser>
        <c:ser>
          <c:idx val="4"/>
          <c:order val="4"/>
          <c:tx>
            <c:strRef>
              <c:f>'Food Uptake 1hr'!$G$1</c:f>
              <c:strCache>
                <c:ptCount val="1"/>
                <c:pt idx="0">
                  <c:v>125L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1hr'!$G$2:$G$1154</c:f>
              <c:numCache>
                <c:formatCode>General</c:formatCode>
                <c:ptCount val="1153"/>
                <c:pt idx="0">
                  <c:v>1.9901960000000001</c:v>
                </c:pt>
                <c:pt idx="12">
                  <c:v>2.0069331666666668</c:v>
                </c:pt>
                <c:pt idx="24">
                  <c:v>2.0371531666666667</c:v>
                </c:pt>
                <c:pt idx="36">
                  <c:v>2.0584266666666671</c:v>
                </c:pt>
                <c:pt idx="48">
                  <c:v>2.0694316666666666</c:v>
                </c:pt>
                <c:pt idx="60">
                  <c:v>2.1688764166666665</c:v>
                </c:pt>
                <c:pt idx="72">
                  <c:v>2.290756</c:v>
                </c:pt>
                <c:pt idx="84">
                  <c:v>2.4126341666666673</c:v>
                </c:pt>
                <c:pt idx="96">
                  <c:v>2.5345151666666665</c:v>
                </c:pt>
                <c:pt idx="108">
                  <c:v>2.65639475</c:v>
                </c:pt>
                <c:pt idx="120">
                  <c:v>2.7589397499999992</c:v>
                </c:pt>
                <c:pt idx="132">
                  <c:v>2.9832299166666671</c:v>
                </c:pt>
                <c:pt idx="144">
                  <c:v>3.2277645000000006</c:v>
                </c:pt>
                <c:pt idx="156">
                  <c:v>3.2348737500000002</c:v>
                </c:pt>
                <c:pt idx="168">
                  <c:v>3.2408820000000005</c:v>
                </c:pt>
                <c:pt idx="180">
                  <c:v>3.2468900000000005</c:v>
                </c:pt>
                <c:pt idx="192">
                  <c:v>3.2549431666666675</c:v>
                </c:pt>
                <c:pt idx="204">
                  <c:v>3.2567200000000009</c:v>
                </c:pt>
                <c:pt idx="216">
                  <c:v>3.2567200000000009</c:v>
                </c:pt>
                <c:pt idx="228">
                  <c:v>3.2569214166666671</c:v>
                </c:pt>
                <c:pt idx="240">
                  <c:v>3.2619370833333328</c:v>
                </c:pt>
                <c:pt idx="252">
                  <c:v>3.2669719166666664</c:v>
                </c:pt>
                <c:pt idx="264">
                  <c:v>3.4410557500000003</c:v>
                </c:pt>
                <c:pt idx="276">
                  <c:v>3.708502333333334</c:v>
                </c:pt>
                <c:pt idx="288">
                  <c:v>3.7566350000000006</c:v>
                </c:pt>
                <c:pt idx="300">
                  <c:v>3.7566350000000006</c:v>
                </c:pt>
                <c:pt idx="312">
                  <c:v>3.8013308333333331</c:v>
                </c:pt>
                <c:pt idx="324">
                  <c:v>4.0299054999999999</c:v>
                </c:pt>
                <c:pt idx="336">
                  <c:v>4.2572774999999998</c:v>
                </c:pt>
                <c:pt idx="348">
                  <c:v>4.4924480000000004</c:v>
                </c:pt>
                <c:pt idx="360">
                  <c:v>4.7134810000000007</c:v>
                </c:pt>
                <c:pt idx="372">
                  <c:v>4.7635870000000002</c:v>
                </c:pt>
                <c:pt idx="384">
                  <c:v>4.7635870000000002</c:v>
                </c:pt>
                <c:pt idx="396">
                  <c:v>4.7635870000000002</c:v>
                </c:pt>
                <c:pt idx="408">
                  <c:v>4.7635870000000002</c:v>
                </c:pt>
                <c:pt idx="420">
                  <c:v>4.7698345</c:v>
                </c:pt>
                <c:pt idx="432">
                  <c:v>4.8147058333333339</c:v>
                </c:pt>
                <c:pt idx="444">
                  <c:v>4.8622314166666669</c:v>
                </c:pt>
                <c:pt idx="456">
                  <c:v>4.8716900000000001</c:v>
                </c:pt>
                <c:pt idx="468">
                  <c:v>4.8731523333333335</c:v>
                </c:pt>
                <c:pt idx="480">
                  <c:v>4.888411500000001</c:v>
                </c:pt>
                <c:pt idx="492">
                  <c:v>4.9107275000000001</c:v>
                </c:pt>
                <c:pt idx="504">
                  <c:v>4.933043500000001</c:v>
                </c:pt>
                <c:pt idx="516">
                  <c:v>4.9553595000000001</c:v>
                </c:pt>
                <c:pt idx="528">
                  <c:v>4.9736783333333339</c:v>
                </c:pt>
                <c:pt idx="540">
                  <c:v>4.9910256666666672</c:v>
                </c:pt>
                <c:pt idx="552">
                  <c:v>5.0054072499999993</c:v>
                </c:pt>
                <c:pt idx="564">
                  <c:v>5.0263542500000007</c:v>
                </c:pt>
                <c:pt idx="576">
                  <c:v>5.0273770000000004</c:v>
                </c:pt>
                <c:pt idx="588">
                  <c:v>5.0273770000000004</c:v>
                </c:pt>
                <c:pt idx="600">
                  <c:v>5.0273770000000004</c:v>
                </c:pt>
                <c:pt idx="612">
                  <c:v>5.0384865833333334</c:v>
                </c:pt>
                <c:pt idx="624">
                  <c:v>5.0967044166666673</c:v>
                </c:pt>
                <c:pt idx="636">
                  <c:v>5.1584535833333343</c:v>
                </c:pt>
                <c:pt idx="648">
                  <c:v>5.300634416666667</c:v>
                </c:pt>
                <c:pt idx="660">
                  <c:v>5.4800482500000003</c:v>
                </c:pt>
                <c:pt idx="672">
                  <c:v>5.50586325</c:v>
                </c:pt>
                <c:pt idx="684">
                  <c:v>5.5179434166666672</c:v>
                </c:pt>
                <c:pt idx="696">
                  <c:v>5.5669947499999992</c:v>
                </c:pt>
                <c:pt idx="708">
                  <c:v>5.6337331666666657</c:v>
                </c:pt>
                <c:pt idx="720">
                  <c:v>5.65656275</c:v>
                </c:pt>
                <c:pt idx="732">
                  <c:v>5.6840285833333333</c:v>
                </c:pt>
                <c:pt idx="744">
                  <c:v>5.7010427499999992</c:v>
                </c:pt>
                <c:pt idx="756">
                  <c:v>5.7154575833333334</c:v>
                </c:pt>
                <c:pt idx="768">
                  <c:v>5.7542495833333343</c:v>
                </c:pt>
                <c:pt idx="780">
                  <c:v>5.7937316666666669</c:v>
                </c:pt>
                <c:pt idx="792">
                  <c:v>5.8332138333333345</c:v>
                </c:pt>
                <c:pt idx="804">
                  <c:v>5.8726959166666672</c:v>
                </c:pt>
                <c:pt idx="816">
                  <c:v>5.9121779999999999</c:v>
                </c:pt>
                <c:pt idx="828">
                  <c:v>5.9516601666666666</c:v>
                </c:pt>
                <c:pt idx="840">
                  <c:v>5.9911422499999993</c:v>
                </c:pt>
                <c:pt idx="852">
                  <c:v>6.0306243333333329</c:v>
                </c:pt>
                <c:pt idx="864">
                  <c:v>6.0701064999999987</c:v>
                </c:pt>
                <c:pt idx="876">
                  <c:v>6.1095886666666672</c:v>
                </c:pt>
                <c:pt idx="888">
                  <c:v>6.1490707500000026</c:v>
                </c:pt>
                <c:pt idx="900">
                  <c:v>6.1809934166666674</c:v>
                </c:pt>
                <c:pt idx="912">
                  <c:v>6.1837980000000003</c:v>
                </c:pt>
                <c:pt idx="924">
                  <c:v>6.1837980000000003</c:v>
                </c:pt>
                <c:pt idx="936">
                  <c:v>6.1995509166666674</c:v>
                </c:pt>
                <c:pt idx="948">
                  <c:v>6.2058066666666667</c:v>
                </c:pt>
                <c:pt idx="960">
                  <c:v>6.2165136666666667</c:v>
                </c:pt>
                <c:pt idx="972">
                  <c:v>6.2285299166666661</c:v>
                </c:pt>
                <c:pt idx="984">
                  <c:v>6.240012666666666</c:v>
                </c:pt>
                <c:pt idx="996">
                  <c:v>6.2451892500000001</c:v>
                </c:pt>
                <c:pt idx="1008">
                  <c:v>6.2486224166666666</c:v>
                </c:pt>
                <c:pt idx="1020">
                  <c:v>6.2520555833333331</c:v>
                </c:pt>
                <c:pt idx="1032">
                  <c:v>6.2543029999999993</c:v>
                </c:pt>
                <c:pt idx="1044">
                  <c:v>6.2543519999999981</c:v>
                </c:pt>
                <c:pt idx="1056">
                  <c:v>6.2543519999999981</c:v>
                </c:pt>
                <c:pt idx="1068">
                  <c:v>6.2543519999999981</c:v>
                </c:pt>
                <c:pt idx="1080">
                  <c:v>6.2544699999999986</c:v>
                </c:pt>
                <c:pt idx="1092">
                  <c:v>6.2610678333333318</c:v>
                </c:pt>
                <c:pt idx="1104">
                  <c:v>6.2713675000000002</c:v>
                </c:pt>
                <c:pt idx="1116">
                  <c:v>6.2816672500000008</c:v>
                </c:pt>
                <c:pt idx="1128">
                  <c:v>6.2919669166666674</c:v>
                </c:pt>
                <c:pt idx="1140">
                  <c:v>6.3017764999999999</c:v>
                </c:pt>
                <c:pt idx="1152">
                  <c:v>6.3102815833333326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8A-574B-A0CB-5AA9457E4E7B}"/>
            </c:ext>
          </c:extLst>
        </c:ser>
        <c:ser>
          <c:idx val="5"/>
          <c:order val="5"/>
          <c:tx>
            <c:strRef>
              <c:f>'Food Uptake 1hr'!$H$1</c:f>
              <c:strCache>
                <c:ptCount val="1"/>
                <c:pt idx="0">
                  <c:v>125R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1hr'!$H$2:$H$1154</c:f>
              <c:numCache>
                <c:formatCode>General</c:formatCode>
                <c:ptCount val="1153"/>
                <c:pt idx="0">
                  <c:v>2.7316560000000001</c:v>
                </c:pt>
                <c:pt idx="12">
                  <c:v>2.7316560000000005</c:v>
                </c:pt>
                <c:pt idx="24">
                  <c:v>2.7316560000000005</c:v>
                </c:pt>
                <c:pt idx="36">
                  <c:v>2.7316560000000005</c:v>
                </c:pt>
                <c:pt idx="48">
                  <c:v>2.7325179166666671</c:v>
                </c:pt>
                <c:pt idx="60">
                  <c:v>2.7708735000000004</c:v>
                </c:pt>
                <c:pt idx="72">
                  <c:v>2.8292385000000002</c:v>
                </c:pt>
                <c:pt idx="84">
                  <c:v>2.8876032500000002</c:v>
                </c:pt>
                <c:pt idx="96">
                  <c:v>2.9459681666666668</c:v>
                </c:pt>
                <c:pt idx="108">
                  <c:v>2.9830211666666666</c:v>
                </c:pt>
                <c:pt idx="120">
                  <c:v>2.9867940000000002</c:v>
                </c:pt>
                <c:pt idx="132">
                  <c:v>2.9902272500000002</c:v>
                </c:pt>
                <c:pt idx="144">
                  <c:v>3.0030217500000003</c:v>
                </c:pt>
                <c:pt idx="156">
                  <c:v>3.0270543333333335</c:v>
                </c:pt>
                <c:pt idx="168">
                  <c:v>3.0510869166666672</c:v>
                </c:pt>
                <c:pt idx="180">
                  <c:v>3.0751194999999996</c:v>
                </c:pt>
                <c:pt idx="192">
                  <c:v>3.097674</c:v>
                </c:pt>
                <c:pt idx="204">
                  <c:v>3.1110802500000001</c:v>
                </c:pt>
                <c:pt idx="216">
                  <c:v>3.1334036666666663</c:v>
                </c:pt>
                <c:pt idx="228">
                  <c:v>3.1535714166666664</c:v>
                </c:pt>
                <c:pt idx="240">
                  <c:v>3.1578452499999998</c:v>
                </c:pt>
                <c:pt idx="252">
                  <c:v>3.1621367500000002</c:v>
                </c:pt>
                <c:pt idx="264">
                  <c:v>3.1664934166666665</c:v>
                </c:pt>
                <c:pt idx="276">
                  <c:v>3.1836251666666668</c:v>
                </c:pt>
                <c:pt idx="288">
                  <c:v>3.210232833333333</c:v>
                </c:pt>
                <c:pt idx="300">
                  <c:v>3.23654325</c:v>
                </c:pt>
                <c:pt idx="312">
                  <c:v>3.2461449999999989</c:v>
                </c:pt>
                <c:pt idx="324">
                  <c:v>3.2478061666666669</c:v>
                </c:pt>
                <c:pt idx="336">
                  <c:v>3.2622910000000007</c:v>
                </c:pt>
                <c:pt idx="348">
                  <c:v>3.2794574999999999</c:v>
                </c:pt>
                <c:pt idx="360">
                  <c:v>3.3014413333333334</c:v>
                </c:pt>
                <c:pt idx="372">
                  <c:v>3.3416857499999999</c:v>
                </c:pt>
                <c:pt idx="384">
                  <c:v>3.3760154166666663</c:v>
                </c:pt>
                <c:pt idx="396">
                  <c:v>3.394701</c:v>
                </c:pt>
                <c:pt idx="408">
                  <c:v>3.394701</c:v>
                </c:pt>
                <c:pt idx="420">
                  <c:v>3.394701</c:v>
                </c:pt>
                <c:pt idx="432">
                  <c:v>3.3948219166666678</c:v>
                </c:pt>
                <c:pt idx="444">
                  <c:v>3.4021874166666666</c:v>
                </c:pt>
                <c:pt idx="456">
                  <c:v>3.4130768333333332</c:v>
                </c:pt>
                <c:pt idx="468">
                  <c:v>3.4238099166666665</c:v>
                </c:pt>
                <c:pt idx="480">
                  <c:v>3.4291849166666659</c:v>
                </c:pt>
                <c:pt idx="492">
                  <c:v>3.4323747499999997</c:v>
                </c:pt>
                <c:pt idx="504">
                  <c:v>3.432544</c:v>
                </c:pt>
                <c:pt idx="516">
                  <c:v>3.432544</c:v>
                </c:pt>
                <c:pt idx="528">
                  <c:v>3.432544</c:v>
                </c:pt>
                <c:pt idx="540">
                  <c:v>3.432544</c:v>
                </c:pt>
                <c:pt idx="552">
                  <c:v>3.432544</c:v>
                </c:pt>
                <c:pt idx="564">
                  <c:v>3.432544</c:v>
                </c:pt>
                <c:pt idx="576">
                  <c:v>3.432544</c:v>
                </c:pt>
                <c:pt idx="588">
                  <c:v>3.432544</c:v>
                </c:pt>
                <c:pt idx="600">
                  <c:v>3.432544</c:v>
                </c:pt>
                <c:pt idx="612">
                  <c:v>3.432544</c:v>
                </c:pt>
                <c:pt idx="624">
                  <c:v>3.432544</c:v>
                </c:pt>
                <c:pt idx="636">
                  <c:v>3.432544</c:v>
                </c:pt>
                <c:pt idx="648">
                  <c:v>3.432544</c:v>
                </c:pt>
                <c:pt idx="660">
                  <c:v>3.432544</c:v>
                </c:pt>
                <c:pt idx="672">
                  <c:v>3.432544</c:v>
                </c:pt>
                <c:pt idx="684">
                  <c:v>3.43273275</c:v>
                </c:pt>
                <c:pt idx="696">
                  <c:v>3.4342087499999998</c:v>
                </c:pt>
                <c:pt idx="708">
                  <c:v>3.4359254999999997</c:v>
                </c:pt>
                <c:pt idx="720">
                  <c:v>3.4376421666666666</c:v>
                </c:pt>
                <c:pt idx="732">
                  <c:v>3.4397365833333331</c:v>
                </c:pt>
                <c:pt idx="744">
                  <c:v>3.4452066666666661</c:v>
                </c:pt>
                <c:pt idx="756">
                  <c:v>3.455086416666667</c:v>
                </c:pt>
                <c:pt idx="768">
                  <c:v>3.4712244166666664</c:v>
                </c:pt>
                <c:pt idx="780">
                  <c:v>3.4875315000000007</c:v>
                </c:pt>
                <c:pt idx="792">
                  <c:v>3.5038394999999993</c:v>
                </c:pt>
                <c:pt idx="804">
                  <c:v>3.5201475000000002</c:v>
                </c:pt>
                <c:pt idx="816">
                  <c:v>3.5364555000000006</c:v>
                </c:pt>
                <c:pt idx="828">
                  <c:v>3.5527634999999993</c:v>
                </c:pt>
                <c:pt idx="840">
                  <c:v>3.5689099166666662</c:v>
                </c:pt>
                <c:pt idx="852">
                  <c:v>3.574897</c:v>
                </c:pt>
                <c:pt idx="864">
                  <c:v>3.574897</c:v>
                </c:pt>
                <c:pt idx="876">
                  <c:v>3.574897</c:v>
                </c:pt>
                <c:pt idx="888">
                  <c:v>3.574897</c:v>
                </c:pt>
                <c:pt idx="900">
                  <c:v>3.574897</c:v>
                </c:pt>
                <c:pt idx="912">
                  <c:v>3.5756525833333339</c:v>
                </c:pt>
                <c:pt idx="924">
                  <c:v>3.5778298333333325</c:v>
                </c:pt>
                <c:pt idx="936">
                  <c:v>3.5781459999999989</c:v>
                </c:pt>
                <c:pt idx="948">
                  <c:v>3.5781459999999989</c:v>
                </c:pt>
                <c:pt idx="960">
                  <c:v>3.5781459999999989</c:v>
                </c:pt>
                <c:pt idx="972">
                  <c:v>3.5781459999999989</c:v>
                </c:pt>
                <c:pt idx="984">
                  <c:v>3.5794444166666666</c:v>
                </c:pt>
                <c:pt idx="996">
                  <c:v>3.5829628333333332</c:v>
                </c:pt>
                <c:pt idx="1008">
                  <c:v>3.5856746666666672</c:v>
                </c:pt>
                <c:pt idx="1020">
                  <c:v>3.5960719999999999</c:v>
                </c:pt>
                <c:pt idx="1032">
                  <c:v>3.6100219999999994</c:v>
                </c:pt>
                <c:pt idx="1044">
                  <c:v>3.6239987500000002</c:v>
                </c:pt>
                <c:pt idx="1056">
                  <c:v>3.6368731666666663</c:v>
                </c:pt>
                <c:pt idx="1068">
                  <c:v>3.6497479166666662</c:v>
                </c:pt>
                <c:pt idx="1080">
                  <c:v>3.6626224166666668</c:v>
                </c:pt>
                <c:pt idx="1092">
                  <c:v>3.675497</c:v>
                </c:pt>
                <c:pt idx="1104">
                  <c:v>3.6883717499999999</c:v>
                </c:pt>
                <c:pt idx="1116">
                  <c:v>3.7012461666666669</c:v>
                </c:pt>
                <c:pt idx="1128">
                  <c:v>3.7141209166666669</c:v>
                </c:pt>
                <c:pt idx="1140">
                  <c:v>3.7269954166666666</c:v>
                </c:pt>
                <c:pt idx="1152">
                  <c:v>3.7395358333333331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8A-574B-A0CB-5AA9457E4E7B}"/>
            </c:ext>
          </c:extLst>
        </c:ser>
        <c:ser>
          <c:idx val="6"/>
          <c:order val="6"/>
          <c:tx>
            <c:strRef>
              <c:f>'Food Uptake 1hr'!$I$1</c:f>
              <c:strCache>
                <c:ptCount val="1"/>
                <c:pt idx="0">
                  <c:v>126N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1hr'!$I$2:$I$1154</c:f>
              <c:numCache>
                <c:formatCode>General</c:formatCode>
                <c:ptCount val="1153"/>
                <c:pt idx="0">
                  <c:v>6.2141799999999998</c:v>
                </c:pt>
                <c:pt idx="12">
                  <c:v>6.2141799999999998</c:v>
                </c:pt>
                <c:pt idx="24">
                  <c:v>6.2665204166666664</c:v>
                </c:pt>
                <c:pt idx="36">
                  <c:v>6.4058298333333328</c:v>
                </c:pt>
                <c:pt idx="48">
                  <c:v>6.5119104999999999</c:v>
                </c:pt>
                <c:pt idx="60">
                  <c:v>6.5990774166666641</c:v>
                </c:pt>
                <c:pt idx="72">
                  <c:v>6.6147622499999992</c:v>
                </c:pt>
                <c:pt idx="84">
                  <c:v>6.8123793333333325</c:v>
                </c:pt>
                <c:pt idx="96">
                  <c:v>6.9871096666666661</c:v>
                </c:pt>
                <c:pt idx="108">
                  <c:v>7.1405804999999996</c:v>
                </c:pt>
                <c:pt idx="120">
                  <c:v>7.1919639999999996</c:v>
                </c:pt>
                <c:pt idx="132">
                  <c:v>7.1919639999999996</c:v>
                </c:pt>
                <c:pt idx="144">
                  <c:v>7.2601665833333335</c:v>
                </c:pt>
                <c:pt idx="156">
                  <c:v>7.3593510000000029</c:v>
                </c:pt>
                <c:pt idx="168">
                  <c:v>7.4088554166666674</c:v>
                </c:pt>
                <c:pt idx="180">
                  <c:v>7.5318021666666679</c:v>
                </c:pt>
                <c:pt idx="192">
                  <c:v>7.654341249999999</c:v>
                </c:pt>
                <c:pt idx="204">
                  <c:v>7.7989787499999998</c:v>
                </c:pt>
                <c:pt idx="216">
                  <c:v>7.9759025833333341</c:v>
                </c:pt>
                <c:pt idx="228">
                  <c:v>8.1540833333333325</c:v>
                </c:pt>
                <c:pt idx="240">
                  <c:v>8.3230381666666666</c:v>
                </c:pt>
                <c:pt idx="252">
                  <c:v>8.4780577499999978</c:v>
                </c:pt>
                <c:pt idx="264">
                  <c:v>8.6394195833333338</c:v>
                </c:pt>
                <c:pt idx="276">
                  <c:v>8.8007812500000018</c:v>
                </c:pt>
                <c:pt idx="288">
                  <c:v>8.9628419166666671</c:v>
                </c:pt>
                <c:pt idx="300">
                  <c:v>9.1786116666666668</c:v>
                </c:pt>
                <c:pt idx="312">
                  <c:v>9.4155044999999991</c:v>
                </c:pt>
                <c:pt idx="324">
                  <c:v>9.6148562500000008</c:v>
                </c:pt>
                <c:pt idx="336">
                  <c:v>9.6373940000000005</c:v>
                </c:pt>
                <c:pt idx="348">
                  <c:v>9.6373940000000005</c:v>
                </c:pt>
                <c:pt idx="360">
                  <c:v>9.6373940000000005</c:v>
                </c:pt>
                <c:pt idx="372">
                  <c:v>9.6373940000000005</c:v>
                </c:pt>
                <c:pt idx="384">
                  <c:v>9.6664619166666679</c:v>
                </c:pt>
                <c:pt idx="396">
                  <c:v>9.8743937500000012</c:v>
                </c:pt>
                <c:pt idx="408">
                  <c:v>9.9240291666666653</c:v>
                </c:pt>
                <c:pt idx="420">
                  <c:v>10.038073249999998</c:v>
                </c:pt>
                <c:pt idx="432">
                  <c:v>10.148917499999998</c:v>
                </c:pt>
                <c:pt idx="444">
                  <c:v>10.17118</c:v>
                </c:pt>
                <c:pt idx="456">
                  <c:v>10.184505000000001</c:v>
                </c:pt>
                <c:pt idx="468">
                  <c:v>10.20096</c:v>
                </c:pt>
                <c:pt idx="480">
                  <c:v>10.2259525</c:v>
                </c:pt>
                <c:pt idx="492">
                  <c:v>10.483477500000001</c:v>
                </c:pt>
                <c:pt idx="504">
                  <c:v>10.7448525</c:v>
                </c:pt>
                <c:pt idx="516">
                  <c:v>11.050532500000001</c:v>
                </c:pt>
                <c:pt idx="528">
                  <c:v>11.3117375</c:v>
                </c:pt>
                <c:pt idx="540">
                  <c:v>11.479541666666668</c:v>
                </c:pt>
                <c:pt idx="552">
                  <c:v>11.698164999999998</c:v>
                </c:pt>
                <c:pt idx="564">
                  <c:v>12.02576166666667</c:v>
                </c:pt>
                <c:pt idx="576">
                  <c:v>12.155660833333334</c:v>
                </c:pt>
                <c:pt idx="588">
                  <c:v>12.275455833333332</c:v>
                </c:pt>
                <c:pt idx="600">
                  <c:v>12.731358333333333</c:v>
                </c:pt>
                <c:pt idx="612">
                  <c:v>12.857989999999999</c:v>
                </c:pt>
                <c:pt idx="624">
                  <c:v>12.857989999999999</c:v>
                </c:pt>
                <c:pt idx="636">
                  <c:v>12.857989999999999</c:v>
                </c:pt>
                <c:pt idx="648">
                  <c:v>12.857989999999999</c:v>
                </c:pt>
                <c:pt idx="660">
                  <c:v>12.863222499999999</c:v>
                </c:pt>
                <c:pt idx="672">
                  <c:v>12.892156666666667</c:v>
                </c:pt>
                <c:pt idx="684">
                  <c:v>12.898553333333334</c:v>
                </c:pt>
                <c:pt idx="696">
                  <c:v>12.930500000000002</c:v>
                </c:pt>
                <c:pt idx="708">
                  <c:v>13.035413333333331</c:v>
                </c:pt>
                <c:pt idx="720">
                  <c:v>13.052909999999999</c:v>
                </c:pt>
                <c:pt idx="732">
                  <c:v>13.052909999999999</c:v>
                </c:pt>
                <c:pt idx="744">
                  <c:v>13.079298333333334</c:v>
                </c:pt>
                <c:pt idx="756">
                  <c:v>13.138196666666666</c:v>
                </c:pt>
                <c:pt idx="768">
                  <c:v>13.162275000000001</c:v>
                </c:pt>
                <c:pt idx="780">
                  <c:v>13.1863075</c:v>
                </c:pt>
                <c:pt idx="792">
                  <c:v>13.210340833333333</c:v>
                </c:pt>
                <c:pt idx="804">
                  <c:v>13.234396666666667</c:v>
                </c:pt>
                <c:pt idx="816">
                  <c:v>13.360859166666669</c:v>
                </c:pt>
                <c:pt idx="828">
                  <c:v>13.790995833333335</c:v>
                </c:pt>
                <c:pt idx="840">
                  <c:v>14.275299999999996</c:v>
                </c:pt>
                <c:pt idx="852">
                  <c:v>14.489333333333329</c:v>
                </c:pt>
                <c:pt idx="864">
                  <c:v>14.5223125</c:v>
                </c:pt>
                <c:pt idx="876">
                  <c:v>14.523040000000002</c:v>
                </c:pt>
                <c:pt idx="888">
                  <c:v>14.523040000000002</c:v>
                </c:pt>
                <c:pt idx="900">
                  <c:v>14.523040000000002</c:v>
                </c:pt>
                <c:pt idx="912">
                  <c:v>14.650498333333333</c:v>
                </c:pt>
                <c:pt idx="924">
                  <c:v>14.945415833333334</c:v>
                </c:pt>
                <c:pt idx="936">
                  <c:v>15.140926666666665</c:v>
                </c:pt>
                <c:pt idx="948">
                  <c:v>15.340055</c:v>
                </c:pt>
                <c:pt idx="960">
                  <c:v>15.53918166666667</c:v>
                </c:pt>
                <c:pt idx="972">
                  <c:v>15.734296666666667</c:v>
                </c:pt>
                <c:pt idx="984">
                  <c:v>15.796940000000005</c:v>
                </c:pt>
                <c:pt idx="996">
                  <c:v>15.796940000000005</c:v>
                </c:pt>
                <c:pt idx="1008">
                  <c:v>15.796940000000005</c:v>
                </c:pt>
                <c:pt idx="1020">
                  <c:v>15.796940000000005</c:v>
                </c:pt>
                <c:pt idx="1032">
                  <c:v>15.818646666666664</c:v>
                </c:pt>
                <c:pt idx="1044">
                  <c:v>15.847865833333332</c:v>
                </c:pt>
                <c:pt idx="1056">
                  <c:v>15.918113333333332</c:v>
                </c:pt>
                <c:pt idx="1068">
                  <c:v>16.030371666666667</c:v>
                </c:pt>
                <c:pt idx="1080">
                  <c:v>16.134053333333338</c:v>
                </c:pt>
                <c:pt idx="1092">
                  <c:v>16.251920000000002</c:v>
                </c:pt>
                <c:pt idx="1104">
                  <c:v>16.548792500000001</c:v>
                </c:pt>
                <c:pt idx="1116">
                  <c:v>17.154465000000002</c:v>
                </c:pt>
                <c:pt idx="1128">
                  <c:v>17.479958333333332</c:v>
                </c:pt>
                <c:pt idx="1140">
                  <c:v>17.732489166666667</c:v>
                </c:pt>
                <c:pt idx="1152">
                  <c:v>18.267436666666665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8A-574B-A0CB-5AA9457E4E7B}"/>
            </c:ext>
          </c:extLst>
        </c:ser>
        <c:ser>
          <c:idx val="7"/>
          <c:order val="7"/>
          <c:tx>
            <c:strRef>
              <c:f>'Food Uptake 1hr'!$J$1</c:f>
              <c:strCache>
                <c:ptCount val="1"/>
                <c:pt idx="0">
                  <c:v>126L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1hr'!$J$2:$J$1154</c:f>
              <c:numCache>
                <c:formatCode>General</c:formatCode>
                <c:ptCount val="1153"/>
                <c:pt idx="0">
                  <c:v>1.8777759999999999</c:v>
                </c:pt>
                <c:pt idx="12">
                  <c:v>1.9022917500000005</c:v>
                </c:pt>
                <c:pt idx="24">
                  <c:v>1.9363064999999999</c:v>
                </c:pt>
                <c:pt idx="36">
                  <c:v>1.9644566666666667</c:v>
                </c:pt>
                <c:pt idx="48">
                  <c:v>1.9736762500000002</c:v>
                </c:pt>
                <c:pt idx="60">
                  <c:v>1.9777420000000003</c:v>
                </c:pt>
                <c:pt idx="72">
                  <c:v>1.981053</c:v>
                </c:pt>
                <c:pt idx="84">
                  <c:v>1.9839942500000003</c:v>
                </c:pt>
                <c:pt idx="96">
                  <c:v>1.9861240833333333</c:v>
                </c:pt>
                <c:pt idx="108">
                  <c:v>1.9882697499999999</c:v>
                </c:pt>
                <c:pt idx="120">
                  <c:v>1.99593025</c:v>
                </c:pt>
                <c:pt idx="132">
                  <c:v>2.2482332499999997</c:v>
                </c:pt>
                <c:pt idx="144">
                  <c:v>2.4573240833333325</c:v>
                </c:pt>
                <c:pt idx="156">
                  <c:v>2.4573299999999993</c:v>
                </c:pt>
                <c:pt idx="168">
                  <c:v>2.5667810833333333</c:v>
                </c:pt>
                <c:pt idx="180">
                  <c:v>2.845138916666667</c:v>
                </c:pt>
                <c:pt idx="192">
                  <c:v>2.8974904999999995</c:v>
                </c:pt>
                <c:pt idx="204">
                  <c:v>2.8983488333333334</c:v>
                </c:pt>
                <c:pt idx="216">
                  <c:v>2.8992070833333332</c:v>
                </c:pt>
                <c:pt idx="228">
                  <c:v>2.900047666666667</c:v>
                </c:pt>
                <c:pt idx="240">
                  <c:v>2.9003160000000001</c:v>
                </c:pt>
                <c:pt idx="252">
                  <c:v>2.9003160000000001</c:v>
                </c:pt>
                <c:pt idx="264">
                  <c:v>2.9003160000000001</c:v>
                </c:pt>
                <c:pt idx="276">
                  <c:v>2.9107328333333338</c:v>
                </c:pt>
                <c:pt idx="288">
                  <c:v>3.1522649166666667</c:v>
                </c:pt>
                <c:pt idx="300">
                  <c:v>3.4353886666666664</c:v>
                </c:pt>
                <c:pt idx="312">
                  <c:v>3.474421</c:v>
                </c:pt>
                <c:pt idx="324">
                  <c:v>3.474421</c:v>
                </c:pt>
                <c:pt idx="336">
                  <c:v>3.526626166666667</c:v>
                </c:pt>
                <c:pt idx="348">
                  <c:v>3.9415873333333331</c:v>
                </c:pt>
                <c:pt idx="360">
                  <c:v>4.0914062500000004</c:v>
                </c:pt>
                <c:pt idx="372">
                  <c:v>4.2158235833333331</c:v>
                </c:pt>
                <c:pt idx="384">
                  <c:v>4.3950145000000012</c:v>
                </c:pt>
                <c:pt idx="396">
                  <c:v>4.4695841666666665</c:v>
                </c:pt>
                <c:pt idx="408">
                  <c:v>4.4727469999999991</c:v>
                </c:pt>
                <c:pt idx="420">
                  <c:v>4.4727469999999991</c:v>
                </c:pt>
                <c:pt idx="432">
                  <c:v>4.4727469999999991</c:v>
                </c:pt>
                <c:pt idx="444">
                  <c:v>4.4738601666666655</c:v>
                </c:pt>
                <c:pt idx="456">
                  <c:v>4.5040216666666675</c:v>
                </c:pt>
                <c:pt idx="468">
                  <c:v>4.5469369999999998</c:v>
                </c:pt>
                <c:pt idx="480">
                  <c:v>4.5784294166666664</c:v>
                </c:pt>
                <c:pt idx="492">
                  <c:v>4.5814846666666673</c:v>
                </c:pt>
                <c:pt idx="504">
                  <c:v>4.5832014999999995</c:v>
                </c:pt>
                <c:pt idx="516">
                  <c:v>4.5847950833333337</c:v>
                </c:pt>
                <c:pt idx="528">
                  <c:v>4.5851240000000004</c:v>
                </c:pt>
                <c:pt idx="540">
                  <c:v>4.636486333333333</c:v>
                </c:pt>
                <c:pt idx="552">
                  <c:v>4.9169677500000004</c:v>
                </c:pt>
                <c:pt idx="564">
                  <c:v>4.9948445833333333</c:v>
                </c:pt>
                <c:pt idx="576">
                  <c:v>5.2271843333333337</c:v>
                </c:pt>
                <c:pt idx="588">
                  <c:v>5.4230618333333345</c:v>
                </c:pt>
                <c:pt idx="600">
                  <c:v>5.4380310000000014</c:v>
                </c:pt>
                <c:pt idx="612">
                  <c:v>5.4380310000000014</c:v>
                </c:pt>
                <c:pt idx="624">
                  <c:v>5.4380310000000014</c:v>
                </c:pt>
                <c:pt idx="636">
                  <c:v>5.4380310000000014</c:v>
                </c:pt>
                <c:pt idx="648">
                  <c:v>5.4437030000000002</c:v>
                </c:pt>
                <c:pt idx="660">
                  <c:v>5.5207547499999992</c:v>
                </c:pt>
                <c:pt idx="672">
                  <c:v>5.6973609999999999</c:v>
                </c:pt>
                <c:pt idx="684">
                  <c:v>5.8085358333333339</c:v>
                </c:pt>
                <c:pt idx="696">
                  <c:v>5.8279037499999999</c:v>
                </c:pt>
                <c:pt idx="708">
                  <c:v>5.84642675</c:v>
                </c:pt>
                <c:pt idx="720">
                  <c:v>5.8524960000000013</c:v>
                </c:pt>
                <c:pt idx="732">
                  <c:v>5.8524960000000013</c:v>
                </c:pt>
                <c:pt idx="744">
                  <c:v>5.8524960000000013</c:v>
                </c:pt>
                <c:pt idx="756">
                  <c:v>5.8524960000000013</c:v>
                </c:pt>
                <c:pt idx="768">
                  <c:v>5.8524960000000013</c:v>
                </c:pt>
                <c:pt idx="780">
                  <c:v>5.8524960000000013</c:v>
                </c:pt>
                <c:pt idx="792">
                  <c:v>5.8542744166666667</c:v>
                </c:pt>
                <c:pt idx="804">
                  <c:v>5.8663525833333336</c:v>
                </c:pt>
                <c:pt idx="816">
                  <c:v>5.8800854166666658</c:v>
                </c:pt>
                <c:pt idx="828">
                  <c:v>5.8916697499999984</c:v>
                </c:pt>
                <c:pt idx="840">
                  <c:v>5.8929959999999992</c:v>
                </c:pt>
                <c:pt idx="852">
                  <c:v>5.8929959999999992</c:v>
                </c:pt>
                <c:pt idx="864">
                  <c:v>5.8929959999999992</c:v>
                </c:pt>
                <c:pt idx="876">
                  <c:v>5.8929959999999992</c:v>
                </c:pt>
                <c:pt idx="888">
                  <c:v>5.8929959999999992</c:v>
                </c:pt>
                <c:pt idx="900">
                  <c:v>5.8929959999999992</c:v>
                </c:pt>
                <c:pt idx="912">
                  <c:v>5.8929959999999992</c:v>
                </c:pt>
                <c:pt idx="924">
                  <c:v>5.8970865833333335</c:v>
                </c:pt>
                <c:pt idx="936">
                  <c:v>5.9793834166666668</c:v>
                </c:pt>
                <c:pt idx="948">
                  <c:v>6.1754040833333326</c:v>
                </c:pt>
                <c:pt idx="960">
                  <c:v>6.2454254166666674</c:v>
                </c:pt>
                <c:pt idx="972">
                  <c:v>6.271482333333334</c:v>
                </c:pt>
                <c:pt idx="984">
                  <c:v>6.282438</c:v>
                </c:pt>
                <c:pt idx="996">
                  <c:v>6.282438</c:v>
                </c:pt>
                <c:pt idx="1008">
                  <c:v>6.282438</c:v>
                </c:pt>
                <c:pt idx="1020">
                  <c:v>6.282438</c:v>
                </c:pt>
                <c:pt idx="1032">
                  <c:v>6.282438</c:v>
                </c:pt>
                <c:pt idx="1044">
                  <c:v>6.282438</c:v>
                </c:pt>
                <c:pt idx="1056">
                  <c:v>6.282438</c:v>
                </c:pt>
                <c:pt idx="1068">
                  <c:v>6.282438</c:v>
                </c:pt>
                <c:pt idx="1080">
                  <c:v>6.282438</c:v>
                </c:pt>
                <c:pt idx="1092">
                  <c:v>6.282438</c:v>
                </c:pt>
                <c:pt idx="1104">
                  <c:v>6.282438</c:v>
                </c:pt>
                <c:pt idx="1116">
                  <c:v>6.282438</c:v>
                </c:pt>
                <c:pt idx="1128">
                  <c:v>6.2848759999999997</c:v>
                </c:pt>
                <c:pt idx="1140">
                  <c:v>6.3053121666666669</c:v>
                </c:pt>
                <c:pt idx="1152">
                  <c:v>6.3293448333333338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E8A-574B-A0CB-5AA9457E4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699391"/>
        <c:axId val="1088264255"/>
      </c:lineChart>
      <c:catAx>
        <c:axId val="1087699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64255"/>
        <c:crosses val="autoZero"/>
        <c:auto val="1"/>
        <c:lblAlgn val="ctr"/>
        <c:lblOffset val="100"/>
        <c:noMultiLvlLbl val="0"/>
      </c:catAx>
      <c:valAx>
        <c:axId val="108826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Food</a:t>
                </a:r>
                <a:r>
                  <a:rPr lang="en-US" baseline="0"/>
                  <a:t> Uptake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9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Ldlr-/- Food Uptake (4 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'Food Uptake 1hr'!$K$1</c:f>
              <c:strCache>
                <c:ptCount val="1"/>
                <c:pt idx="0">
                  <c:v>130N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1hr'!$K$2:$K$1154</c:f>
              <c:numCache>
                <c:formatCode>General</c:formatCode>
                <c:ptCount val="1153"/>
                <c:pt idx="0">
                  <c:v>2.2008079999999999</c:v>
                </c:pt>
                <c:pt idx="12">
                  <c:v>2.2008079999999994</c:v>
                </c:pt>
                <c:pt idx="24">
                  <c:v>2.2008079999999994</c:v>
                </c:pt>
                <c:pt idx="36">
                  <c:v>2.2008079999999994</c:v>
                </c:pt>
                <c:pt idx="48">
                  <c:v>2.2008079999999994</c:v>
                </c:pt>
                <c:pt idx="60">
                  <c:v>2.2008079999999994</c:v>
                </c:pt>
                <c:pt idx="72">
                  <c:v>2.2008079999999994</c:v>
                </c:pt>
                <c:pt idx="84">
                  <c:v>2.2008079999999994</c:v>
                </c:pt>
                <c:pt idx="96">
                  <c:v>2.2008079999999994</c:v>
                </c:pt>
                <c:pt idx="108">
                  <c:v>2.2008079999999994</c:v>
                </c:pt>
                <c:pt idx="120">
                  <c:v>2.2008079999999994</c:v>
                </c:pt>
                <c:pt idx="132">
                  <c:v>2.2008079999999994</c:v>
                </c:pt>
                <c:pt idx="144">
                  <c:v>2.2008079999999994</c:v>
                </c:pt>
                <c:pt idx="156">
                  <c:v>2.2008079999999994</c:v>
                </c:pt>
                <c:pt idx="168">
                  <c:v>2.2008079999999994</c:v>
                </c:pt>
                <c:pt idx="180">
                  <c:v>2.2008079999999994</c:v>
                </c:pt>
                <c:pt idx="192">
                  <c:v>2.2008079999999994</c:v>
                </c:pt>
                <c:pt idx="204">
                  <c:v>2.4704944166666669</c:v>
                </c:pt>
                <c:pt idx="216">
                  <c:v>2.8900275833333331</c:v>
                </c:pt>
                <c:pt idx="228">
                  <c:v>2.9235994166666668</c:v>
                </c:pt>
                <c:pt idx="240">
                  <c:v>2.9654657500000003</c:v>
                </c:pt>
                <c:pt idx="252">
                  <c:v>2.9832430000000003</c:v>
                </c:pt>
                <c:pt idx="264">
                  <c:v>2.9832430000000003</c:v>
                </c:pt>
                <c:pt idx="276">
                  <c:v>2.9832430000000003</c:v>
                </c:pt>
                <c:pt idx="288">
                  <c:v>2.9832430000000003</c:v>
                </c:pt>
                <c:pt idx="300">
                  <c:v>2.9832430000000003</c:v>
                </c:pt>
                <c:pt idx="312">
                  <c:v>2.9832430000000003</c:v>
                </c:pt>
                <c:pt idx="324">
                  <c:v>2.9832430000000003</c:v>
                </c:pt>
                <c:pt idx="336">
                  <c:v>2.9832430000000003</c:v>
                </c:pt>
                <c:pt idx="348">
                  <c:v>2.9832430000000003</c:v>
                </c:pt>
                <c:pt idx="360">
                  <c:v>2.9832430000000003</c:v>
                </c:pt>
                <c:pt idx="372">
                  <c:v>2.9832430000000003</c:v>
                </c:pt>
                <c:pt idx="384">
                  <c:v>2.9832430000000003</c:v>
                </c:pt>
                <c:pt idx="396">
                  <c:v>2.9832430000000003</c:v>
                </c:pt>
                <c:pt idx="408">
                  <c:v>2.9832430000000003</c:v>
                </c:pt>
                <c:pt idx="420">
                  <c:v>2.9832430000000003</c:v>
                </c:pt>
                <c:pt idx="432">
                  <c:v>2.9832430000000003</c:v>
                </c:pt>
                <c:pt idx="444">
                  <c:v>2.9832430000000003</c:v>
                </c:pt>
                <c:pt idx="456">
                  <c:v>2.9832430000000003</c:v>
                </c:pt>
                <c:pt idx="468">
                  <c:v>3.0327248333333334</c:v>
                </c:pt>
                <c:pt idx="480">
                  <c:v>3.3176694999999992</c:v>
                </c:pt>
                <c:pt idx="492">
                  <c:v>3.4378920000000002</c:v>
                </c:pt>
                <c:pt idx="504">
                  <c:v>3.4378920000000002</c:v>
                </c:pt>
                <c:pt idx="516">
                  <c:v>3.4378920000000002</c:v>
                </c:pt>
                <c:pt idx="528">
                  <c:v>3.4380369166666669</c:v>
                </c:pt>
                <c:pt idx="540">
                  <c:v>3.5651578333333327</c:v>
                </c:pt>
                <c:pt idx="552">
                  <c:v>3.7969007499999994</c:v>
                </c:pt>
                <c:pt idx="564">
                  <c:v>4.0272059166666665</c:v>
                </c:pt>
                <c:pt idx="576">
                  <c:v>4.1176069999999996</c:v>
                </c:pt>
                <c:pt idx="588">
                  <c:v>4.1176069999999996</c:v>
                </c:pt>
                <c:pt idx="600">
                  <c:v>4.1176069999999996</c:v>
                </c:pt>
                <c:pt idx="612">
                  <c:v>4.1176069999999996</c:v>
                </c:pt>
                <c:pt idx="624">
                  <c:v>4.1191561666666665</c:v>
                </c:pt>
                <c:pt idx="636">
                  <c:v>4.148479916666667</c:v>
                </c:pt>
                <c:pt idx="648">
                  <c:v>4.1879619999999997</c:v>
                </c:pt>
                <c:pt idx="660">
                  <c:v>4.2274441666666664</c:v>
                </c:pt>
                <c:pt idx="672">
                  <c:v>4.3125891666666671</c:v>
                </c:pt>
                <c:pt idx="684">
                  <c:v>4.6502935833333332</c:v>
                </c:pt>
                <c:pt idx="696">
                  <c:v>4.8269571666666673</c:v>
                </c:pt>
                <c:pt idx="708">
                  <c:v>4.8593764166666675</c:v>
                </c:pt>
                <c:pt idx="720">
                  <c:v>4.8648090000000002</c:v>
                </c:pt>
                <c:pt idx="732">
                  <c:v>4.8648090000000002</c:v>
                </c:pt>
                <c:pt idx="744">
                  <c:v>4.8648090000000002</c:v>
                </c:pt>
                <c:pt idx="756">
                  <c:v>4.8648090000000002</c:v>
                </c:pt>
                <c:pt idx="768">
                  <c:v>4.8648090000000002</c:v>
                </c:pt>
                <c:pt idx="780">
                  <c:v>4.8648090000000002</c:v>
                </c:pt>
                <c:pt idx="792">
                  <c:v>4.8648090000000002</c:v>
                </c:pt>
                <c:pt idx="804">
                  <c:v>4.8648090000000002</c:v>
                </c:pt>
                <c:pt idx="816">
                  <c:v>4.8648090000000002</c:v>
                </c:pt>
                <c:pt idx="828">
                  <c:v>4.8648090000000002</c:v>
                </c:pt>
                <c:pt idx="840">
                  <c:v>4.8648090000000002</c:v>
                </c:pt>
                <c:pt idx="852">
                  <c:v>4.8648090000000002</c:v>
                </c:pt>
                <c:pt idx="864">
                  <c:v>4.8701951666666661</c:v>
                </c:pt>
                <c:pt idx="876">
                  <c:v>4.8785609999999995</c:v>
                </c:pt>
                <c:pt idx="888">
                  <c:v>4.8785609999999995</c:v>
                </c:pt>
                <c:pt idx="900">
                  <c:v>4.8785609999999995</c:v>
                </c:pt>
                <c:pt idx="912">
                  <c:v>4.8785609999999995</c:v>
                </c:pt>
                <c:pt idx="924">
                  <c:v>4.8785609999999995</c:v>
                </c:pt>
                <c:pt idx="936">
                  <c:v>4.8785609999999995</c:v>
                </c:pt>
                <c:pt idx="948">
                  <c:v>4.8785609999999995</c:v>
                </c:pt>
                <c:pt idx="960">
                  <c:v>4.8785609999999995</c:v>
                </c:pt>
                <c:pt idx="972">
                  <c:v>4.8785609999999995</c:v>
                </c:pt>
                <c:pt idx="984">
                  <c:v>4.8785609999999995</c:v>
                </c:pt>
                <c:pt idx="996">
                  <c:v>4.8785609999999995</c:v>
                </c:pt>
                <c:pt idx="1008">
                  <c:v>4.8785609999999995</c:v>
                </c:pt>
                <c:pt idx="1020">
                  <c:v>4.8785609999999995</c:v>
                </c:pt>
                <c:pt idx="1032">
                  <c:v>4.8785609999999995</c:v>
                </c:pt>
                <c:pt idx="1044">
                  <c:v>4.8785609999999995</c:v>
                </c:pt>
                <c:pt idx="1056">
                  <c:v>4.8785609999999995</c:v>
                </c:pt>
                <c:pt idx="1068">
                  <c:v>4.8785609999999995</c:v>
                </c:pt>
                <c:pt idx="1080">
                  <c:v>4.8785609999999995</c:v>
                </c:pt>
                <c:pt idx="1092">
                  <c:v>4.8785609999999995</c:v>
                </c:pt>
                <c:pt idx="1104">
                  <c:v>5.0374075000000005</c:v>
                </c:pt>
                <c:pt idx="1116">
                  <c:v>5.3060012500000004</c:v>
                </c:pt>
                <c:pt idx="1128">
                  <c:v>5.5065765000000004</c:v>
                </c:pt>
                <c:pt idx="1140">
                  <c:v>5.7000980000000006</c:v>
                </c:pt>
                <c:pt idx="1152">
                  <c:v>5.7534470000000004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1E-5549-AF07-E7A44CE6E40C}"/>
            </c:ext>
          </c:extLst>
        </c:ser>
        <c:ser>
          <c:idx val="1"/>
          <c:order val="1"/>
          <c:tx>
            <c:strRef>
              <c:f>'Food Uptake 1hr'!$L$1</c:f>
              <c:strCache>
                <c:ptCount val="1"/>
                <c:pt idx="0">
                  <c:v>130R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1hr'!$L$2:$L$1154</c:f>
              <c:numCache>
                <c:formatCode>General</c:formatCode>
                <c:ptCount val="1153"/>
                <c:pt idx="0">
                  <c:v>3.4174570000000002</c:v>
                </c:pt>
                <c:pt idx="12">
                  <c:v>3.4174569999999993</c:v>
                </c:pt>
                <c:pt idx="24">
                  <c:v>3.4174569999999993</c:v>
                </c:pt>
                <c:pt idx="36">
                  <c:v>3.4174569999999993</c:v>
                </c:pt>
                <c:pt idx="48">
                  <c:v>3.4175784999999994</c:v>
                </c:pt>
                <c:pt idx="60">
                  <c:v>3.4223359999999996</c:v>
                </c:pt>
                <c:pt idx="72">
                  <c:v>3.4224389999999993</c:v>
                </c:pt>
                <c:pt idx="84">
                  <c:v>3.4224389999999993</c:v>
                </c:pt>
                <c:pt idx="96">
                  <c:v>3.4224389999999993</c:v>
                </c:pt>
                <c:pt idx="108">
                  <c:v>3.4224389999999993</c:v>
                </c:pt>
                <c:pt idx="120">
                  <c:v>3.4224389999999993</c:v>
                </c:pt>
                <c:pt idx="132">
                  <c:v>3.4224389999999993</c:v>
                </c:pt>
                <c:pt idx="144">
                  <c:v>3.4224389999999993</c:v>
                </c:pt>
                <c:pt idx="156">
                  <c:v>3.4224389999999993</c:v>
                </c:pt>
                <c:pt idx="168">
                  <c:v>3.4496494166666665</c:v>
                </c:pt>
                <c:pt idx="180">
                  <c:v>3.599548083333334</c:v>
                </c:pt>
                <c:pt idx="192">
                  <c:v>3.7579000000000007</c:v>
                </c:pt>
                <c:pt idx="204">
                  <c:v>3.9986730000000001</c:v>
                </c:pt>
                <c:pt idx="216">
                  <c:v>4.2066695000000003</c:v>
                </c:pt>
                <c:pt idx="228">
                  <c:v>4.4049578333333335</c:v>
                </c:pt>
                <c:pt idx="240">
                  <c:v>4.6040780833333335</c:v>
                </c:pt>
                <c:pt idx="252">
                  <c:v>4.8032075000000001</c:v>
                </c:pt>
                <c:pt idx="264">
                  <c:v>4.9653210833333326</c:v>
                </c:pt>
                <c:pt idx="276">
                  <c:v>4.9803799999999994</c:v>
                </c:pt>
                <c:pt idx="288">
                  <c:v>4.9803799999999994</c:v>
                </c:pt>
                <c:pt idx="300">
                  <c:v>4.9890797499999993</c:v>
                </c:pt>
                <c:pt idx="312">
                  <c:v>5.03742</c:v>
                </c:pt>
                <c:pt idx="324">
                  <c:v>5.0770785833333321</c:v>
                </c:pt>
                <c:pt idx="336">
                  <c:v>5.0950035833333329</c:v>
                </c:pt>
                <c:pt idx="348">
                  <c:v>5.1246116666666675</c:v>
                </c:pt>
                <c:pt idx="360">
                  <c:v>5.1256800000000009</c:v>
                </c:pt>
                <c:pt idx="372">
                  <c:v>5.1256800000000009</c:v>
                </c:pt>
                <c:pt idx="384">
                  <c:v>5.1290500833333335</c:v>
                </c:pt>
                <c:pt idx="396">
                  <c:v>5.1435380000000004</c:v>
                </c:pt>
                <c:pt idx="408">
                  <c:v>5.1435380000000004</c:v>
                </c:pt>
                <c:pt idx="420">
                  <c:v>5.1435380000000004</c:v>
                </c:pt>
                <c:pt idx="432">
                  <c:v>5.1435380000000004</c:v>
                </c:pt>
                <c:pt idx="444">
                  <c:v>5.1435380000000004</c:v>
                </c:pt>
                <c:pt idx="456">
                  <c:v>5.1435380000000004</c:v>
                </c:pt>
                <c:pt idx="468">
                  <c:v>5.1435380000000004</c:v>
                </c:pt>
                <c:pt idx="480">
                  <c:v>5.1435380000000004</c:v>
                </c:pt>
                <c:pt idx="492">
                  <c:v>5.1435380000000004</c:v>
                </c:pt>
                <c:pt idx="504">
                  <c:v>5.1435380000000004</c:v>
                </c:pt>
                <c:pt idx="516">
                  <c:v>5.1613301666666667</c:v>
                </c:pt>
                <c:pt idx="528">
                  <c:v>5.323639833333333</c:v>
                </c:pt>
                <c:pt idx="540">
                  <c:v>5.5176172499999998</c:v>
                </c:pt>
                <c:pt idx="552">
                  <c:v>5.7123074166666674</c:v>
                </c:pt>
                <c:pt idx="564">
                  <c:v>6.0504837500000006</c:v>
                </c:pt>
                <c:pt idx="576">
                  <c:v>6.3844482499999984</c:v>
                </c:pt>
                <c:pt idx="588">
                  <c:v>6.653210666666669</c:v>
                </c:pt>
                <c:pt idx="600">
                  <c:v>6.9261521666666654</c:v>
                </c:pt>
                <c:pt idx="612">
                  <c:v>7.1770460000000007</c:v>
                </c:pt>
                <c:pt idx="624">
                  <c:v>7.2881503333333342</c:v>
                </c:pt>
                <c:pt idx="636">
                  <c:v>7.3431189166666675</c:v>
                </c:pt>
                <c:pt idx="648">
                  <c:v>7.3602092500000005</c:v>
                </c:pt>
                <c:pt idx="660">
                  <c:v>7.3626945833333339</c:v>
                </c:pt>
                <c:pt idx="672">
                  <c:v>7.374033166666667</c:v>
                </c:pt>
                <c:pt idx="684">
                  <c:v>7.3772110000000017</c:v>
                </c:pt>
                <c:pt idx="696">
                  <c:v>7.3772110000000017</c:v>
                </c:pt>
                <c:pt idx="708">
                  <c:v>7.3772110000000017</c:v>
                </c:pt>
                <c:pt idx="720">
                  <c:v>7.3772110000000017</c:v>
                </c:pt>
                <c:pt idx="732">
                  <c:v>7.4185885833333343</c:v>
                </c:pt>
                <c:pt idx="744">
                  <c:v>7.5525161666666669</c:v>
                </c:pt>
                <c:pt idx="756">
                  <c:v>7.9018804999999999</c:v>
                </c:pt>
                <c:pt idx="768">
                  <c:v>8.1229264166666635</c:v>
                </c:pt>
                <c:pt idx="780">
                  <c:v>8.169188916666668</c:v>
                </c:pt>
                <c:pt idx="792">
                  <c:v>8.1717830000000014</c:v>
                </c:pt>
                <c:pt idx="804">
                  <c:v>8.1717830000000014</c:v>
                </c:pt>
                <c:pt idx="816">
                  <c:v>8.1717830000000014</c:v>
                </c:pt>
                <c:pt idx="828">
                  <c:v>8.1717830000000014</c:v>
                </c:pt>
                <c:pt idx="840">
                  <c:v>8.1717830000000014</c:v>
                </c:pt>
                <c:pt idx="852">
                  <c:v>8.1717830000000014</c:v>
                </c:pt>
                <c:pt idx="864">
                  <c:v>8.1746823333333332</c:v>
                </c:pt>
                <c:pt idx="876">
                  <c:v>8.2372594166666673</c:v>
                </c:pt>
                <c:pt idx="888">
                  <c:v>8.3515687500000002</c:v>
                </c:pt>
                <c:pt idx="900">
                  <c:v>8.464845583333334</c:v>
                </c:pt>
                <c:pt idx="912">
                  <c:v>8.5781421666666677</c:v>
                </c:pt>
                <c:pt idx="924">
                  <c:v>8.6914385833333334</c:v>
                </c:pt>
                <c:pt idx="936">
                  <c:v>8.8047351666666671</c:v>
                </c:pt>
                <c:pt idx="948">
                  <c:v>8.8976231666666674</c:v>
                </c:pt>
                <c:pt idx="960">
                  <c:v>8.9347525000000001</c:v>
                </c:pt>
                <c:pt idx="972">
                  <c:v>8.9690666666666647</c:v>
                </c:pt>
                <c:pt idx="984">
                  <c:v>8.9925278333333356</c:v>
                </c:pt>
                <c:pt idx="996">
                  <c:v>9.0015234999999993</c:v>
                </c:pt>
                <c:pt idx="1008">
                  <c:v>9.004169000000001</c:v>
                </c:pt>
                <c:pt idx="1020">
                  <c:v>9.0557821666666651</c:v>
                </c:pt>
                <c:pt idx="1032">
                  <c:v>9.2322025833333328</c:v>
                </c:pt>
                <c:pt idx="1044">
                  <c:v>9.4141635833333339</c:v>
                </c:pt>
                <c:pt idx="1056">
                  <c:v>9.5961246666666682</c:v>
                </c:pt>
                <c:pt idx="1068">
                  <c:v>9.7706756666666674</c:v>
                </c:pt>
                <c:pt idx="1080">
                  <c:v>10.11727066666667</c:v>
                </c:pt>
                <c:pt idx="1092">
                  <c:v>10.201220000000001</c:v>
                </c:pt>
                <c:pt idx="1104">
                  <c:v>10.201220000000001</c:v>
                </c:pt>
                <c:pt idx="1116">
                  <c:v>10.201220000000001</c:v>
                </c:pt>
                <c:pt idx="1128">
                  <c:v>10.201220000000001</c:v>
                </c:pt>
                <c:pt idx="1140">
                  <c:v>10.203019166666667</c:v>
                </c:pt>
                <c:pt idx="1152">
                  <c:v>10.360183333333334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1E-5549-AF07-E7A44CE6E40C}"/>
            </c:ext>
          </c:extLst>
        </c:ser>
        <c:ser>
          <c:idx val="2"/>
          <c:order val="2"/>
          <c:tx>
            <c:strRef>
              <c:f>'Food Uptake 1hr'!$M$1</c:f>
              <c:strCache>
                <c:ptCount val="1"/>
                <c:pt idx="0">
                  <c:v>131N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1hr'!$M$2:$M$1154</c:f>
              <c:numCache>
                <c:formatCode>General</c:formatCode>
                <c:ptCount val="1153"/>
                <c:pt idx="0">
                  <c:v>3.8819840000000001</c:v>
                </c:pt>
                <c:pt idx="12">
                  <c:v>3.8819840000000005</c:v>
                </c:pt>
                <c:pt idx="24">
                  <c:v>3.8819840000000005</c:v>
                </c:pt>
                <c:pt idx="36">
                  <c:v>3.8819840000000005</c:v>
                </c:pt>
                <c:pt idx="48">
                  <c:v>3.8819840000000005</c:v>
                </c:pt>
                <c:pt idx="60">
                  <c:v>3.8875079166666668</c:v>
                </c:pt>
                <c:pt idx="72">
                  <c:v>3.9131579166666675</c:v>
                </c:pt>
                <c:pt idx="84">
                  <c:v>3.9406237500000003</c:v>
                </c:pt>
                <c:pt idx="96">
                  <c:v>3.955718249999999</c:v>
                </c:pt>
                <c:pt idx="108">
                  <c:v>3.9593810833333336</c:v>
                </c:pt>
                <c:pt idx="120">
                  <c:v>4.0626796666666669</c:v>
                </c:pt>
                <c:pt idx="132">
                  <c:v>4.1608292499999999</c:v>
                </c:pt>
                <c:pt idx="144">
                  <c:v>4.2328754166666664</c:v>
                </c:pt>
                <c:pt idx="156">
                  <c:v>4.3049730833333326</c:v>
                </c:pt>
                <c:pt idx="168">
                  <c:v>4.3752734999999996</c:v>
                </c:pt>
                <c:pt idx="180">
                  <c:v>4.3969180000000003</c:v>
                </c:pt>
                <c:pt idx="192">
                  <c:v>4.3969180000000003</c:v>
                </c:pt>
                <c:pt idx="204">
                  <c:v>4.3969180000000003</c:v>
                </c:pt>
                <c:pt idx="216">
                  <c:v>4.3969180000000003</c:v>
                </c:pt>
                <c:pt idx="228">
                  <c:v>4.3981862500000002</c:v>
                </c:pt>
                <c:pt idx="240">
                  <c:v>4.7877809166666667</c:v>
                </c:pt>
                <c:pt idx="252">
                  <c:v>5.3052398333333342</c:v>
                </c:pt>
                <c:pt idx="264">
                  <c:v>5.5000500833333339</c:v>
                </c:pt>
                <c:pt idx="276">
                  <c:v>5.8408809166666664</c:v>
                </c:pt>
                <c:pt idx="288">
                  <c:v>6.4331649999999989</c:v>
                </c:pt>
                <c:pt idx="300">
                  <c:v>6.5464999999999991</c:v>
                </c:pt>
                <c:pt idx="312">
                  <c:v>6.5464999999999991</c:v>
                </c:pt>
                <c:pt idx="324">
                  <c:v>6.5464999999999991</c:v>
                </c:pt>
                <c:pt idx="336">
                  <c:v>6.5464999999999991</c:v>
                </c:pt>
                <c:pt idx="348">
                  <c:v>6.5468274166666669</c:v>
                </c:pt>
                <c:pt idx="360">
                  <c:v>6.5529675833333334</c:v>
                </c:pt>
                <c:pt idx="372">
                  <c:v>6.5555669999999973</c:v>
                </c:pt>
                <c:pt idx="384">
                  <c:v>6.5555669999999973</c:v>
                </c:pt>
                <c:pt idx="396">
                  <c:v>6.5555669999999973</c:v>
                </c:pt>
                <c:pt idx="408">
                  <c:v>6.5555669999999973</c:v>
                </c:pt>
                <c:pt idx="420">
                  <c:v>6.5555669999999973</c:v>
                </c:pt>
                <c:pt idx="432">
                  <c:v>6.5555669999999973</c:v>
                </c:pt>
                <c:pt idx="444">
                  <c:v>6.5555669999999973</c:v>
                </c:pt>
                <c:pt idx="456">
                  <c:v>6.5555669999999973</c:v>
                </c:pt>
                <c:pt idx="468">
                  <c:v>6.5555669999999973</c:v>
                </c:pt>
                <c:pt idx="480">
                  <c:v>6.5555669999999973</c:v>
                </c:pt>
                <c:pt idx="492">
                  <c:v>6.5555669999999973</c:v>
                </c:pt>
                <c:pt idx="504">
                  <c:v>6.5555669999999973</c:v>
                </c:pt>
                <c:pt idx="516">
                  <c:v>6.5718934999999981</c:v>
                </c:pt>
                <c:pt idx="528">
                  <c:v>6.7659082499999998</c:v>
                </c:pt>
                <c:pt idx="540">
                  <c:v>7.0079508333333331</c:v>
                </c:pt>
                <c:pt idx="552">
                  <c:v>7.2499932500000002</c:v>
                </c:pt>
                <c:pt idx="564">
                  <c:v>7.4320200833333319</c:v>
                </c:pt>
                <c:pt idx="576">
                  <c:v>7.5525655833333341</c:v>
                </c:pt>
                <c:pt idx="588">
                  <c:v>7.6399510833333322</c:v>
                </c:pt>
                <c:pt idx="600">
                  <c:v>7.6436879999999983</c:v>
                </c:pt>
                <c:pt idx="612">
                  <c:v>7.6436879999999983</c:v>
                </c:pt>
                <c:pt idx="624">
                  <c:v>7.6436879999999983</c:v>
                </c:pt>
                <c:pt idx="636">
                  <c:v>7.6436879999999983</c:v>
                </c:pt>
                <c:pt idx="648">
                  <c:v>7.6436879999999983</c:v>
                </c:pt>
                <c:pt idx="660">
                  <c:v>7.6436879999999983</c:v>
                </c:pt>
                <c:pt idx="672">
                  <c:v>7.6436879999999983</c:v>
                </c:pt>
                <c:pt idx="684">
                  <c:v>7.6436879999999983</c:v>
                </c:pt>
                <c:pt idx="696">
                  <c:v>7.6478901666666674</c:v>
                </c:pt>
                <c:pt idx="708">
                  <c:v>7.7150154166666667</c:v>
                </c:pt>
                <c:pt idx="720">
                  <c:v>7.8094291666666669</c:v>
                </c:pt>
                <c:pt idx="732">
                  <c:v>7.8833952500000022</c:v>
                </c:pt>
                <c:pt idx="744">
                  <c:v>7.8889070000000023</c:v>
                </c:pt>
                <c:pt idx="756">
                  <c:v>7.8889070000000023</c:v>
                </c:pt>
                <c:pt idx="768">
                  <c:v>7.8895030833333353</c:v>
                </c:pt>
                <c:pt idx="780">
                  <c:v>7.9639003333333322</c:v>
                </c:pt>
                <c:pt idx="792">
                  <c:v>8.0880279166666664</c:v>
                </c:pt>
                <c:pt idx="804">
                  <c:v>8.2116241666666667</c:v>
                </c:pt>
                <c:pt idx="816">
                  <c:v>8.3234289999999991</c:v>
                </c:pt>
                <c:pt idx="828">
                  <c:v>8.5872605000000011</c:v>
                </c:pt>
                <c:pt idx="840">
                  <c:v>8.901258416666666</c:v>
                </c:pt>
                <c:pt idx="852">
                  <c:v>9.1870738333333328</c:v>
                </c:pt>
                <c:pt idx="864">
                  <c:v>9.2710790833333334</c:v>
                </c:pt>
                <c:pt idx="876">
                  <c:v>9.3038043333333338</c:v>
                </c:pt>
                <c:pt idx="888">
                  <c:v>9.3484363333333338</c:v>
                </c:pt>
                <c:pt idx="900">
                  <c:v>9.393068333333332</c:v>
                </c:pt>
                <c:pt idx="912">
                  <c:v>9.4252830833333316</c:v>
                </c:pt>
                <c:pt idx="924">
                  <c:v>9.4267229999999991</c:v>
                </c:pt>
                <c:pt idx="936">
                  <c:v>9.4267229999999991</c:v>
                </c:pt>
                <c:pt idx="948">
                  <c:v>9.4267229999999991</c:v>
                </c:pt>
                <c:pt idx="960">
                  <c:v>9.4267229999999991</c:v>
                </c:pt>
                <c:pt idx="972">
                  <c:v>9.4267229999999991</c:v>
                </c:pt>
                <c:pt idx="984">
                  <c:v>9.4267229999999991</c:v>
                </c:pt>
                <c:pt idx="996">
                  <c:v>9.440586500000002</c:v>
                </c:pt>
                <c:pt idx="1008">
                  <c:v>9.5130024166666676</c:v>
                </c:pt>
                <c:pt idx="1020">
                  <c:v>9.591505333333334</c:v>
                </c:pt>
                <c:pt idx="1032">
                  <c:v>9.687521499999999</c:v>
                </c:pt>
                <c:pt idx="1044">
                  <c:v>9.6973559999999992</c:v>
                </c:pt>
                <c:pt idx="1056">
                  <c:v>9.6973559999999992</c:v>
                </c:pt>
                <c:pt idx="1068">
                  <c:v>9.6973559999999992</c:v>
                </c:pt>
                <c:pt idx="1080">
                  <c:v>9.8065584999999995</c:v>
                </c:pt>
                <c:pt idx="1092">
                  <c:v>10.073120333333334</c:v>
                </c:pt>
                <c:pt idx="1104">
                  <c:v>10.340911666666669</c:v>
                </c:pt>
                <c:pt idx="1116">
                  <c:v>10.575733333333334</c:v>
                </c:pt>
                <c:pt idx="1128">
                  <c:v>10.709938333333334</c:v>
                </c:pt>
                <c:pt idx="1140">
                  <c:v>10.98706</c:v>
                </c:pt>
                <c:pt idx="1152">
                  <c:v>11.171399166666667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1E-5549-AF07-E7A44CE6E40C}"/>
            </c:ext>
          </c:extLst>
        </c:ser>
        <c:ser>
          <c:idx val="3"/>
          <c:order val="3"/>
          <c:tx>
            <c:strRef>
              <c:f>'Food Uptake 1hr'!$N$1</c:f>
              <c:strCache>
                <c:ptCount val="1"/>
                <c:pt idx="0">
                  <c:v>131L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1hr'!$N$2:$N$1154</c:f>
              <c:numCache>
                <c:formatCode>General</c:formatCode>
                <c:ptCount val="1153"/>
                <c:pt idx="0">
                  <c:v>1.964043</c:v>
                </c:pt>
                <c:pt idx="12">
                  <c:v>1.964043</c:v>
                </c:pt>
                <c:pt idx="24">
                  <c:v>1.9843930833333336</c:v>
                </c:pt>
                <c:pt idx="36">
                  <c:v>2.0403992500000001</c:v>
                </c:pt>
                <c:pt idx="48">
                  <c:v>2.0593835833333336</c:v>
                </c:pt>
                <c:pt idx="60">
                  <c:v>2.0671084166666662</c:v>
                </c:pt>
                <c:pt idx="72">
                  <c:v>2.0748331666666666</c:v>
                </c:pt>
                <c:pt idx="84">
                  <c:v>2.0822490000000005</c:v>
                </c:pt>
                <c:pt idx="96">
                  <c:v>2.1177403333333333</c:v>
                </c:pt>
                <c:pt idx="108">
                  <c:v>2.1816254166666669</c:v>
                </c:pt>
                <c:pt idx="120">
                  <c:v>2.2443588333333335</c:v>
                </c:pt>
                <c:pt idx="132">
                  <c:v>2.3164773333333337</c:v>
                </c:pt>
                <c:pt idx="144">
                  <c:v>2.396652</c:v>
                </c:pt>
                <c:pt idx="156">
                  <c:v>2.4781902499999995</c:v>
                </c:pt>
                <c:pt idx="168">
                  <c:v>2.5597293333333333</c:v>
                </c:pt>
                <c:pt idx="180">
                  <c:v>2.6412694999999995</c:v>
                </c:pt>
                <c:pt idx="192">
                  <c:v>2.7228084999999997</c:v>
                </c:pt>
                <c:pt idx="204">
                  <c:v>2.8043468333333337</c:v>
                </c:pt>
                <c:pt idx="216">
                  <c:v>2.8858860000000006</c:v>
                </c:pt>
                <c:pt idx="228">
                  <c:v>2.9592143333333336</c:v>
                </c:pt>
                <c:pt idx="240">
                  <c:v>3.0389240000000002</c:v>
                </c:pt>
                <c:pt idx="252">
                  <c:v>3.1354111666666662</c:v>
                </c:pt>
                <c:pt idx="264">
                  <c:v>3.4209134166666675</c:v>
                </c:pt>
                <c:pt idx="276">
                  <c:v>3.6126537499999998</c:v>
                </c:pt>
                <c:pt idx="288">
                  <c:v>3.6130929999999997</c:v>
                </c:pt>
                <c:pt idx="300">
                  <c:v>3.6174319999999991</c:v>
                </c:pt>
                <c:pt idx="312">
                  <c:v>3.6281869999999992</c:v>
                </c:pt>
                <c:pt idx="324">
                  <c:v>3.6281869999999992</c:v>
                </c:pt>
                <c:pt idx="336">
                  <c:v>3.6293325000000003</c:v>
                </c:pt>
                <c:pt idx="348">
                  <c:v>3.6542274999999997</c:v>
                </c:pt>
                <c:pt idx="360">
                  <c:v>3.6885603333333337</c:v>
                </c:pt>
                <c:pt idx="372">
                  <c:v>3.7228915000000007</c:v>
                </c:pt>
                <c:pt idx="384">
                  <c:v>3.7572234999999998</c:v>
                </c:pt>
                <c:pt idx="396">
                  <c:v>3.7908221666666666</c:v>
                </c:pt>
                <c:pt idx="408">
                  <c:v>3.8401174999999994</c:v>
                </c:pt>
                <c:pt idx="420">
                  <c:v>3.848320999999999</c:v>
                </c:pt>
                <c:pt idx="432">
                  <c:v>3.848320999999999</c:v>
                </c:pt>
                <c:pt idx="444">
                  <c:v>3.848320999999999</c:v>
                </c:pt>
                <c:pt idx="456">
                  <c:v>3.848320999999999</c:v>
                </c:pt>
                <c:pt idx="468">
                  <c:v>3.848320999999999</c:v>
                </c:pt>
                <c:pt idx="480">
                  <c:v>3.848320999999999</c:v>
                </c:pt>
                <c:pt idx="492">
                  <c:v>3.848320999999999</c:v>
                </c:pt>
                <c:pt idx="504">
                  <c:v>3.848320999999999</c:v>
                </c:pt>
                <c:pt idx="516">
                  <c:v>3.848320999999999</c:v>
                </c:pt>
                <c:pt idx="528">
                  <c:v>3.848320999999999</c:v>
                </c:pt>
                <c:pt idx="540">
                  <c:v>3.848320999999999</c:v>
                </c:pt>
                <c:pt idx="552">
                  <c:v>3.8599114166666664</c:v>
                </c:pt>
                <c:pt idx="564">
                  <c:v>3.8865967500000007</c:v>
                </c:pt>
                <c:pt idx="576">
                  <c:v>3.9149208333333334</c:v>
                </c:pt>
                <c:pt idx="588">
                  <c:v>3.943244833333333</c:v>
                </c:pt>
                <c:pt idx="600">
                  <c:v>3.9697896666666677</c:v>
                </c:pt>
                <c:pt idx="612">
                  <c:v>3.9756720000000008</c:v>
                </c:pt>
                <c:pt idx="624">
                  <c:v>3.9756720000000008</c:v>
                </c:pt>
                <c:pt idx="636">
                  <c:v>3.9756720000000008</c:v>
                </c:pt>
                <c:pt idx="648">
                  <c:v>3.9900895000000003</c:v>
                </c:pt>
                <c:pt idx="660">
                  <c:v>4.0391020833333338</c:v>
                </c:pt>
                <c:pt idx="672">
                  <c:v>4.1019449166666666</c:v>
                </c:pt>
                <c:pt idx="684">
                  <c:v>4.1640934166666659</c:v>
                </c:pt>
                <c:pt idx="696">
                  <c:v>4.2096306666666665</c:v>
                </c:pt>
                <c:pt idx="708">
                  <c:v>4.253423999999999</c:v>
                </c:pt>
                <c:pt idx="720">
                  <c:v>4.2611879999999989</c:v>
                </c:pt>
                <c:pt idx="732">
                  <c:v>4.2611879999999989</c:v>
                </c:pt>
                <c:pt idx="744">
                  <c:v>4.2611879999999989</c:v>
                </c:pt>
                <c:pt idx="756">
                  <c:v>4.2611879999999989</c:v>
                </c:pt>
                <c:pt idx="768">
                  <c:v>4.2611879999999989</c:v>
                </c:pt>
                <c:pt idx="780">
                  <c:v>4.2955034166666666</c:v>
                </c:pt>
                <c:pt idx="792">
                  <c:v>4.5654240000000001</c:v>
                </c:pt>
                <c:pt idx="804">
                  <c:v>4.8795642499999996</c:v>
                </c:pt>
                <c:pt idx="816">
                  <c:v>5.1672644166666659</c:v>
                </c:pt>
                <c:pt idx="828">
                  <c:v>5.2532517500000004</c:v>
                </c:pt>
                <c:pt idx="840">
                  <c:v>5.2552880000000002</c:v>
                </c:pt>
                <c:pt idx="852">
                  <c:v>5.2552880000000002</c:v>
                </c:pt>
                <c:pt idx="864">
                  <c:v>5.2552880000000002</c:v>
                </c:pt>
                <c:pt idx="876">
                  <c:v>5.2552880000000002</c:v>
                </c:pt>
                <c:pt idx="888">
                  <c:v>5.2552880000000002</c:v>
                </c:pt>
                <c:pt idx="900">
                  <c:v>5.2552880000000002</c:v>
                </c:pt>
                <c:pt idx="912">
                  <c:v>5.2580222500000007</c:v>
                </c:pt>
                <c:pt idx="924">
                  <c:v>5.2739086666666664</c:v>
                </c:pt>
                <c:pt idx="936">
                  <c:v>5.2920526666666676</c:v>
                </c:pt>
                <c:pt idx="948">
                  <c:v>5.3262155</c:v>
                </c:pt>
                <c:pt idx="960">
                  <c:v>5.3510667500000011</c:v>
                </c:pt>
                <c:pt idx="972">
                  <c:v>5.3521980000000005</c:v>
                </c:pt>
                <c:pt idx="984">
                  <c:v>5.3521980000000005</c:v>
                </c:pt>
                <c:pt idx="996">
                  <c:v>5.3521980000000005</c:v>
                </c:pt>
                <c:pt idx="1008">
                  <c:v>5.3521980000000005</c:v>
                </c:pt>
                <c:pt idx="1020">
                  <c:v>5.3521980000000005</c:v>
                </c:pt>
                <c:pt idx="1032">
                  <c:v>5.3521980000000005</c:v>
                </c:pt>
                <c:pt idx="1044">
                  <c:v>5.3521980000000005</c:v>
                </c:pt>
                <c:pt idx="1056">
                  <c:v>5.3521980000000005</c:v>
                </c:pt>
                <c:pt idx="1068">
                  <c:v>5.3521980000000005</c:v>
                </c:pt>
                <c:pt idx="1080">
                  <c:v>5.3521980000000005</c:v>
                </c:pt>
                <c:pt idx="1092">
                  <c:v>5.3521980000000005</c:v>
                </c:pt>
                <c:pt idx="1104">
                  <c:v>5.3521980000000005</c:v>
                </c:pt>
                <c:pt idx="1116">
                  <c:v>5.3521980000000005</c:v>
                </c:pt>
                <c:pt idx="1128">
                  <c:v>5.3521980000000005</c:v>
                </c:pt>
                <c:pt idx="1140">
                  <c:v>5.3521980000000005</c:v>
                </c:pt>
                <c:pt idx="1152">
                  <c:v>5.3521980000000005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1E-5549-AF07-E7A44CE6E40C}"/>
            </c:ext>
          </c:extLst>
        </c:ser>
        <c:ser>
          <c:idx val="4"/>
          <c:order val="4"/>
          <c:tx>
            <c:strRef>
              <c:f>'Food Uptake 1hr'!$O$1</c:f>
              <c:strCache>
                <c:ptCount val="1"/>
                <c:pt idx="0">
                  <c:v>132L</c:v>
                </c:pt>
              </c:strCache>
            </c:strRef>
          </c:tx>
          <c:spPr>
            <a:ln w="28575" cap="rnd">
              <a:solidFill>
                <a:srgbClr val="9411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41100"/>
              </a:solidFill>
              <a:ln w="9525">
                <a:solidFill>
                  <a:srgbClr val="941100"/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1hr'!$O$2:$O$1154</c:f>
              <c:numCache>
                <c:formatCode>General</c:formatCode>
                <c:ptCount val="1153"/>
                <c:pt idx="0">
                  <c:v>3.5035609999999999</c:v>
                </c:pt>
                <c:pt idx="12">
                  <c:v>3.5035609999999999</c:v>
                </c:pt>
                <c:pt idx="24">
                  <c:v>3.5043001666666669</c:v>
                </c:pt>
                <c:pt idx="36">
                  <c:v>3.5761920833333334</c:v>
                </c:pt>
                <c:pt idx="48">
                  <c:v>3.7333229999999999</c:v>
                </c:pt>
                <c:pt idx="60">
                  <c:v>3.9406140833333327</c:v>
                </c:pt>
                <c:pt idx="72">
                  <c:v>4.1434053333333338</c:v>
                </c:pt>
                <c:pt idx="84">
                  <c:v>4.3395109166666659</c:v>
                </c:pt>
                <c:pt idx="96">
                  <c:v>4.5321579999999999</c:v>
                </c:pt>
                <c:pt idx="108">
                  <c:v>4.8154525000000001</c:v>
                </c:pt>
                <c:pt idx="120">
                  <c:v>5.2987259166666663</c:v>
                </c:pt>
                <c:pt idx="132">
                  <c:v>5.3377789999999985</c:v>
                </c:pt>
                <c:pt idx="144">
                  <c:v>5.4115472500000008</c:v>
                </c:pt>
                <c:pt idx="156">
                  <c:v>5.5405681666666666</c:v>
                </c:pt>
                <c:pt idx="168">
                  <c:v>5.5502269999999996</c:v>
                </c:pt>
                <c:pt idx="180">
                  <c:v>5.5502269999999996</c:v>
                </c:pt>
                <c:pt idx="192">
                  <c:v>5.5502269999999996</c:v>
                </c:pt>
                <c:pt idx="204">
                  <c:v>5.5502269999999996</c:v>
                </c:pt>
                <c:pt idx="216">
                  <c:v>5.5502269999999996</c:v>
                </c:pt>
                <c:pt idx="228">
                  <c:v>5.5502269999999996</c:v>
                </c:pt>
                <c:pt idx="240">
                  <c:v>5.56713375</c:v>
                </c:pt>
                <c:pt idx="252">
                  <c:v>5.757544750000001</c:v>
                </c:pt>
                <c:pt idx="264">
                  <c:v>5.8241319999999996</c:v>
                </c:pt>
                <c:pt idx="276">
                  <c:v>6.0106912499999998</c:v>
                </c:pt>
                <c:pt idx="288">
                  <c:v>6.2996432499999999</c:v>
                </c:pt>
                <c:pt idx="300">
                  <c:v>6.4949521666666667</c:v>
                </c:pt>
                <c:pt idx="312">
                  <c:v>6.6874453333333337</c:v>
                </c:pt>
                <c:pt idx="324">
                  <c:v>6.8730559166666678</c:v>
                </c:pt>
                <c:pt idx="336">
                  <c:v>7.0704665000000011</c:v>
                </c:pt>
                <c:pt idx="348">
                  <c:v>7.2678770833333326</c:v>
                </c:pt>
                <c:pt idx="360">
                  <c:v>7.4286770000000004</c:v>
                </c:pt>
                <c:pt idx="372">
                  <c:v>7.4770582500000016</c:v>
                </c:pt>
                <c:pt idx="384">
                  <c:v>7.4820650000000013</c:v>
                </c:pt>
                <c:pt idx="396">
                  <c:v>7.4834543333333334</c:v>
                </c:pt>
                <c:pt idx="408">
                  <c:v>7.5079765833333321</c:v>
                </c:pt>
                <c:pt idx="420">
                  <c:v>7.5404727499999993</c:v>
                </c:pt>
                <c:pt idx="432">
                  <c:v>7.5604741666666682</c:v>
                </c:pt>
                <c:pt idx="444">
                  <c:v>7.6613214999999988</c:v>
                </c:pt>
                <c:pt idx="456">
                  <c:v>7.7935008333333338</c:v>
                </c:pt>
                <c:pt idx="468">
                  <c:v>7.9256802499999992</c:v>
                </c:pt>
                <c:pt idx="480">
                  <c:v>8.0292286666666666</c:v>
                </c:pt>
                <c:pt idx="492">
                  <c:v>8.1135023333333329</c:v>
                </c:pt>
                <c:pt idx="504">
                  <c:v>8.1785372500000015</c:v>
                </c:pt>
                <c:pt idx="516">
                  <c:v>8.2472019999999997</c:v>
                </c:pt>
                <c:pt idx="528">
                  <c:v>8.3062630000000013</c:v>
                </c:pt>
                <c:pt idx="540">
                  <c:v>8.3138260000000024</c:v>
                </c:pt>
                <c:pt idx="552">
                  <c:v>8.3138260000000024</c:v>
                </c:pt>
                <c:pt idx="564">
                  <c:v>8.3138260000000024</c:v>
                </c:pt>
                <c:pt idx="576">
                  <c:v>8.3138260000000024</c:v>
                </c:pt>
                <c:pt idx="588">
                  <c:v>8.3138260000000024</c:v>
                </c:pt>
                <c:pt idx="600">
                  <c:v>8.3138260000000024</c:v>
                </c:pt>
                <c:pt idx="612">
                  <c:v>8.3138260000000024</c:v>
                </c:pt>
                <c:pt idx="624">
                  <c:v>8.3138260000000024</c:v>
                </c:pt>
                <c:pt idx="636">
                  <c:v>8.3138260000000024</c:v>
                </c:pt>
                <c:pt idx="648">
                  <c:v>8.3138260000000024</c:v>
                </c:pt>
                <c:pt idx="660">
                  <c:v>8.3138260000000024</c:v>
                </c:pt>
                <c:pt idx="672">
                  <c:v>8.3138260000000024</c:v>
                </c:pt>
                <c:pt idx="684">
                  <c:v>8.3139896666666697</c:v>
                </c:pt>
                <c:pt idx="696">
                  <c:v>8.334386499999999</c:v>
                </c:pt>
                <c:pt idx="708">
                  <c:v>8.368719333333333</c:v>
                </c:pt>
                <c:pt idx="720">
                  <c:v>8.4030515000000001</c:v>
                </c:pt>
                <c:pt idx="732">
                  <c:v>8.4373834999999993</c:v>
                </c:pt>
                <c:pt idx="744">
                  <c:v>8.4717157499999995</c:v>
                </c:pt>
                <c:pt idx="756">
                  <c:v>8.5239584166666678</c:v>
                </c:pt>
                <c:pt idx="768">
                  <c:v>8.6593900000000019</c:v>
                </c:pt>
                <c:pt idx="780">
                  <c:v>8.6715250000000008</c:v>
                </c:pt>
                <c:pt idx="792">
                  <c:v>8.6715250000000008</c:v>
                </c:pt>
                <c:pt idx="804">
                  <c:v>8.6715250000000008</c:v>
                </c:pt>
                <c:pt idx="816">
                  <c:v>8.6804085000000004</c:v>
                </c:pt>
                <c:pt idx="828">
                  <c:v>8.7585057499999994</c:v>
                </c:pt>
                <c:pt idx="840">
                  <c:v>8.8238736666666657</c:v>
                </c:pt>
                <c:pt idx="852">
                  <c:v>8.8380480000000006</c:v>
                </c:pt>
                <c:pt idx="864">
                  <c:v>8.8380480000000006</c:v>
                </c:pt>
                <c:pt idx="876">
                  <c:v>8.8380480000000006</c:v>
                </c:pt>
                <c:pt idx="888">
                  <c:v>8.8380480000000006</c:v>
                </c:pt>
                <c:pt idx="900">
                  <c:v>8.8380480000000006</c:v>
                </c:pt>
                <c:pt idx="912">
                  <c:v>8.8380480000000006</c:v>
                </c:pt>
                <c:pt idx="924">
                  <c:v>8.8380480000000006</c:v>
                </c:pt>
                <c:pt idx="936">
                  <c:v>8.885136833333334</c:v>
                </c:pt>
                <c:pt idx="948">
                  <c:v>8.9942682499999993</c:v>
                </c:pt>
                <c:pt idx="960">
                  <c:v>9.1124107500000004</c:v>
                </c:pt>
                <c:pt idx="972">
                  <c:v>9.3069969999999973</c:v>
                </c:pt>
                <c:pt idx="984">
                  <c:v>9.3481429999999985</c:v>
                </c:pt>
                <c:pt idx="996">
                  <c:v>9.3481429999999985</c:v>
                </c:pt>
                <c:pt idx="1008">
                  <c:v>9.3513401666666685</c:v>
                </c:pt>
                <c:pt idx="1020">
                  <c:v>9.3777026666666661</c:v>
                </c:pt>
                <c:pt idx="1032">
                  <c:v>9.4086017500000008</c:v>
                </c:pt>
                <c:pt idx="1044">
                  <c:v>9.4395008333333354</c:v>
                </c:pt>
                <c:pt idx="1056">
                  <c:v>9.4703998333333335</c:v>
                </c:pt>
                <c:pt idx="1068">
                  <c:v>9.5012989166666664</c:v>
                </c:pt>
                <c:pt idx="1080">
                  <c:v>9.5321979166666679</c:v>
                </c:pt>
                <c:pt idx="1092">
                  <c:v>9.5630970000000008</c:v>
                </c:pt>
                <c:pt idx="1104">
                  <c:v>9.593996083333332</c:v>
                </c:pt>
                <c:pt idx="1116">
                  <c:v>9.6248950833333335</c:v>
                </c:pt>
                <c:pt idx="1128">
                  <c:v>9.6557941666666682</c:v>
                </c:pt>
                <c:pt idx="1140">
                  <c:v>9.6866931666666662</c:v>
                </c:pt>
                <c:pt idx="1152">
                  <c:v>9.7175922499999992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1E-5549-AF07-E7A44CE6E40C}"/>
            </c:ext>
          </c:extLst>
        </c:ser>
        <c:ser>
          <c:idx val="5"/>
          <c:order val="5"/>
          <c:tx>
            <c:strRef>
              <c:f>'Food Uptake 1hr'!$P$1</c:f>
              <c:strCache>
                <c:ptCount val="1"/>
                <c:pt idx="0">
                  <c:v>133N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1hr'!$P$2:$P$1154</c:f>
              <c:numCache>
                <c:formatCode>General</c:formatCode>
                <c:ptCount val="1153"/>
                <c:pt idx="0">
                  <c:v>3.6552319999999998</c:v>
                </c:pt>
                <c:pt idx="12">
                  <c:v>3.79758475</c:v>
                </c:pt>
                <c:pt idx="24">
                  <c:v>4.0491909166666664</c:v>
                </c:pt>
                <c:pt idx="36">
                  <c:v>4.3135915000000002</c:v>
                </c:pt>
                <c:pt idx="48">
                  <c:v>4.4481210000000004</c:v>
                </c:pt>
                <c:pt idx="60">
                  <c:v>4.5691090833333332</c:v>
                </c:pt>
                <c:pt idx="72">
                  <c:v>4.791023916666667</c:v>
                </c:pt>
                <c:pt idx="84">
                  <c:v>4.8955688333333329</c:v>
                </c:pt>
                <c:pt idx="96">
                  <c:v>5.0002823333333337</c:v>
                </c:pt>
                <c:pt idx="108">
                  <c:v>5.0722782500000001</c:v>
                </c:pt>
                <c:pt idx="120">
                  <c:v>5.2570625</c:v>
                </c:pt>
                <c:pt idx="132">
                  <c:v>5.5763524999999996</c:v>
                </c:pt>
                <c:pt idx="144">
                  <c:v>5.8106460833333342</c:v>
                </c:pt>
                <c:pt idx="156">
                  <c:v>5.9081452500000005</c:v>
                </c:pt>
                <c:pt idx="168">
                  <c:v>5.9726988333333333</c:v>
                </c:pt>
                <c:pt idx="180">
                  <c:v>6.0240264166666657</c:v>
                </c:pt>
                <c:pt idx="192">
                  <c:v>6.0479574999999999</c:v>
                </c:pt>
                <c:pt idx="204">
                  <c:v>6.0663327500000008</c:v>
                </c:pt>
                <c:pt idx="216">
                  <c:v>6.0941948333333329</c:v>
                </c:pt>
                <c:pt idx="228">
                  <c:v>6.1101808333333345</c:v>
                </c:pt>
                <c:pt idx="240">
                  <c:v>6.1472099166666672</c:v>
                </c:pt>
                <c:pt idx="252">
                  <c:v>6.1646679166666685</c:v>
                </c:pt>
                <c:pt idx="264">
                  <c:v>6.1647140000000009</c:v>
                </c:pt>
                <c:pt idx="276">
                  <c:v>6.1647140000000009</c:v>
                </c:pt>
                <c:pt idx="288">
                  <c:v>6.1647140000000009</c:v>
                </c:pt>
                <c:pt idx="300">
                  <c:v>6.1647140000000009</c:v>
                </c:pt>
                <c:pt idx="312">
                  <c:v>6.1647140000000009</c:v>
                </c:pt>
                <c:pt idx="324">
                  <c:v>6.1647140000000009</c:v>
                </c:pt>
                <c:pt idx="336">
                  <c:v>6.1647140000000009</c:v>
                </c:pt>
                <c:pt idx="348">
                  <c:v>6.1647140000000009</c:v>
                </c:pt>
                <c:pt idx="360">
                  <c:v>6.1647140000000009</c:v>
                </c:pt>
                <c:pt idx="372">
                  <c:v>6.1647140000000009</c:v>
                </c:pt>
                <c:pt idx="384">
                  <c:v>6.1647140000000009</c:v>
                </c:pt>
                <c:pt idx="396">
                  <c:v>6.1806970833333326</c:v>
                </c:pt>
                <c:pt idx="408">
                  <c:v>6.2248063333333334</c:v>
                </c:pt>
                <c:pt idx="420">
                  <c:v>6.2694383333333334</c:v>
                </c:pt>
                <c:pt idx="432">
                  <c:v>6.3243064166666656</c:v>
                </c:pt>
                <c:pt idx="444">
                  <c:v>6.5065617499999995</c:v>
                </c:pt>
                <c:pt idx="456">
                  <c:v>6.6990667499999992</c:v>
                </c:pt>
                <c:pt idx="468">
                  <c:v>6.7463628333333334</c:v>
                </c:pt>
                <c:pt idx="480">
                  <c:v>6.79748675</c:v>
                </c:pt>
                <c:pt idx="492">
                  <c:v>6.8489851666666679</c:v>
                </c:pt>
                <c:pt idx="504">
                  <c:v>6.900483583333334</c:v>
                </c:pt>
                <c:pt idx="516">
                  <c:v>6.9512024166666651</c:v>
                </c:pt>
                <c:pt idx="528">
                  <c:v>6.9844403333333345</c:v>
                </c:pt>
                <c:pt idx="540">
                  <c:v>7.011906166666666</c:v>
                </c:pt>
                <c:pt idx="552">
                  <c:v>7.0393719166666662</c:v>
                </c:pt>
                <c:pt idx="564">
                  <c:v>7.0674022500000007</c:v>
                </c:pt>
                <c:pt idx="576">
                  <c:v>7.138761333333334</c:v>
                </c:pt>
                <c:pt idx="588">
                  <c:v>7.4462066666666678</c:v>
                </c:pt>
                <c:pt idx="600">
                  <c:v>7.8031505000000001</c:v>
                </c:pt>
                <c:pt idx="612">
                  <c:v>7.9268531666666666</c:v>
                </c:pt>
                <c:pt idx="624">
                  <c:v>8.1041070000000008</c:v>
                </c:pt>
                <c:pt idx="636">
                  <c:v>8.2826346666666666</c:v>
                </c:pt>
                <c:pt idx="648">
                  <c:v>8.4611626666666666</c:v>
                </c:pt>
                <c:pt idx="660">
                  <c:v>8.6351527500000014</c:v>
                </c:pt>
                <c:pt idx="672">
                  <c:v>8.754806499999999</c:v>
                </c:pt>
                <c:pt idx="684">
                  <c:v>9.0578245833333337</c:v>
                </c:pt>
                <c:pt idx="696">
                  <c:v>9.2471781666666661</c:v>
                </c:pt>
                <c:pt idx="708">
                  <c:v>9.3597664999999992</c:v>
                </c:pt>
                <c:pt idx="720">
                  <c:v>9.4432282500000007</c:v>
                </c:pt>
                <c:pt idx="732">
                  <c:v>9.5335555833333334</c:v>
                </c:pt>
                <c:pt idx="744">
                  <c:v>9.5740784999999988</c:v>
                </c:pt>
                <c:pt idx="756">
                  <c:v>9.5946779166666651</c:v>
                </c:pt>
                <c:pt idx="768">
                  <c:v>9.6152773333333332</c:v>
                </c:pt>
                <c:pt idx="780">
                  <c:v>9.635599083333334</c:v>
                </c:pt>
                <c:pt idx="792">
                  <c:v>9.6550340833333319</c:v>
                </c:pt>
                <c:pt idx="804">
                  <c:v>9.6780554166666679</c:v>
                </c:pt>
                <c:pt idx="816">
                  <c:v>9.7087325833333331</c:v>
                </c:pt>
                <c:pt idx="828">
                  <c:v>9.739631666666666</c:v>
                </c:pt>
                <c:pt idx="840">
                  <c:v>9.7669213333333325</c:v>
                </c:pt>
                <c:pt idx="852">
                  <c:v>9.7797503333333324</c:v>
                </c:pt>
                <c:pt idx="864">
                  <c:v>9.7799009999999988</c:v>
                </c:pt>
                <c:pt idx="876">
                  <c:v>9.7799009999999988</c:v>
                </c:pt>
                <c:pt idx="888">
                  <c:v>9.7799009999999988</c:v>
                </c:pt>
                <c:pt idx="900">
                  <c:v>9.7799009999999988</c:v>
                </c:pt>
                <c:pt idx="912">
                  <c:v>9.8078453333333329</c:v>
                </c:pt>
                <c:pt idx="924">
                  <c:v>9.9528329166666669</c:v>
                </c:pt>
                <c:pt idx="936">
                  <c:v>10.110759999999999</c:v>
                </c:pt>
                <c:pt idx="948">
                  <c:v>10.278258333333335</c:v>
                </c:pt>
                <c:pt idx="960">
                  <c:v>10.750730000000003</c:v>
                </c:pt>
                <c:pt idx="972">
                  <c:v>11.27869416666667</c:v>
                </c:pt>
                <c:pt idx="984">
                  <c:v>11.340590000000004</c:v>
                </c:pt>
                <c:pt idx="996">
                  <c:v>11.364300833333333</c:v>
                </c:pt>
                <c:pt idx="1008">
                  <c:v>11.418583333333332</c:v>
                </c:pt>
                <c:pt idx="1020">
                  <c:v>11.463443333333332</c:v>
                </c:pt>
                <c:pt idx="1032">
                  <c:v>11.484765000000001</c:v>
                </c:pt>
                <c:pt idx="1044">
                  <c:v>11.505364999999999</c:v>
                </c:pt>
                <c:pt idx="1056">
                  <c:v>11.533007499999998</c:v>
                </c:pt>
                <c:pt idx="1068">
                  <c:v>11.608125833333334</c:v>
                </c:pt>
                <c:pt idx="1080">
                  <c:v>11.647806666666668</c:v>
                </c:pt>
                <c:pt idx="1092">
                  <c:v>11.668015000000002</c:v>
                </c:pt>
                <c:pt idx="1104">
                  <c:v>11.676849166666665</c:v>
                </c:pt>
                <c:pt idx="1116">
                  <c:v>11.692066666666667</c:v>
                </c:pt>
                <c:pt idx="1128">
                  <c:v>11.726311666666666</c:v>
                </c:pt>
                <c:pt idx="1140">
                  <c:v>11.856530833333336</c:v>
                </c:pt>
                <c:pt idx="1152">
                  <c:v>11.894900000000002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1E-5549-AF07-E7A44CE6E40C}"/>
            </c:ext>
          </c:extLst>
        </c:ser>
        <c:ser>
          <c:idx val="6"/>
          <c:order val="6"/>
          <c:tx>
            <c:strRef>
              <c:f>'Food Uptake 1hr'!$Q$1</c:f>
              <c:strCache>
                <c:ptCount val="1"/>
                <c:pt idx="0">
                  <c:v>133L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1hr'!$Q$2:$Q$1154</c:f>
              <c:numCache>
                <c:formatCode>General</c:formatCode>
                <c:ptCount val="1153"/>
                <c:pt idx="0">
                  <c:v>1.8362289999999999</c:v>
                </c:pt>
                <c:pt idx="12">
                  <c:v>1.8854332499999999</c:v>
                </c:pt>
                <c:pt idx="24">
                  <c:v>1.9679405000000001</c:v>
                </c:pt>
                <c:pt idx="36">
                  <c:v>2.0510266666666666</c:v>
                </c:pt>
                <c:pt idx="48">
                  <c:v>2.1342829999999999</c:v>
                </c:pt>
                <c:pt idx="60">
                  <c:v>2.2175389999999999</c:v>
                </c:pt>
                <c:pt idx="72">
                  <c:v>2.3007950000000004</c:v>
                </c:pt>
                <c:pt idx="84">
                  <c:v>2.3818623333333329</c:v>
                </c:pt>
                <c:pt idx="96">
                  <c:v>2.4393595833333332</c:v>
                </c:pt>
                <c:pt idx="108">
                  <c:v>2.4574139166666664</c:v>
                </c:pt>
                <c:pt idx="120">
                  <c:v>2.4908844999999995</c:v>
                </c:pt>
                <c:pt idx="132">
                  <c:v>2.5243584999999999</c:v>
                </c:pt>
                <c:pt idx="144">
                  <c:v>2.5581649166666662</c:v>
                </c:pt>
                <c:pt idx="156">
                  <c:v>2.608418083333333</c:v>
                </c:pt>
                <c:pt idx="168">
                  <c:v>2.6650663333333333</c:v>
                </c:pt>
                <c:pt idx="180">
                  <c:v>2.7217151666666664</c:v>
                </c:pt>
                <c:pt idx="192">
                  <c:v>2.7783634166666666</c:v>
                </c:pt>
                <c:pt idx="204">
                  <c:v>2.8120629166666666</c:v>
                </c:pt>
                <c:pt idx="216">
                  <c:v>2.8123369999999999</c:v>
                </c:pt>
                <c:pt idx="228">
                  <c:v>2.8123369999999999</c:v>
                </c:pt>
                <c:pt idx="240">
                  <c:v>2.8123369999999999</c:v>
                </c:pt>
                <c:pt idx="252">
                  <c:v>2.8123369999999999</c:v>
                </c:pt>
                <c:pt idx="264">
                  <c:v>2.8123369999999999</c:v>
                </c:pt>
                <c:pt idx="276">
                  <c:v>2.8232396666666664</c:v>
                </c:pt>
                <c:pt idx="288">
                  <c:v>3.0914584999999994</c:v>
                </c:pt>
                <c:pt idx="300">
                  <c:v>3.4647968333333332</c:v>
                </c:pt>
                <c:pt idx="312">
                  <c:v>3.6045519999999986</c:v>
                </c:pt>
                <c:pt idx="324">
                  <c:v>3.6045519999999986</c:v>
                </c:pt>
                <c:pt idx="336">
                  <c:v>3.6130475</c:v>
                </c:pt>
                <c:pt idx="348">
                  <c:v>3.7444816666666667</c:v>
                </c:pt>
                <c:pt idx="360">
                  <c:v>3.9161450000000002</c:v>
                </c:pt>
                <c:pt idx="372">
                  <c:v>4.0845559166666661</c:v>
                </c:pt>
                <c:pt idx="384">
                  <c:v>4.139848999999999</c:v>
                </c:pt>
                <c:pt idx="396">
                  <c:v>4.1547776666666669</c:v>
                </c:pt>
                <c:pt idx="408">
                  <c:v>4.2469211666666666</c:v>
                </c:pt>
                <c:pt idx="420">
                  <c:v>4.3048419999999998</c:v>
                </c:pt>
                <c:pt idx="432">
                  <c:v>4.3580570000000005</c:v>
                </c:pt>
                <c:pt idx="444">
                  <c:v>4.4112720833333334</c:v>
                </c:pt>
                <c:pt idx="456">
                  <c:v>4.4644870833333332</c:v>
                </c:pt>
                <c:pt idx="468">
                  <c:v>4.5159781666666676</c:v>
                </c:pt>
                <c:pt idx="480">
                  <c:v>4.5425074166666661</c:v>
                </c:pt>
                <c:pt idx="492">
                  <c:v>4.6156509166666666</c:v>
                </c:pt>
                <c:pt idx="504">
                  <c:v>4.6894274999999999</c:v>
                </c:pt>
                <c:pt idx="516">
                  <c:v>4.7163185833333321</c:v>
                </c:pt>
                <c:pt idx="528">
                  <c:v>4.7184129999999991</c:v>
                </c:pt>
                <c:pt idx="540">
                  <c:v>4.7184549999999987</c:v>
                </c:pt>
                <c:pt idx="552">
                  <c:v>4.7319345000000004</c:v>
                </c:pt>
                <c:pt idx="564">
                  <c:v>4.7474972499999986</c:v>
                </c:pt>
                <c:pt idx="576">
                  <c:v>4.7478059999999989</c:v>
                </c:pt>
                <c:pt idx="588">
                  <c:v>4.7478059999999989</c:v>
                </c:pt>
                <c:pt idx="600">
                  <c:v>4.7478059999999989</c:v>
                </c:pt>
                <c:pt idx="612">
                  <c:v>4.7478059999999989</c:v>
                </c:pt>
                <c:pt idx="624">
                  <c:v>4.7479655833333334</c:v>
                </c:pt>
                <c:pt idx="636">
                  <c:v>4.7494776666666665</c:v>
                </c:pt>
                <c:pt idx="648">
                  <c:v>4.7555769999999997</c:v>
                </c:pt>
                <c:pt idx="660">
                  <c:v>4.7641602499999998</c:v>
                </c:pt>
                <c:pt idx="672">
                  <c:v>4.8397223333333335</c:v>
                </c:pt>
                <c:pt idx="684">
                  <c:v>5.0106247499999998</c:v>
                </c:pt>
                <c:pt idx="696">
                  <c:v>5.0927159999999994</c:v>
                </c:pt>
                <c:pt idx="708">
                  <c:v>5.1837377499999997</c:v>
                </c:pt>
                <c:pt idx="720">
                  <c:v>5.339541333333333</c:v>
                </c:pt>
                <c:pt idx="732">
                  <c:v>5.3878839999999997</c:v>
                </c:pt>
                <c:pt idx="744">
                  <c:v>5.3878839999999997</c:v>
                </c:pt>
                <c:pt idx="756">
                  <c:v>5.3878839999999997</c:v>
                </c:pt>
                <c:pt idx="768">
                  <c:v>5.4352185000000004</c:v>
                </c:pt>
                <c:pt idx="780">
                  <c:v>5.5347818333333327</c:v>
                </c:pt>
                <c:pt idx="792">
                  <c:v>5.6343454999999993</c:v>
                </c:pt>
                <c:pt idx="804">
                  <c:v>5.733909333333334</c:v>
                </c:pt>
                <c:pt idx="816">
                  <c:v>5.8334724999999992</c:v>
                </c:pt>
                <c:pt idx="828">
                  <c:v>5.9330364999999992</c:v>
                </c:pt>
                <c:pt idx="840">
                  <c:v>6.0325998333333333</c:v>
                </c:pt>
                <c:pt idx="852">
                  <c:v>6.1321634999999999</c:v>
                </c:pt>
                <c:pt idx="864">
                  <c:v>6.2026357499999998</c:v>
                </c:pt>
                <c:pt idx="876">
                  <c:v>6.2053839999999996</c:v>
                </c:pt>
                <c:pt idx="888">
                  <c:v>6.2053839999999996</c:v>
                </c:pt>
                <c:pt idx="900">
                  <c:v>6.2053839999999996</c:v>
                </c:pt>
                <c:pt idx="912">
                  <c:v>6.2053839999999996</c:v>
                </c:pt>
                <c:pt idx="924">
                  <c:v>6.2062537499999992</c:v>
                </c:pt>
                <c:pt idx="936">
                  <c:v>6.2147487499999992</c:v>
                </c:pt>
                <c:pt idx="948">
                  <c:v>6.2232228333333337</c:v>
                </c:pt>
                <c:pt idx="960">
                  <c:v>6.2323160000000009</c:v>
                </c:pt>
                <c:pt idx="972">
                  <c:v>6.2408827499999999</c:v>
                </c:pt>
                <c:pt idx="984">
                  <c:v>6.2448076666666674</c:v>
                </c:pt>
                <c:pt idx="996">
                  <c:v>6.2606210000000004</c:v>
                </c:pt>
                <c:pt idx="1008">
                  <c:v>6.2746710000000006</c:v>
                </c:pt>
                <c:pt idx="1020">
                  <c:v>6.2788461666666668</c:v>
                </c:pt>
                <c:pt idx="1032">
                  <c:v>6.3341150000000006</c:v>
                </c:pt>
                <c:pt idx="1044">
                  <c:v>6.4044961666666653</c:v>
                </c:pt>
                <c:pt idx="1056">
                  <c:v>6.4748773333333327</c:v>
                </c:pt>
                <c:pt idx="1068">
                  <c:v>6.5250016666666646</c:v>
                </c:pt>
                <c:pt idx="1080">
                  <c:v>6.5270469999999969</c:v>
                </c:pt>
                <c:pt idx="1092">
                  <c:v>6.5270469999999969</c:v>
                </c:pt>
                <c:pt idx="1104">
                  <c:v>6.529921916666666</c:v>
                </c:pt>
                <c:pt idx="1116">
                  <c:v>6.5495338333333342</c:v>
                </c:pt>
                <c:pt idx="1128">
                  <c:v>6.5718498333333342</c:v>
                </c:pt>
                <c:pt idx="1140">
                  <c:v>6.5941658333333342</c:v>
                </c:pt>
                <c:pt idx="1152">
                  <c:v>6.6159886666666665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1E-5549-AF07-E7A44CE6E40C}"/>
            </c:ext>
          </c:extLst>
        </c:ser>
        <c:ser>
          <c:idx val="7"/>
          <c:order val="7"/>
          <c:tx>
            <c:strRef>
              <c:f>'Food Uptake 1hr'!$R$1</c:f>
              <c:strCache>
                <c:ptCount val="1"/>
                <c:pt idx="0">
                  <c:v>133R</c:v>
                </c:pt>
              </c:strCache>
            </c:strRef>
          </c:tx>
          <c:spPr>
            <a:ln w="28575" cap="rnd">
              <a:solidFill>
                <a:srgbClr val="FF2F9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2F92"/>
              </a:solidFill>
              <a:ln w="9525">
                <a:solidFill>
                  <a:srgbClr val="FF2F92"/>
                </a:solidFill>
              </a:ln>
              <a:effectLst/>
            </c:spPr>
          </c:marker>
          <c:cat>
            <c:numRef>
              <c:f>'Food Uptake 1hr'!$B$2:$B$1154</c:f>
              <c:numCache>
                <c:formatCode>0.00</c:formatCode>
                <c:ptCount val="1153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  <c:pt idx="132">
                  <c:v>11</c:v>
                </c:pt>
                <c:pt idx="144">
                  <c:v>12</c:v>
                </c:pt>
                <c:pt idx="156">
                  <c:v>13</c:v>
                </c:pt>
                <c:pt idx="168">
                  <c:v>14</c:v>
                </c:pt>
                <c:pt idx="180">
                  <c:v>15</c:v>
                </c:pt>
                <c:pt idx="192">
                  <c:v>16</c:v>
                </c:pt>
                <c:pt idx="204">
                  <c:v>17</c:v>
                </c:pt>
                <c:pt idx="216">
                  <c:v>18</c:v>
                </c:pt>
                <c:pt idx="228">
                  <c:v>19</c:v>
                </c:pt>
                <c:pt idx="240">
                  <c:v>20</c:v>
                </c:pt>
                <c:pt idx="252">
                  <c:v>21</c:v>
                </c:pt>
                <c:pt idx="264">
                  <c:v>22</c:v>
                </c:pt>
                <c:pt idx="276">
                  <c:v>23</c:v>
                </c:pt>
                <c:pt idx="288">
                  <c:v>0</c:v>
                </c:pt>
                <c:pt idx="300">
                  <c:v>1</c:v>
                </c:pt>
                <c:pt idx="312">
                  <c:v>2</c:v>
                </c:pt>
                <c:pt idx="324">
                  <c:v>3</c:v>
                </c:pt>
                <c:pt idx="336">
                  <c:v>4</c:v>
                </c:pt>
                <c:pt idx="348">
                  <c:v>5</c:v>
                </c:pt>
                <c:pt idx="360">
                  <c:v>6</c:v>
                </c:pt>
                <c:pt idx="372">
                  <c:v>7</c:v>
                </c:pt>
                <c:pt idx="384">
                  <c:v>8</c:v>
                </c:pt>
                <c:pt idx="396">
                  <c:v>9</c:v>
                </c:pt>
                <c:pt idx="408">
                  <c:v>10</c:v>
                </c:pt>
                <c:pt idx="420">
                  <c:v>11</c:v>
                </c:pt>
                <c:pt idx="432">
                  <c:v>12</c:v>
                </c:pt>
                <c:pt idx="444">
                  <c:v>13</c:v>
                </c:pt>
                <c:pt idx="456">
                  <c:v>14</c:v>
                </c:pt>
                <c:pt idx="468">
                  <c:v>15</c:v>
                </c:pt>
                <c:pt idx="480">
                  <c:v>16</c:v>
                </c:pt>
                <c:pt idx="492">
                  <c:v>17</c:v>
                </c:pt>
                <c:pt idx="504">
                  <c:v>18</c:v>
                </c:pt>
                <c:pt idx="516">
                  <c:v>19</c:v>
                </c:pt>
                <c:pt idx="528">
                  <c:v>20</c:v>
                </c:pt>
                <c:pt idx="540">
                  <c:v>21</c:v>
                </c:pt>
                <c:pt idx="552">
                  <c:v>22</c:v>
                </c:pt>
                <c:pt idx="564">
                  <c:v>23</c:v>
                </c:pt>
                <c:pt idx="576">
                  <c:v>0</c:v>
                </c:pt>
                <c:pt idx="588">
                  <c:v>1</c:v>
                </c:pt>
                <c:pt idx="600">
                  <c:v>2</c:v>
                </c:pt>
                <c:pt idx="612">
                  <c:v>3</c:v>
                </c:pt>
                <c:pt idx="624">
                  <c:v>4</c:v>
                </c:pt>
                <c:pt idx="636">
                  <c:v>5</c:v>
                </c:pt>
                <c:pt idx="648">
                  <c:v>6</c:v>
                </c:pt>
                <c:pt idx="660">
                  <c:v>7</c:v>
                </c:pt>
                <c:pt idx="672">
                  <c:v>8</c:v>
                </c:pt>
                <c:pt idx="684">
                  <c:v>9</c:v>
                </c:pt>
                <c:pt idx="696">
                  <c:v>10</c:v>
                </c:pt>
                <c:pt idx="708">
                  <c:v>11</c:v>
                </c:pt>
                <c:pt idx="720">
                  <c:v>12</c:v>
                </c:pt>
                <c:pt idx="732">
                  <c:v>13</c:v>
                </c:pt>
                <c:pt idx="744">
                  <c:v>14</c:v>
                </c:pt>
                <c:pt idx="756">
                  <c:v>15</c:v>
                </c:pt>
                <c:pt idx="768">
                  <c:v>16</c:v>
                </c:pt>
                <c:pt idx="780">
                  <c:v>17</c:v>
                </c:pt>
                <c:pt idx="792">
                  <c:v>18</c:v>
                </c:pt>
                <c:pt idx="804">
                  <c:v>19</c:v>
                </c:pt>
                <c:pt idx="816">
                  <c:v>20</c:v>
                </c:pt>
                <c:pt idx="828">
                  <c:v>21</c:v>
                </c:pt>
                <c:pt idx="840">
                  <c:v>22</c:v>
                </c:pt>
                <c:pt idx="852">
                  <c:v>23</c:v>
                </c:pt>
                <c:pt idx="864">
                  <c:v>0</c:v>
                </c:pt>
                <c:pt idx="876">
                  <c:v>1</c:v>
                </c:pt>
                <c:pt idx="888">
                  <c:v>2</c:v>
                </c:pt>
                <c:pt idx="900">
                  <c:v>3</c:v>
                </c:pt>
                <c:pt idx="912">
                  <c:v>4</c:v>
                </c:pt>
                <c:pt idx="924">
                  <c:v>5</c:v>
                </c:pt>
                <c:pt idx="936">
                  <c:v>6</c:v>
                </c:pt>
                <c:pt idx="948">
                  <c:v>7</c:v>
                </c:pt>
                <c:pt idx="960">
                  <c:v>8</c:v>
                </c:pt>
                <c:pt idx="972">
                  <c:v>9</c:v>
                </c:pt>
                <c:pt idx="984">
                  <c:v>10</c:v>
                </c:pt>
                <c:pt idx="996">
                  <c:v>11</c:v>
                </c:pt>
                <c:pt idx="1008">
                  <c:v>12</c:v>
                </c:pt>
                <c:pt idx="1020">
                  <c:v>13</c:v>
                </c:pt>
                <c:pt idx="1032">
                  <c:v>14</c:v>
                </c:pt>
                <c:pt idx="1044">
                  <c:v>15</c:v>
                </c:pt>
                <c:pt idx="1056">
                  <c:v>16</c:v>
                </c:pt>
                <c:pt idx="1068">
                  <c:v>17</c:v>
                </c:pt>
                <c:pt idx="1080">
                  <c:v>18</c:v>
                </c:pt>
                <c:pt idx="1092">
                  <c:v>19</c:v>
                </c:pt>
                <c:pt idx="1104">
                  <c:v>20</c:v>
                </c:pt>
                <c:pt idx="1116">
                  <c:v>21</c:v>
                </c:pt>
                <c:pt idx="1128">
                  <c:v>22</c:v>
                </c:pt>
                <c:pt idx="1140">
                  <c:v>23</c:v>
                </c:pt>
                <c:pt idx="1152">
                  <c:v>0</c:v>
                </c:pt>
              </c:numCache>
            </c:numRef>
          </c:cat>
          <c:val>
            <c:numRef>
              <c:f>'Food Uptake 1hr'!$R$2:$R$1154</c:f>
              <c:numCache>
                <c:formatCode>General</c:formatCode>
                <c:ptCount val="1153"/>
                <c:pt idx="0">
                  <c:v>4.7351919999999996</c:v>
                </c:pt>
                <c:pt idx="12">
                  <c:v>4.8886439166666671</c:v>
                </c:pt>
                <c:pt idx="24">
                  <c:v>5.2367096666666662</c:v>
                </c:pt>
                <c:pt idx="36">
                  <c:v>5.5254452500000015</c:v>
                </c:pt>
                <c:pt idx="48">
                  <c:v>5.6078719166666664</c:v>
                </c:pt>
                <c:pt idx="60">
                  <c:v>5.8743000000000007</c:v>
                </c:pt>
                <c:pt idx="72">
                  <c:v>6.1282846666666666</c:v>
                </c:pt>
                <c:pt idx="84">
                  <c:v>6.1659759999999997</c:v>
                </c:pt>
                <c:pt idx="96">
                  <c:v>6.1659759999999997</c:v>
                </c:pt>
                <c:pt idx="108">
                  <c:v>6.1742844999999997</c:v>
                </c:pt>
                <c:pt idx="120">
                  <c:v>6.1986745833333323</c:v>
                </c:pt>
                <c:pt idx="132">
                  <c:v>6.223089916666666</c:v>
                </c:pt>
                <c:pt idx="144">
                  <c:v>6.2765990833333332</c:v>
                </c:pt>
                <c:pt idx="156">
                  <c:v>6.3451881666666665</c:v>
                </c:pt>
                <c:pt idx="168">
                  <c:v>6.5767521666666653</c:v>
                </c:pt>
                <c:pt idx="180">
                  <c:v>6.8651433333333332</c:v>
                </c:pt>
                <c:pt idx="192">
                  <c:v>7.1424560833333324</c:v>
                </c:pt>
                <c:pt idx="204">
                  <c:v>7.221659083333333</c:v>
                </c:pt>
                <c:pt idx="216">
                  <c:v>7.2285174999999997</c:v>
                </c:pt>
                <c:pt idx="228">
                  <c:v>7.3311561666666663</c:v>
                </c:pt>
                <c:pt idx="240">
                  <c:v>7.5285669166666667</c:v>
                </c:pt>
                <c:pt idx="252">
                  <c:v>7.6717720833333338</c:v>
                </c:pt>
                <c:pt idx="264">
                  <c:v>7.6783800000000006</c:v>
                </c:pt>
                <c:pt idx="276">
                  <c:v>7.6783800000000006</c:v>
                </c:pt>
                <c:pt idx="288">
                  <c:v>7.6783800000000006</c:v>
                </c:pt>
                <c:pt idx="300">
                  <c:v>7.6783800000000006</c:v>
                </c:pt>
                <c:pt idx="312">
                  <c:v>7.6783800000000006</c:v>
                </c:pt>
                <c:pt idx="324">
                  <c:v>7.6783800000000006</c:v>
                </c:pt>
                <c:pt idx="336">
                  <c:v>7.6783800000000006</c:v>
                </c:pt>
                <c:pt idx="348">
                  <c:v>7.6783800000000006</c:v>
                </c:pt>
                <c:pt idx="360">
                  <c:v>7.6783800000000006</c:v>
                </c:pt>
                <c:pt idx="372">
                  <c:v>7.6783800000000006</c:v>
                </c:pt>
                <c:pt idx="384">
                  <c:v>7.6783800000000006</c:v>
                </c:pt>
                <c:pt idx="396">
                  <c:v>7.8982849999999987</c:v>
                </c:pt>
                <c:pt idx="408">
                  <c:v>8.0772767500000011</c:v>
                </c:pt>
                <c:pt idx="420">
                  <c:v>8.1236562499999998</c:v>
                </c:pt>
                <c:pt idx="432">
                  <c:v>8.1717214166666672</c:v>
                </c:pt>
                <c:pt idx="444">
                  <c:v>8.2187601666666641</c:v>
                </c:pt>
                <c:pt idx="456">
                  <c:v>8.2611038333333351</c:v>
                </c:pt>
                <c:pt idx="468">
                  <c:v>8.2820720000000012</c:v>
                </c:pt>
                <c:pt idx="480">
                  <c:v>8.3026825833333344</c:v>
                </c:pt>
                <c:pt idx="492">
                  <c:v>8.4339780833333347</c:v>
                </c:pt>
                <c:pt idx="504">
                  <c:v>8.588473333333333</c:v>
                </c:pt>
                <c:pt idx="516">
                  <c:v>8.7429684999999999</c:v>
                </c:pt>
                <c:pt idx="528">
                  <c:v>8.8975124166666664</c:v>
                </c:pt>
                <c:pt idx="540">
                  <c:v>8.9705410833333357</c:v>
                </c:pt>
                <c:pt idx="552">
                  <c:v>9.1357489166666674</c:v>
                </c:pt>
                <c:pt idx="564">
                  <c:v>9.4104070833333342</c:v>
                </c:pt>
                <c:pt idx="576">
                  <c:v>9.6681025833333329</c:v>
                </c:pt>
                <c:pt idx="588">
                  <c:v>9.7424622500000009</c:v>
                </c:pt>
                <c:pt idx="600">
                  <c:v>10.103794916666667</c:v>
                </c:pt>
                <c:pt idx="612">
                  <c:v>10.555515833333333</c:v>
                </c:pt>
                <c:pt idx="624">
                  <c:v>10.638600833333333</c:v>
                </c:pt>
                <c:pt idx="636">
                  <c:v>10.642033333333332</c:v>
                </c:pt>
                <c:pt idx="648">
                  <c:v>10.645209166666666</c:v>
                </c:pt>
                <c:pt idx="660">
                  <c:v>10.6595475</c:v>
                </c:pt>
                <c:pt idx="672">
                  <c:v>10.729127499999999</c:v>
                </c:pt>
                <c:pt idx="684">
                  <c:v>10.804658333333334</c:v>
                </c:pt>
                <c:pt idx="696">
                  <c:v>10.8802</c:v>
                </c:pt>
                <c:pt idx="708">
                  <c:v>10.931041666666665</c:v>
                </c:pt>
                <c:pt idx="720">
                  <c:v>10.978232500000003</c:v>
                </c:pt>
                <c:pt idx="732">
                  <c:v>11.032807499999999</c:v>
                </c:pt>
                <c:pt idx="744">
                  <c:v>11.133672499999998</c:v>
                </c:pt>
                <c:pt idx="756">
                  <c:v>11.240102500000001</c:v>
                </c:pt>
                <c:pt idx="768">
                  <c:v>11.346532500000002</c:v>
                </c:pt>
                <c:pt idx="780">
                  <c:v>11.4529625</c:v>
                </c:pt>
                <c:pt idx="792">
                  <c:v>11.559393333333333</c:v>
                </c:pt>
                <c:pt idx="804">
                  <c:v>11.665823333333334</c:v>
                </c:pt>
                <c:pt idx="816">
                  <c:v>11.772253333333337</c:v>
                </c:pt>
                <c:pt idx="828">
                  <c:v>11.869297500000002</c:v>
                </c:pt>
                <c:pt idx="840">
                  <c:v>11.887200000000002</c:v>
                </c:pt>
                <c:pt idx="852">
                  <c:v>11.932227499999998</c:v>
                </c:pt>
                <c:pt idx="864">
                  <c:v>12.082420000000001</c:v>
                </c:pt>
                <c:pt idx="876">
                  <c:v>12.236914166666665</c:v>
                </c:pt>
                <c:pt idx="888">
                  <c:v>12.39141</c:v>
                </c:pt>
                <c:pt idx="900">
                  <c:v>12.545904999999999</c:v>
                </c:pt>
                <c:pt idx="912">
                  <c:v>12.7004</c:v>
                </c:pt>
                <c:pt idx="924">
                  <c:v>12.821106666666665</c:v>
                </c:pt>
                <c:pt idx="936">
                  <c:v>13.114704999999999</c:v>
                </c:pt>
                <c:pt idx="948">
                  <c:v>13.464894999999999</c:v>
                </c:pt>
                <c:pt idx="960">
                  <c:v>13.694378333333335</c:v>
                </c:pt>
                <c:pt idx="972">
                  <c:v>13.699420000000002</c:v>
                </c:pt>
                <c:pt idx="984">
                  <c:v>13.699420000000002</c:v>
                </c:pt>
                <c:pt idx="996">
                  <c:v>13.699420000000002</c:v>
                </c:pt>
                <c:pt idx="1008">
                  <c:v>13.727375833333333</c:v>
                </c:pt>
                <c:pt idx="1020">
                  <c:v>13.747579999999999</c:v>
                </c:pt>
                <c:pt idx="1032">
                  <c:v>13.757879166666669</c:v>
                </c:pt>
                <c:pt idx="1044">
                  <c:v>13.772589999999999</c:v>
                </c:pt>
                <c:pt idx="1056">
                  <c:v>13.790489166666667</c:v>
                </c:pt>
                <c:pt idx="1068">
                  <c:v>13.818599999999998</c:v>
                </c:pt>
                <c:pt idx="1080">
                  <c:v>13.925451666666666</c:v>
                </c:pt>
                <c:pt idx="1092">
                  <c:v>14.076514166666668</c:v>
                </c:pt>
                <c:pt idx="1104">
                  <c:v>14.227576666666666</c:v>
                </c:pt>
                <c:pt idx="1116">
                  <c:v>14.378639166666666</c:v>
                </c:pt>
                <c:pt idx="1128">
                  <c:v>14.485314999999998</c:v>
                </c:pt>
                <c:pt idx="1140">
                  <c:v>14.534642499999997</c:v>
                </c:pt>
                <c:pt idx="1152">
                  <c:v>14.535599999999997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1E-5549-AF07-E7A44CE6E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820431"/>
        <c:axId val="1088214847"/>
      </c:lineChart>
      <c:catAx>
        <c:axId val="951820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14847"/>
        <c:crosses val="autoZero"/>
        <c:auto val="1"/>
        <c:lblAlgn val="ctr"/>
        <c:lblOffset val="100"/>
        <c:noMultiLvlLbl val="0"/>
      </c:catAx>
      <c:valAx>
        <c:axId val="108821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Food</a:t>
                </a:r>
                <a:r>
                  <a:rPr lang="en-US" baseline="0"/>
                  <a:t> Uptake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82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 and Rebinning Avg''s'!$BV$1</c:f>
              <c:strCache>
                <c:ptCount val="1"/>
                <c:pt idx="0">
                  <c:v>Apoe TRF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'Raw Data and Rebinning Avg''s'!$BV$2:$BV$37</c:f>
              <c:numCache>
                <c:formatCode>General</c:formatCode>
                <c:ptCount val="36"/>
                <c:pt idx="0">
                  <c:v>4.1977492187499994</c:v>
                </c:pt>
                <c:pt idx="1">
                  <c:v>4.2384831770833333</c:v>
                </c:pt>
                <c:pt idx="2">
                  <c:v>4.2597716302083333</c:v>
                </c:pt>
                <c:pt idx="3">
                  <c:v>4.2722242604166665</c:v>
                </c:pt>
                <c:pt idx="4">
                  <c:v>4.2816116510416666</c:v>
                </c:pt>
                <c:pt idx="5">
                  <c:v>4.2901131406249995</c:v>
                </c:pt>
                <c:pt idx="6">
                  <c:v>4.2977326041666668</c:v>
                </c:pt>
                <c:pt idx="7">
                  <c:v>4.3076197760416663</c:v>
                </c:pt>
                <c:pt idx="8">
                  <c:v>4.3223735052083336</c:v>
                </c:pt>
                <c:pt idx="9">
                  <c:v>4.3394089687499999</c:v>
                </c:pt>
                <c:pt idx="10">
                  <c:v>4.3629078072916663</c:v>
                </c:pt>
                <c:pt idx="11">
                  <c:v>4.3871711250000001</c:v>
                </c:pt>
                <c:pt idx="12">
                  <c:v>4.4079089062499994</c:v>
                </c:pt>
                <c:pt idx="13">
                  <c:v>4.4304575885416666</c:v>
                </c:pt>
                <c:pt idx="14">
                  <c:v>4.4716794427083331</c:v>
                </c:pt>
                <c:pt idx="15">
                  <c:v>4.5545532812499996</c:v>
                </c:pt>
                <c:pt idx="16">
                  <c:v>4.6734406249999996</c:v>
                </c:pt>
                <c:pt idx="17">
                  <c:v>4.7591776406249995</c:v>
                </c:pt>
                <c:pt idx="18">
                  <c:v>4.846553619791667</c:v>
                </c:pt>
                <c:pt idx="19">
                  <c:v>4.9277571718750011</c:v>
                </c:pt>
                <c:pt idx="20">
                  <c:v>5.0187500885416672</c:v>
                </c:pt>
                <c:pt idx="21">
                  <c:v>5.1169990416666664</c:v>
                </c:pt>
                <c:pt idx="22">
                  <c:v>5.1864747135416671</c:v>
                </c:pt>
                <c:pt idx="23">
                  <c:v>5.2394894010416664</c:v>
                </c:pt>
                <c:pt idx="24">
                  <c:v>5.2941162343750001</c:v>
                </c:pt>
                <c:pt idx="25">
                  <c:v>4.2384831770833333</c:v>
                </c:pt>
                <c:pt idx="26">
                  <c:v>4.2597716302083333</c:v>
                </c:pt>
                <c:pt idx="27">
                  <c:v>4.2722242604166665</c:v>
                </c:pt>
                <c:pt idx="28">
                  <c:v>4.2816116510416666</c:v>
                </c:pt>
                <c:pt idx="29">
                  <c:v>4.2901131406249995</c:v>
                </c:pt>
                <c:pt idx="30">
                  <c:v>4.2977326041666668</c:v>
                </c:pt>
                <c:pt idx="31">
                  <c:v>4.3076197760416663</c:v>
                </c:pt>
                <c:pt idx="32">
                  <c:v>4.3223735052083336</c:v>
                </c:pt>
                <c:pt idx="33">
                  <c:v>4.3394089687499999</c:v>
                </c:pt>
                <c:pt idx="34">
                  <c:v>4.3629078072916663</c:v>
                </c:pt>
                <c:pt idx="35">
                  <c:v>4.3871711250000001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56-3947-BE9D-A9E1774FE35B}"/>
            </c:ext>
          </c:extLst>
        </c:ser>
        <c:ser>
          <c:idx val="1"/>
          <c:order val="1"/>
          <c:tx>
            <c:strRef>
              <c:f>'Raw Data and Rebinning Avg''s'!$BW$1</c:f>
              <c:strCache>
                <c:ptCount val="1"/>
                <c:pt idx="0">
                  <c:v>Apoe ad lib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'Raw Data and Rebinning Avg''s'!$BW$2:$BW$37</c:f>
              <c:numCache>
                <c:formatCode>General</c:formatCode>
                <c:ptCount val="36"/>
                <c:pt idx="0">
                  <c:v>5.4874288020833335</c:v>
                </c:pt>
                <c:pt idx="1">
                  <c:v>5.545074989583334</c:v>
                </c:pt>
                <c:pt idx="2">
                  <c:v>5.6048969687500003</c:v>
                </c:pt>
                <c:pt idx="3">
                  <c:v>5.6541460052083332</c:v>
                </c:pt>
                <c:pt idx="4">
                  <c:v>5.6937087083333342</c:v>
                </c:pt>
                <c:pt idx="5">
                  <c:v>5.7724128125000007</c:v>
                </c:pt>
                <c:pt idx="6">
                  <c:v>5.8370256718750007</c:v>
                </c:pt>
                <c:pt idx="7">
                  <c:v>5.9156926614583334</c:v>
                </c:pt>
                <c:pt idx="8">
                  <c:v>5.9851242239583344</c:v>
                </c:pt>
                <c:pt idx="9">
                  <c:v>6.0462970208333333</c:v>
                </c:pt>
                <c:pt idx="10">
                  <c:v>6.0716959062500004</c:v>
                </c:pt>
                <c:pt idx="11">
                  <c:v>6.1217524374999996</c:v>
                </c:pt>
                <c:pt idx="12">
                  <c:v>6.168297197916667</c:v>
                </c:pt>
                <c:pt idx="13">
                  <c:v>6.1840465520833341</c:v>
                </c:pt>
                <c:pt idx="14">
                  <c:v>6.2052720208333323</c:v>
                </c:pt>
                <c:pt idx="15">
                  <c:v>6.2446063177083335</c:v>
                </c:pt>
                <c:pt idx="16">
                  <c:v>6.2724030468749996</c:v>
                </c:pt>
                <c:pt idx="17">
                  <c:v>6.3131355312500004</c:v>
                </c:pt>
                <c:pt idx="18">
                  <c:v>6.3558829479166672</c:v>
                </c:pt>
                <c:pt idx="19">
                  <c:v>6.4032731510416667</c:v>
                </c:pt>
                <c:pt idx="20">
                  <c:v>6.4641730104166664</c:v>
                </c:pt>
                <c:pt idx="21">
                  <c:v>6.559624109375001</c:v>
                </c:pt>
                <c:pt idx="22">
                  <c:v>6.6687274427083327</c:v>
                </c:pt>
                <c:pt idx="23">
                  <c:v>6.7585981250000007</c:v>
                </c:pt>
                <c:pt idx="24">
                  <c:v>6.8519782343750002</c:v>
                </c:pt>
                <c:pt idx="25">
                  <c:v>5.545074989583334</c:v>
                </c:pt>
                <c:pt idx="26">
                  <c:v>5.6048969687500003</c:v>
                </c:pt>
                <c:pt idx="27">
                  <c:v>5.6541460052083332</c:v>
                </c:pt>
                <c:pt idx="28">
                  <c:v>5.6937087083333342</c:v>
                </c:pt>
                <c:pt idx="29">
                  <c:v>5.7724128125000007</c:v>
                </c:pt>
                <c:pt idx="30">
                  <c:v>5.8370256718750007</c:v>
                </c:pt>
                <c:pt idx="31">
                  <c:v>5.9156926614583334</c:v>
                </c:pt>
                <c:pt idx="32">
                  <c:v>5.9851242239583344</c:v>
                </c:pt>
                <c:pt idx="33">
                  <c:v>6.0462970208333333</c:v>
                </c:pt>
                <c:pt idx="34">
                  <c:v>6.0716959062500004</c:v>
                </c:pt>
                <c:pt idx="35">
                  <c:v>6.1217524374999996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56-3947-BE9D-A9E1774FE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712911"/>
        <c:axId val="989394079"/>
      </c:lineChart>
      <c:catAx>
        <c:axId val="940712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94079"/>
        <c:crosses val="autoZero"/>
        <c:auto val="1"/>
        <c:lblAlgn val="ctr"/>
        <c:lblOffset val="100"/>
        <c:noMultiLvlLbl val="0"/>
      </c:catAx>
      <c:valAx>
        <c:axId val="98939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71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 and Rebinning Avg''s'!$BX$1</c:f>
              <c:strCache>
                <c:ptCount val="1"/>
                <c:pt idx="0">
                  <c:v>Ldlr TRF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'Raw Data and Rebinning Avg''s'!$BX$2:$BX$37</c:f>
              <c:numCache>
                <c:formatCode>General</c:formatCode>
                <c:ptCount val="36"/>
                <c:pt idx="0">
                  <c:v>4.9384349531250002</c:v>
                </c:pt>
                <c:pt idx="1">
                  <c:v>4.9768420677083336</c:v>
                </c:pt>
                <c:pt idx="2">
                  <c:v>5.0106926874999997</c:v>
                </c:pt>
                <c:pt idx="3">
                  <c:v>5.0425895468749999</c:v>
                </c:pt>
                <c:pt idx="4">
                  <c:v>5.0612817604166667</c:v>
                </c:pt>
                <c:pt idx="5">
                  <c:v>5.0792662499999999</c:v>
                </c:pt>
                <c:pt idx="6">
                  <c:v>5.0966068489583334</c:v>
                </c:pt>
                <c:pt idx="7">
                  <c:v>5.1147220468749994</c:v>
                </c:pt>
                <c:pt idx="8">
                  <c:v>5.1340717291666662</c:v>
                </c:pt>
                <c:pt idx="9">
                  <c:v>5.1687036458333324</c:v>
                </c:pt>
                <c:pt idx="10">
                  <c:v>5.1977781145833326</c:v>
                </c:pt>
                <c:pt idx="11">
                  <c:v>5.2193199010416667</c:v>
                </c:pt>
                <c:pt idx="12">
                  <c:v>5.2402506874999997</c:v>
                </c:pt>
                <c:pt idx="13">
                  <c:v>5.2651941666666664</c:v>
                </c:pt>
                <c:pt idx="14">
                  <c:v>5.3021270312500004</c:v>
                </c:pt>
                <c:pt idx="15">
                  <c:v>5.354859843749999</c:v>
                </c:pt>
                <c:pt idx="16">
                  <c:v>5.4128872604166656</c:v>
                </c:pt>
                <c:pt idx="17">
                  <c:v>5.4779964114583333</c:v>
                </c:pt>
                <c:pt idx="18">
                  <c:v>5.5755906979166667</c:v>
                </c:pt>
                <c:pt idx="19">
                  <c:v>5.6461421406249999</c:v>
                </c:pt>
                <c:pt idx="20">
                  <c:v>5.7644485833333334</c:v>
                </c:pt>
                <c:pt idx="21">
                  <c:v>5.9049003281250005</c:v>
                </c:pt>
                <c:pt idx="22">
                  <c:v>6.0282319791666676</c:v>
                </c:pt>
                <c:pt idx="23">
                  <c:v>6.1584245729166671</c:v>
                </c:pt>
                <c:pt idx="24">
                  <c:v>6.2617434218749999</c:v>
                </c:pt>
                <c:pt idx="25">
                  <c:v>4.9768420677083336</c:v>
                </c:pt>
                <c:pt idx="26">
                  <c:v>5.0106926874999997</c:v>
                </c:pt>
                <c:pt idx="27">
                  <c:v>5.0425895468749999</c:v>
                </c:pt>
                <c:pt idx="28">
                  <c:v>5.0612817604166667</c:v>
                </c:pt>
                <c:pt idx="29">
                  <c:v>5.0792662499999999</c:v>
                </c:pt>
                <c:pt idx="30">
                  <c:v>5.0966068489583334</c:v>
                </c:pt>
                <c:pt idx="31">
                  <c:v>5.1147220468749994</c:v>
                </c:pt>
                <c:pt idx="32">
                  <c:v>5.1340717291666662</c:v>
                </c:pt>
                <c:pt idx="33">
                  <c:v>5.1687036458333324</c:v>
                </c:pt>
                <c:pt idx="34">
                  <c:v>5.1977781145833326</c:v>
                </c:pt>
                <c:pt idx="35">
                  <c:v>5.2193199010416667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34-1541-B5A4-BDAF4E01AE76}"/>
            </c:ext>
          </c:extLst>
        </c:ser>
        <c:ser>
          <c:idx val="1"/>
          <c:order val="1"/>
          <c:tx>
            <c:strRef>
              <c:f>'Raw Data and Rebinning Avg''s'!$BY$1</c:f>
              <c:strCache>
                <c:ptCount val="1"/>
                <c:pt idx="0">
                  <c:v>Ldlr ad lib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'Raw Data and Rebinning Avg''s'!$BY$2:$BY$37</c:f>
              <c:numCache>
                <c:formatCode>General</c:formatCode>
                <c:ptCount val="36"/>
                <c:pt idx="0">
                  <c:v>6.4834944010416677</c:v>
                </c:pt>
                <c:pt idx="1">
                  <c:v>6.5742883750000001</c:v>
                </c:pt>
                <c:pt idx="2">
                  <c:v>6.6922845625000003</c:v>
                </c:pt>
                <c:pt idx="3">
                  <c:v>6.7937622760416669</c:v>
                </c:pt>
                <c:pt idx="4">
                  <c:v>6.8628989791666672</c:v>
                </c:pt>
                <c:pt idx="5">
                  <c:v>6.9539517447916666</c:v>
                </c:pt>
                <c:pt idx="6">
                  <c:v>7.065784395833334</c:v>
                </c:pt>
                <c:pt idx="7">
                  <c:v>7.1575598229166673</c:v>
                </c:pt>
                <c:pt idx="8">
                  <c:v>7.2518813333333334</c:v>
                </c:pt>
                <c:pt idx="9">
                  <c:v>7.3718584062500003</c:v>
                </c:pt>
                <c:pt idx="10">
                  <c:v>7.4681106041666663</c:v>
                </c:pt>
                <c:pt idx="11">
                  <c:v>7.5259837083333334</c:v>
                </c:pt>
                <c:pt idx="12">
                  <c:v>7.5879712656250007</c:v>
                </c:pt>
                <c:pt idx="13">
                  <c:v>7.6537148697916653</c:v>
                </c:pt>
                <c:pt idx="14">
                  <c:v>7.7209759062500005</c:v>
                </c:pt>
                <c:pt idx="15">
                  <c:v>7.7812362499999992</c:v>
                </c:pt>
                <c:pt idx="16">
                  <c:v>7.8447563489583336</c:v>
                </c:pt>
                <c:pt idx="17">
                  <c:v>7.9006433177083331</c:v>
                </c:pt>
                <c:pt idx="18">
                  <c:v>7.9496874479166664</c:v>
                </c:pt>
                <c:pt idx="19">
                  <c:v>8.0028486718750003</c:v>
                </c:pt>
                <c:pt idx="20">
                  <c:v>8.0615679427083347</c:v>
                </c:pt>
                <c:pt idx="21">
                  <c:v>8.1229160104166667</c:v>
                </c:pt>
                <c:pt idx="22">
                  <c:v>8.1656443645833328</c:v>
                </c:pt>
                <c:pt idx="23">
                  <c:v>8.2231486979166668</c:v>
                </c:pt>
                <c:pt idx="24">
                  <c:v>8.2981110833333336</c:v>
                </c:pt>
                <c:pt idx="25">
                  <c:v>6.5742883750000001</c:v>
                </c:pt>
                <c:pt idx="26">
                  <c:v>6.6922845625000003</c:v>
                </c:pt>
                <c:pt idx="27">
                  <c:v>6.7937622760416669</c:v>
                </c:pt>
                <c:pt idx="28">
                  <c:v>6.8628989791666672</c:v>
                </c:pt>
                <c:pt idx="29">
                  <c:v>6.9539517447916666</c:v>
                </c:pt>
                <c:pt idx="30">
                  <c:v>7.065784395833334</c:v>
                </c:pt>
                <c:pt idx="31">
                  <c:v>7.1575598229166673</c:v>
                </c:pt>
                <c:pt idx="32">
                  <c:v>7.2518813333333334</c:v>
                </c:pt>
                <c:pt idx="33">
                  <c:v>7.3718584062500003</c:v>
                </c:pt>
                <c:pt idx="34">
                  <c:v>7.4681106041666663</c:v>
                </c:pt>
                <c:pt idx="35">
                  <c:v>7.5259837083333334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34-1541-B5A4-BDAF4E01A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747551"/>
        <c:axId val="982113023"/>
      </c:lineChart>
      <c:catAx>
        <c:axId val="893747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13023"/>
        <c:crosses val="autoZero"/>
        <c:auto val="1"/>
        <c:lblAlgn val="ctr"/>
        <c:lblOffset val="100"/>
        <c:noMultiLvlLbl val="0"/>
      </c:catAx>
      <c:valAx>
        <c:axId val="98211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4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237315</xdr:colOff>
      <xdr:row>77</xdr:row>
      <xdr:rowOff>138579</xdr:rowOff>
    </xdr:from>
    <xdr:to>
      <xdr:col>26</xdr:col>
      <xdr:colOff>747815</xdr:colOff>
      <xdr:row>96</xdr:row>
      <xdr:rowOff>91374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802D7-8F5F-FA40-BCEC-49CA006AA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211666</xdr:colOff>
      <xdr:row>81</xdr:row>
      <xdr:rowOff>8467</xdr:rowOff>
    </xdr:from>
    <xdr:to>
      <xdr:col>34</xdr:col>
      <xdr:colOff>694266</xdr:colOff>
      <xdr:row>99</xdr:row>
      <xdr:rowOff>186267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6DF847-013A-AD48-A4DC-214D3CE9B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237315</xdr:colOff>
      <xdr:row>77</xdr:row>
      <xdr:rowOff>138579</xdr:rowOff>
    </xdr:from>
    <xdr:to>
      <xdr:col>26</xdr:col>
      <xdr:colOff>747815</xdr:colOff>
      <xdr:row>96</xdr:row>
      <xdr:rowOff>91374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F4C2CA-427C-374F-B9D3-6ABE77878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211666</xdr:colOff>
      <xdr:row>81</xdr:row>
      <xdr:rowOff>8467</xdr:rowOff>
    </xdr:from>
    <xdr:to>
      <xdr:col>34</xdr:col>
      <xdr:colOff>694266</xdr:colOff>
      <xdr:row>99</xdr:row>
      <xdr:rowOff>186267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D2F220-7533-A94F-A71F-A424FACB1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63</xdr:col>
      <xdr:colOff>690033</xdr:colOff>
      <xdr:row>0</xdr:row>
      <xdr:rowOff>4234</xdr:rowOff>
    </xdr:from>
    <xdr:to>
      <xdr:col>73</xdr:col>
      <xdr:colOff>702733</xdr:colOff>
      <xdr:row>27</xdr:row>
      <xdr:rowOff>67734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FC1041-6F29-2E47-86A6-7CB159EC4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21261</xdr:colOff>
      <xdr:row>29</xdr:row>
      <xdr:rowOff>48012</xdr:rowOff>
    </xdr:from>
    <xdr:to>
      <xdr:col>73</xdr:col>
      <xdr:colOff>779318</xdr:colOff>
      <xdr:row>54</xdr:row>
      <xdr:rowOff>28863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9A6416-FE3B-E84D-A1ED-932E2983F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172204</xdr:colOff>
      <xdr:row>0</xdr:row>
      <xdr:rowOff>19390</xdr:rowOff>
    </xdr:from>
    <xdr:to>
      <xdr:col>30</xdr:col>
      <xdr:colOff>177800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6D3C6-FC99-C140-B488-4B29E1C80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148955</xdr:colOff>
      <xdr:row>22</xdr:row>
      <xdr:rowOff>136040</xdr:rowOff>
    </xdr:from>
    <xdr:to>
      <xdr:col>30</xdr:col>
      <xdr:colOff>390041</xdr:colOff>
      <xdr:row>46</xdr:row>
      <xdr:rowOff>45203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DF19BA-1872-1540-BE2E-993725243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347383</xdr:colOff>
      <xdr:row>0</xdr:row>
      <xdr:rowOff>187884</xdr:rowOff>
    </xdr:from>
    <xdr:to>
      <xdr:col>90</xdr:col>
      <xdr:colOff>810559</xdr:colOff>
      <xdr:row>14</xdr:row>
      <xdr:rowOff>54908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6E492A-0688-0E4B-A55C-62762546C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85</xdr:col>
      <xdr:colOff>291354</xdr:colOff>
      <xdr:row>16</xdr:row>
      <xdr:rowOff>94502</xdr:rowOff>
    </xdr:from>
    <xdr:to>
      <xdr:col>90</xdr:col>
      <xdr:colOff>754530</xdr:colOff>
      <xdr:row>29</xdr:row>
      <xdr:rowOff>166967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429894-F48A-F942-AA5F-48229BCD6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94D5-B46D-D547-9828-4D4B156978BA}">
  <dimension ref="A1:BO98"/>
  <sheetViews>
    <sheetView topLeftCell="N79" zoomScale="125" zoomScaleNormal="50" workbookViewId="0">
      <selection activeCell="X76" sqref="X76"/>
    </sheetView>
  </sheetViews>
  <sheetFormatPr baseColWidth="10" defaultRowHeight="16" x14ac:dyDescent="0.2"/>
  <cols>
    <col min="2" max="2" width="10.83203125" style="45"/>
    <col min="3" max="6" width="10.83203125" style="14"/>
    <col min="7" max="9" width="10.83203125" style="15"/>
    <col min="10" max="13" width="10.83203125" style="16"/>
    <col min="14" max="17" width="10.83203125" style="17"/>
    <col min="18" max="18" width="10.83203125" style="31"/>
    <col min="20" max="20" width="10.83203125" style="45"/>
    <col min="21" max="24" width="10.83203125" style="14"/>
    <col min="25" max="27" width="10.83203125" style="15"/>
    <col min="28" max="31" width="10.83203125" style="16"/>
    <col min="32" max="35" width="10.83203125" style="17"/>
    <col min="37" max="37" width="10.83203125" style="70"/>
    <col min="38" max="38" width="10.83203125" style="73"/>
    <col min="39" max="67" width="10.83203125" style="33"/>
  </cols>
  <sheetData>
    <row r="1" spans="1:65" x14ac:dyDescent="0.2">
      <c r="A1" s="23" t="s">
        <v>73</v>
      </c>
      <c r="B1" s="45" t="s">
        <v>1</v>
      </c>
      <c r="C1" s="19" t="s">
        <v>57</v>
      </c>
      <c r="D1" s="19" t="s">
        <v>58</v>
      </c>
      <c r="E1" s="19" t="s">
        <v>59</v>
      </c>
      <c r="F1" s="19" t="s">
        <v>60</v>
      </c>
      <c r="G1" s="20" t="s">
        <v>61</v>
      </c>
      <c r="H1" s="20" t="s">
        <v>63</v>
      </c>
      <c r="I1" s="20" t="s">
        <v>64</v>
      </c>
      <c r="J1" s="21" t="s">
        <v>65</v>
      </c>
      <c r="K1" s="21" t="s">
        <v>66</v>
      </c>
      <c r="L1" s="21" t="s">
        <v>67</v>
      </c>
      <c r="M1" s="21" t="s">
        <v>68</v>
      </c>
      <c r="N1" s="22" t="s">
        <v>69</v>
      </c>
      <c r="O1" s="22" t="s">
        <v>70</v>
      </c>
      <c r="P1" s="22" t="s">
        <v>71</v>
      </c>
      <c r="Q1" s="22" t="s">
        <v>72</v>
      </c>
      <c r="S1" s="23" t="s">
        <v>74</v>
      </c>
      <c r="T1" s="45" t="s">
        <v>1</v>
      </c>
      <c r="U1" s="19" t="s">
        <v>57</v>
      </c>
      <c r="V1" s="19" t="s">
        <v>58</v>
      </c>
      <c r="W1" s="19" t="s">
        <v>59</v>
      </c>
      <c r="X1" s="19" t="s">
        <v>60</v>
      </c>
      <c r="Y1" s="20" t="s">
        <v>61</v>
      </c>
      <c r="Z1" s="20" t="s">
        <v>63</v>
      </c>
      <c r="AA1" s="20" t="s">
        <v>64</v>
      </c>
      <c r="AB1" s="21" t="s">
        <v>65</v>
      </c>
      <c r="AC1" s="21" t="s">
        <v>66</v>
      </c>
      <c r="AD1" s="21" t="s">
        <v>67</v>
      </c>
      <c r="AE1" s="21" t="s">
        <v>68</v>
      </c>
      <c r="AF1" s="22" t="s">
        <v>69</v>
      </c>
      <c r="AG1" s="22" t="s">
        <v>70</v>
      </c>
      <c r="AH1" s="22" t="s">
        <v>71</v>
      </c>
      <c r="AI1" s="22" t="s">
        <v>72</v>
      </c>
      <c r="AK1" s="23" t="s">
        <v>81</v>
      </c>
      <c r="AL1" s="45" t="s">
        <v>1</v>
      </c>
      <c r="AM1" s="19" t="s">
        <v>57</v>
      </c>
      <c r="AN1" s="19" t="s">
        <v>58</v>
      </c>
      <c r="AO1" s="19" t="s">
        <v>59</v>
      </c>
      <c r="AP1" s="19" t="s">
        <v>60</v>
      </c>
      <c r="AQ1" s="20" t="s">
        <v>61</v>
      </c>
      <c r="AR1" s="20" t="s">
        <v>63</v>
      </c>
      <c r="AS1" s="20" t="s">
        <v>64</v>
      </c>
      <c r="AT1" s="21" t="s">
        <v>65</v>
      </c>
      <c r="AU1" s="21" t="s">
        <v>66</v>
      </c>
      <c r="AV1" s="21" t="s">
        <v>67</v>
      </c>
      <c r="AW1" s="21" t="s">
        <v>68</v>
      </c>
      <c r="AX1" s="22" t="s">
        <v>69</v>
      </c>
      <c r="AY1" s="22" t="s">
        <v>70</v>
      </c>
      <c r="AZ1" s="22" t="s">
        <v>71</v>
      </c>
      <c r="BA1" s="22" t="s">
        <v>72</v>
      </c>
      <c r="BC1" s="72"/>
      <c r="BD1" s="82"/>
      <c r="BE1" s="82"/>
      <c r="BF1" s="82"/>
      <c r="BG1" s="82"/>
      <c r="BI1" s="72"/>
      <c r="BJ1" s="83"/>
      <c r="BK1" s="83"/>
      <c r="BL1" s="83"/>
      <c r="BM1" s="83"/>
    </row>
    <row r="2" spans="1:65" x14ac:dyDescent="0.2">
      <c r="B2" s="4">
        <v>0</v>
      </c>
      <c r="C2" s="14">
        <v>2.9967630000000001</v>
      </c>
      <c r="D2" s="14">
        <v>2.313647</v>
      </c>
      <c r="E2" s="14">
        <v>2.8834840000000002</v>
      </c>
      <c r="F2" s="14">
        <v>1.5335129999999999</v>
      </c>
      <c r="G2" s="15">
        <v>1.9901960000000001</v>
      </c>
      <c r="H2" s="15">
        <v>6.2141799999999998</v>
      </c>
      <c r="I2" s="15">
        <v>1.8777759999999999</v>
      </c>
      <c r="J2" s="16">
        <v>2.2008079999999999</v>
      </c>
      <c r="K2" s="16">
        <v>3.4174570000000002</v>
      </c>
      <c r="L2" s="16">
        <v>3.8819840000000001</v>
      </c>
      <c r="M2" s="16">
        <v>1.964043</v>
      </c>
      <c r="N2" s="17">
        <v>3.5035609999999999</v>
      </c>
      <c r="O2" s="17">
        <v>3.6552319999999998</v>
      </c>
      <c r="P2" s="17">
        <v>1.8362289999999999</v>
      </c>
      <c r="Q2" s="17">
        <v>4.7351919999999996</v>
      </c>
      <c r="T2" s="4">
        <v>0</v>
      </c>
      <c r="U2" s="14">
        <f>C2-C2</f>
        <v>0</v>
      </c>
      <c r="V2" s="14">
        <f t="shared" ref="V2:AI2" si="0">D2-D2</f>
        <v>0</v>
      </c>
      <c r="W2" s="14">
        <f t="shared" si="0"/>
        <v>0</v>
      </c>
      <c r="X2" s="14">
        <f t="shared" si="0"/>
        <v>0</v>
      </c>
      <c r="Y2" s="15">
        <f t="shared" si="0"/>
        <v>0</v>
      </c>
      <c r="Z2" s="15">
        <f t="shared" si="0"/>
        <v>0</v>
      </c>
      <c r="AA2" s="15">
        <f t="shared" si="0"/>
        <v>0</v>
      </c>
      <c r="AB2" s="16">
        <f t="shared" si="0"/>
        <v>0</v>
      </c>
      <c r="AC2" s="16">
        <f t="shared" si="0"/>
        <v>0</v>
      </c>
      <c r="AD2" s="16">
        <f t="shared" si="0"/>
        <v>0</v>
      </c>
      <c r="AE2" s="16">
        <f t="shared" si="0"/>
        <v>0</v>
      </c>
      <c r="AF2" s="17">
        <f t="shared" si="0"/>
        <v>0</v>
      </c>
      <c r="AG2" s="17">
        <f t="shared" si="0"/>
        <v>0</v>
      </c>
      <c r="AH2" s="17">
        <f t="shared" si="0"/>
        <v>0</v>
      </c>
      <c r="AI2" s="17">
        <f t="shared" si="0"/>
        <v>0</v>
      </c>
      <c r="AK2"/>
      <c r="AL2" s="4">
        <v>0</v>
      </c>
      <c r="AM2" s="14">
        <f>AVERAGE(U2,U26,U50,U74)</f>
        <v>4.5004854166666552E-2</v>
      </c>
      <c r="AN2" s="14">
        <f t="shared" ref="AN2:BA2" si="1">AVERAGE(V2,V26,V50,V74)</f>
        <v>3.2885770833332995E-2</v>
      </c>
      <c r="AO2" s="14">
        <f t="shared" si="1"/>
        <v>1.3253374999999679E-2</v>
      </c>
      <c r="AP2" s="14">
        <f t="shared" si="1"/>
        <v>5.1285395833333469E-2</v>
      </c>
      <c r="AQ2" s="15">
        <f t="shared" si="1"/>
        <v>2.215939583333304E-2</v>
      </c>
      <c r="AR2" s="15">
        <f>AVERAGE(Z2,Z26,Z50,Z74)</f>
        <v>8.1234750000000133E-2</v>
      </c>
      <c r="AS2" s="15">
        <f t="shared" si="1"/>
        <v>0.11846795833333335</v>
      </c>
      <c r="AT2" s="16">
        <f t="shared" si="1"/>
        <v>2.3946812499999748E-2</v>
      </c>
      <c r="AU2" s="16">
        <f t="shared" si="1"/>
        <v>8.4215958333332397E-2</v>
      </c>
      <c r="AV2" s="16">
        <f t="shared" si="1"/>
        <v>0.19920870833333382</v>
      </c>
      <c r="AW2" s="16">
        <f t="shared" si="1"/>
        <v>7.1908333333331464E-3</v>
      </c>
      <c r="AX2" s="84">
        <f t="shared" si="1"/>
        <v>7.2238000000000024E-2</v>
      </c>
      <c r="AY2" s="84">
        <f t="shared" si="1"/>
        <v>1.7877437499999926E-2</v>
      </c>
      <c r="AZ2" s="84">
        <f t="shared" si="1"/>
        <v>8.474995833333332E-2</v>
      </c>
      <c r="BA2" s="84">
        <f t="shared" si="1"/>
        <v>0.1019720000000004</v>
      </c>
      <c r="BC2" s="74"/>
      <c r="BD2" s="75"/>
      <c r="BE2" s="75"/>
      <c r="BF2" s="75"/>
      <c r="BG2" s="75"/>
      <c r="BI2" s="74"/>
      <c r="BJ2" s="75"/>
      <c r="BK2" s="75"/>
      <c r="BL2" s="75"/>
      <c r="BM2" s="75"/>
    </row>
    <row r="3" spans="1:65" x14ac:dyDescent="0.2">
      <c r="B3" s="45">
        <v>1</v>
      </c>
      <c r="C3" s="14">
        <v>3.0125327500000001</v>
      </c>
      <c r="D3" s="14">
        <v>2.3973289999999996</v>
      </c>
      <c r="E3" s="14">
        <v>3.0246625833333334</v>
      </c>
      <c r="F3" s="14">
        <v>1.5335129999999995</v>
      </c>
      <c r="G3" s="15">
        <v>2.0069331666666668</v>
      </c>
      <c r="H3" s="15">
        <v>6.2141799999999998</v>
      </c>
      <c r="I3" s="15">
        <v>1.9022917500000005</v>
      </c>
      <c r="J3" s="16">
        <v>2.2008079999999994</v>
      </c>
      <c r="K3" s="16">
        <v>3.4174569999999993</v>
      </c>
      <c r="L3" s="16">
        <v>3.8819840000000005</v>
      </c>
      <c r="M3" s="16">
        <v>1.964043</v>
      </c>
      <c r="N3" s="17">
        <v>3.5035609999999999</v>
      </c>
      <c r="O3" s="17">
        <v>3.79758475</v>
      </c>
      <c r="P3" s="17">
        <v>1.8854332499999999</v>
      </c>
      <c r="Q3" s="17">
        <v>4.8886439166666671</v>
      </c>
      <c r="T3" s="45">
        <v>1</v>
      </c>
      <c r="U3" s="14">
        <f>C3-C2</f>
        <v>1.5769750000000027E-2</v>
      </c>
      <c r="V3" s="14">
        <f t="shared" ref="V3:AI18" si="2">D3-D2</f>
        <v>8.368199999999959E-2</v>
      </c>
      <c r="W3" s="14">
        <f t="shared" si="2"/>
        <v>0.14117858333333322</v>
      </c>
      <c r="X3" s="14">
        <f t="shared" si="2"/>
        <v>0</v>
      </c>
      <c r="Y3" s="15">
        <f t="shared" si="2"/>
        <v>1.6737166666666692E-2</v>
      </c>
      <c r="Z3" s="15">
        <f t="shared" si="2"/>
        <v>0</v>
      </c>
      <c r="AA3" s="15">
        <f t="shared" si="2"/>
        <v>2.4515750000000613E-2</v>
      </c>
      <c r="AB3" s="16">
        <f t="shared" si="2"/>
        <v>0</v>
      </c>
      <c r="AC3" s="16">
        <f t="shared" si="2"/>
        <v>0</v>
      </c>
      <c r="AD3" s="16">
        <f t="shared" si="2"/>
        <v>0</v>
      </c>
      <c r="AE3" s="16">
        <f t="shared" si="2"/>
        <v>0</v>
      </c>
      <c r="AF3" s="17">
        <f t="shared" si="2"/>
        <v>0</v>
      </c>
      <c r="AG3" s="17">
        <f t="shared" si="2"/>
        <v>0.14235275000000014</v>
      </c>
      <c r="AH3" s="17">
        <f t="shared" si="2"/>
        <v>4.920425000000006E-2</v>
      </c>
      <c r="AI3" s="17">
        <f t="shared" si="2"/>
        <v>0.15345191666666746</v>
      </c>
      <c r="AK3"/>
      <c r="AL3" s="45">
        <v>1</v>
      </c>
      <c r="AM3" s="14">
        <f>AVERAGE(U3,U27,U51,U75)</f>
        <v>5.2829999999998156E-3</v>
      </c>
      <c r="AN3" s="14">
        <f t="shared" ref="AN3:BA18" si="3">AVERAGE(V3,V27,V51,V75)</f>
        <v>6.5780020833333452E-2</v>
      </c>
      <c r="AO3" s="14">
        <f t="shared" si="3"/>
        <v>4.2590229166666993E-2</v>
      </c>
      <c r="AP3" s="14">
        <f t="shared" si="3"/>
        <v>4.9282583333333241E-2</v>
      </c>
      <c r="AQ3" s="15">
        <f t="shared" si="3"/>
        <v>1.4054833333333794E-2</v>
      </c>
      <c r="AR3" s="15">
        <f t="shared" si="3"/>
        <v>8.4073062499999907E-2</v>
      </c>
      <c r="AS3" s="15">
        <f t="shared" si="3"/>
        <v>0.12587925000000028</v>
      </c>
      <c r="AT3" s="16">
        <f t="shared" si="3"/>
        <v>2.0914583333333514E-3</v>
      </c>
      <c r="AU3" s="16">
        <f t="shared" si="3"/>
        <v>8.500981250000117E-2</v>
      </c>
      <c r="AV3" s="16">
        <f t="shared" si="3"/>
        <v>5.8361437499999669E-2</v>
      </c>
      <c r="AW3" s="16">
        <f t="shared" si="3"/>
        <v>8.1657499999997496E-3</v>
      </c>
      <c r="AX3" s="84">
        <f t="shared" si="3"/>
        <v>4.8827229166666708E-2</v>
      </c>
      <c r="AY3" s="84">
        <f t="shared" si="3"/>
        <v>0.11244952083333348</v>
      </c>
      <c r="AZ3" s="84">
        <f t="shared" si="3"/>
        <v>0.1063227083333334</v>
      </c>
      <c r="BA3" s="84">
        <f t="shared" si="3"/>
        <v>9.5576437499999889E-2</v>
      </c>
      <c r="BC3" s="76"/>
      <c r="BD3" s="75"/>
      <c r="BE3" s="75"/>
      <c r="BF3" s="75"/>
      <c r="BG3" s="75"/>
      <c r="BI3" s="76"/>
      <c r="BJ3" s="75"/>
      <c r="BK3" s="75"/>
      <c r="BL3" s="75"/>
      <c r="BM3" s="75"/>
    </row>
    <row r="4" spans="1:65" x14ac:dyDescent="0.2">
      <c r="B4" s="45">
        <v>2</v>
      </c>
      <c r="C4" s="14">
        <v>3.0493358333333336</v>
      </c>
      <c r="D4" s="14">
        <v>2.4614936666666667</v>
      </c>
      <c r="E4" s="14">
        <v>3.101197916666667</v>
      </c>
      <c r="F4" s="14">
        <v>1.5360351666666665</v>
      </c>
      <c r="G4" s="15">
        <v>2.0371531666666667</v>
      </c>
      <c r="H4" s="15">
        <v>6.2665204166666664</v>
      </c>
      <c r="I4" s="15">
        <v>1.9363064999999999</v>
      </c>
      <c r="J4" s="16">
        <v>2.2008079999999994</v>
      </c>
      <c r="K4" s="16">
        <v>3.4174569999999993</v>
      </c>
      <c r="L4" s="16">
        <v>3.8819840000000005</v>
      </c>
      <c r="M4" s="16">
        <v>1.9843930833333336</v>
      </c>
      <c r="N4" s="17">
        <v>3.5043001666666669</v>
      </c>
      <c r="O4" s="17">
        <v>4.0491909166666664</v>
      </c>
      <c r="P4" s="17">
        <v>1.9679405000000001</v>
      </c>
      <c r="Q4" s="17">
        <v>5.2367096666666662</v>
      </c>
      <c r="T4" s="45">
        <v>2</v>
      </c>
      <c r="U4" s="14">
        <f>C4-C3</f>
        <v>3.6803083333333486E-2</v>
      </c>
      <c r="V4" s="14">
        <f t="shared" si="2"/>
        <v>6.4164666666667092E-2</v>
      </c>
      <c r="W4" s="14">
        <f t="shared" si="2"/>
        <v>7.6535333333333622E-2</v>
      </c>
      <c r="X4" s="14">
        <f t="shared" si="2"/>
        <v>2.5221666666670473E-3</v>
      </c>
      <c r="Y4" s="15">
        <f t="shared" si="2"/>
        <v>3.0219999999999914E-2</v>
      </c>
      <c r="Z4" s="15">
        <f t="shared" si="2"/>
        <v>5.2340416666666556E-2</v>
      </c>
      <c r="AA4" s="15">
        <f t="shared" si="2"/>
        <v>3.4014749999999427E-2</v>
      </c>
      <c r="AB4" s="16">
        <f t="shared" si="2"/>
        <v>0</v>
      </c>
      <c r="AC4" s="16">
        <f t="shared" si="2"/>
        <v>0</v>
      </c>
      <c r="AD4" s="16">
        <f t="shared" si="2"/>
        <v>0</v>
      </c>
      <c r="AE4" s="16">
        <f t="shared" si="2"/>
        <v>2.0350083333333657E-2</v>
      </c>
      <c r="AF4" s="17">
        <f t="shared" si="2"/>
        <v>7.3916666666695718E-4</v>
      </c>
      <c r="AG4" s="17">
        <f t="shared" si="2"/>
        <v>0.25160616666666646</v>
      </c>
      <c r="AH4" s="17">
        <f t="shared" si="2"/>
        <v>8.2507250000000143E-2</v>
      </c>
      <c r="AI4" s="17">
        <f t="shared" si="2"/>
        <v>0.34806574999999906</v>
      </c>
      <c r="AK4"/>
      <c r="AL4" s="45">
        <v>2</v>
      </c>
      <c r="AM4" s="14">
        <f t="shared" ref="AM4:AM25" si="4">AVERAGE(U4,U28,U52,U76)</f>
        <v>9.29510416666679E-3</v>
      </c>
      <c r="AN4" s="14">
        <f t="shared" si="3"/>
        <v>3.1861875000000039E-2</v>
      </c>
      <c r="AO4" s="14">
        <f t="shared" si="3"/>
        <v>2.6429458333333655E-2</v>
      </c>
      <c r="AP4" s="14">
        <f t="shared" si="3"/>
        <v>1.7567375000000052E-2</v>
      </c>
      <c r="AQ4" s="15">
        <f t="shared" si="3"/>
        <v>2.8599479166666941E-2</v>
      </c>
      <c r="AR4" s="15">
        <f t="shared" si="3"/>
        <v>0.18628393749999983</v>
      </c>
      <c r="AS4" s="15">
        <f t="shared" si="3"/>
        <v>2.2004062499999977E-2</v>
      </c>
      <c r="AT4" s="16">
        <f t="shared" si="3"/>
        <v>0</v>
      </c>
      <c r="AU4" s="16">
        <f t="shared" si="3"/>
        <v>0.10889777083333252</v>
      </c>
      <c r="AV4" s="16">
        <f t="shared" si="3"/>
        <v>1.2092229166666524E-2</v>
      </c>
      <c r="AW4" s="16">
        <f t="shared" si="3"/>
        <v>1.4412479166667103E-2</v>
      </c>
      <c r="AX4" s="84">
        <f t="shared" si="3"/>
        <v>4.8308083333333474E-2</v>
      </c>
      <c r="AY4" s="84">
        <f t="shared" si="3"/>
        <v>0.1521374999999997</v>
      </c>
      <c r="AZ4" s="84">
        <f t="shared" si="3"/>
        <v>5.5565604166666394E-2</v>
      </c>
      <c r="BA4" s="84">
        <f t="shared" si="3"/>
        <v>0.2159735625000001</v>
      </c>
      <c r="BC4" s="76"/>
      <c r="BD4" s="75"/>
      <c r="BE4" s="75"/>
      <c r="BF4" s="75"/>
      <c r="BG4" s="75"/>
      <c r="BI4" s="76"/>
      <c r="BJ4" s="75"/>
      <c r="BK4" s="75"/>
      <c r="BL4" s="75"/>
      <c r="BM4" s="75"/>
    </row>
    <row r="5" spans="1:65" x14ac:dyDescent="0.2">
      <c r="B5" s="45">
        <v>3</v>
      </c>
      <c r="C5" s="14">
        <v>3.0837325833333336</v>
      </c>
      <c r="D5" s="14">
        <v>2.4880887499999997</v>
      </c>
      <c r="E5" s="14">
        <v>3.1247885833333338</v>
      </c>
      <c r="F5" s="14">
        <v>1.5421240000000001</v>
      </c>
      <c r="G5" s="15">
        <v>2.0584266666666671</v>
      </c>
      <c r="H5" s="15">
        <v>6.4058298333333328</v>
      </c>
      <c r="I5" s="15">
        <v>1.9644566666666667</v>
      </c>
      <c r="J5" s="16">
        <v>2.2008079999999994</v>
      </c>
      <c r="K5" s="16">
        <v>3.4174569999999993</v>
      </c>
      <c r="L5" s="16">
        <v>3.8819840000000005</v>
      </c>
      <c r="M5" s="16">
        <v>2.0403992500000001</v>
      </c>
      <c r="N5" s="17">
        <v>3.5761920833333334</v>
      </c>
      <c r="O5" s="17">
        <v>4.3135915000000002</v>
      </c>
      <c r="P5" s="17">
        <v>2.0510266666666666</v>
      </c>
      <c r="Q5" s="17">
        <v>5.5254452500000015</v>
      </c>
      <c r="T5" s="45">
        <v>3</v>
      </c>
      <c r="U5" s="14">
        <f>C5-C4</f>
        <v>3.4396749999999976E-2</v>
      </c>
      <c r="V5" s="14">
        <f t="shared" si="2"/>
        <v>2.6595083333333047E-2</v>
      </c>
      <c r="W5" s="14">
        <f t="shared" si="2"/>
        <v>2.359066666666676E-2</v>
      </c>
      <c r="X5" s="14">
        <f t="shared" si="2"/>
        <v>6.0888333333335432E-3</v>
      </c>
      <c r="Y5" s="15">
        <f t="shared" si="2"/>
        <v>2.1273500000000389E-2</v>
      </c>
      <c r="Z5" s="15">
        <f t="shared" si="2"/>
        <v>0.13930941666666641</v>
      </c>
      <c r="AA5" s="15">
        <f t="shared" si="2"/>
        <v>2.8150166666666809E-2</v>
      </c>
      <c r="AB5" s="16">
        <f t="shared" si="2"/>
        <v>0</v>
      </c>
      <c r="AC5" s="16">
        <f t="shared" si="2"/>
        <v>0</v>
      </c>
      <c r="AD5" s="16">
        <f t="shared" si="2"/>
        <v>0</v>
      </c>
      <c r="AE5" s="16">
        <f t="shared" si="2"/>
        <v>5.6006166666666468E-2</v>
      </c>
      <c r="AF5" s="17">
        <f t="shared" si="2"/>
        <v>7.18919166666665E-2</v>
      </c>
      <c r="AG5" s="17">
        <f t="shared" si="2"/>
        <v>0.26440058333333383</v>
      </c>
      <c r="AH5" s="17">
        <f t="shared" si="2"/>
        <v>8.3086166666666461E-2</v>
      </c>
      <c r="AI5" s="17">
        <f t="shared" si="2"/>
        <v>0.28873558333333538</v>
      </c>
      <c r="AK5"/>
      <c r="AL5" s="45">
        <v>3</v>
      </c>
      <c r="AM5" s="14">
        <f t="shared" si="4"/>
        <v>9.2965416666663803E-3</v>
      </c>
      <c r="AN5" s="14">
        <f t="shared" si="3"/>
        <v>2.1694208333333465E-2</v>
      </c>
      <c r="AO5" s="14">
        <f t="shared" si="3"/>
        <v>1.2750499999999554E-2</v>
      </c>
      <c r="AP5" s="14">
        <f t="shared" si="3"/>
        <v>6.0692708333335288E-3</v>
      </c>
      <c r="AQ5" s="15">
        <f t="shared" si="3"/>
        <v>7.3220104166666244E-2</v>
      </c>
      <c r="AR5" s="15">
        <f t="shared" si="3"/>
        <v>0.11632320833333365</v>
      </c>
      <c r="AS5" s="15">
        <f t="shared" si="3"/>
        <v>7.0375416666667023E-3</v>
      </c>
      <c r="AT5" s="16">
        <f t="shared" si="3"/>
        <v>0</v>
      </c>
      <c r="AU5" s="16">
        <f t="shared" si="3"/>
        <v>0.10095731250000028</v>
      </c>
      <c r="AV5" s="16">
        <f t="shared" si="3"/>
        <v>1.1157999999999557E-2</v>
      </c>
      <c r="AW5" s="16">
        <f t="shared" si="3"/>
        <v>1.5472124999999892E-2</v>
      </c>
      <c r="AX5" s="84">
        <f t="shared" si="3"/>
        <v>6.4375625000000158E-2</v>
      </c>
      <c r="AY5" s="84">
        <f t="shared" si="3"/>
        <v>9.7025812500000086E-2</v>
      </c>
      <c r="AZ5" s="84">
        <f t="shared" si="3"/>
        <v>2.0771541666666615E-2</v>
      </c>
      <c r="BA5" s="84">
        <f t="shared" si="3"/>
        <v>0.22373787500000009</v>
      </c>
      <c r="BC5" s="76"/>
      <c r="BD5" s="75"/>
      <c r="BE5" s="75"/>
      <c r="BF5" s="75"/>
      <c r="BG5" s="75"/>
      <c r="BI5" s="76"/>
      <c r="BJ5" s="75"/>
      <c r="BK5" s="75"/>
      <c r="BL5" s="75"/>
      <c r="BM5" s="75"/>
    </row>
    <row r="6" spans="1:65" x14ac:dyDescent="0.2">
      <c r="B6" s="45">
        <v>4</v>
      </c>
      <c r="C6" s="14">
        <v>3.1082778333333336</v>
      </c>
      <c r="D6" s="14">
        <v>2.5329527500000002</v>
      </c>
      <c r="E6" s="14">
        <v>3.1365812500000003</v>
      </c>
      <c r="F6" s="14">
        <v>1.5421240000000001</v>
      </c>
      <c r="G6" s="15">
        <v>2.0694316666666666</v>
      </c>
      <c r="H6" s="15">
        <v>6.5119104999999999</v>
      </c>
      <c r="I6" s="15">
        <v>1.9736762500000002</v>
      </c>
      <c r="J6" s="16">
        <v>2.2008079999999994</v>
      </c>
      <c r="K6" s="16">
        <v>3.4175784999999994</v>
      </c>
      <c r="L6" s="16">
        <v>3.8819840000000005</v>
      </c>
      <c r="M6" s="16">
        <v>2.0593835833333336</v>
      </c>
      <c r="N6" s="17">
        <v>3.7333229999999999</v>
      </c>
      <c r="O6" s="17">
        <v>4.4481210000000004</v>
      </c>
      <c r="P6" s="17">
        <v>2.1342829999999999</v>
      </c>
      <c r="Q6" s="17">
        <v>5.6078719166666664</v>
      </c>
      <c r="T6" s="45">
        <v>4</v>
      </c>
      <c r="U6" s="14">
        <f>C6-C5</f>
        <v>2.4545250000000074E-2</v>
      </c>
      <c r="V6" s="14">
        <f t="shared" si="2"/>
        <v>4.4864000000000459E-2</v>
      </c>
      <c r="W6" s="14">
        <f t="shared" si="2"/>
        <v>1.1792666666666562E-2</v>
      </c>
      <c r="X6" s="14">
        <f t="shared" si="2"/>
        <v>0</v>
      </c>
      <c r="Y6" s="15">
        <f t="shared" si="2"/>
        <v>1.1004999999999487E-2</v>
      </c>
      <c r="Z6" s="15">
        <f t="shared" si="2"/>
        <v>0.10608066666666716</v>
      </c>
      <c r="AA6" s="15">
        <f t="shared" si="2"/>
        <v>9.2195833333335031E-3</v>
      </c>
      <c r="AB6" s="16">
        <f t="shared" si="2"/>
        <v>0</v>
      </c>
      <c r="AC6" s="16">
        <f t="shared" si="2"/>
        <v>1.2150000000010763E-4</v>
      </c>
      <c r="AD6" s="16">
        <f t="shared" si="2"/>
        <v>0</v>
      </c>
      <c r="AE6" s="16">
        <f t="shared" si="2"/>
        <v>1.8984333333333492E-2</v>
      </c>
      <c r="AF6" s="17">
        <f t="shared" si="2"/>
        <v>0.15713091666666656</v>
      </c>
      <c r="AG6" s="17">
        <f t="shared" si="2"/>
        <v>0.13452950000000019</v>
      </c>
      <c r="AH6" s="17">
        <f t="shared" si="2"/>
        <v>8.3256333333333377E-2</v>
      </c>
      <c r="AI6" s="17">
        <f t="shared" si="2"/>
        <v>8.2426666666664872E-2</v>
      </c>
      <c r="AK6"/>
      <c r="AL6" s="45">
        <v>4</v>
      </c>
      <c r="AM6" s="14">
        <f t="shared" si="4"/>
        <v>6.4455833333332269E-3</v>
      </c>
      <c r="AN6" s="14">
        <f t="shared" si="3"/>
        <v>2.5360041666666833E-2</v>
      </c>
      <c r="AO6" s="14">
        <f t="shared" si="3"/>
        <v>4.4945208333331266E-3</v>
      </c>
      <c r="AP6" s="14">
        <f t="shared" si="3"/>
        <v>1.2494166666665585E-3</v>
      </c>
      <c r="AQ6" s="15">
        <f t="shared" si="3"/>
        <v>7.4849854166666563E-2</v>
      </c>
      <c r="AR6" s="15">
        <f t="shared" si="3"/>
        <v>6.4019187499999575E-2</v>
      </c>
      <c r="AS6" s="15">
        <f t="shared" si="3"/>
        <v>1.5356187500000118E-2</v>
      </c>
      <c r="AT6" s="16">
        <f t="shared" si="3"/>
        <v>3.8729166666673365E-4</v>
      </c>
      <c r="AU6" s="16">
        <f t="shared" si="3"/>
        <v>6.0611854166667034E-2</v>
      </c>
      <c r="AV6" s="16">
        <f t="shared" si="3"/>
        <v>8.0536874999999064E-3</v>
      </c>
      <c r="AW6" s="16">
        <f t="shared" si="3"/>
        <v>5.7160208333337792E-3</v>
      </c>
      <c r="AX6" s="84">
        <f t="shared" si="3"/>
        <v>8.8635374999999961E-2</v>
      </c>
      <c r="AY6" s="84">
        <f t="shared" si="3"/>
        <v>8.4931916666667107E-2</v>
      </c>
      <c r="AZ6" s="84">
        <f t="shared" si="3"/>
        <v>2.2977854166667311E-2</v>
      </c>
      <c r="BA6" s="84">
        <f t="shared" si="3"/>
        <v>8.0001666666666527E-2</v>
      </c>
      <c r="BC6" s="76"/>
      <c r="BD6" s="75"/>
      <c r="BE6" s="75"/>
      <c r="BF6" s="75"/>
      <c r="BG6" s="75"/>
      <c r="BI6" s="76"/>
      <c r="BJ6" s="75"/>
      <c r="BK6" s="75"/>
      <c r="BL6" s="75"/>
      <c r="BM6" s="75"/>
    </row>
    <row r="7" spans="1:65" x14ac:dyDescent="0.2">
      <c r="B7" s="45">
        <v>5</v>
      </c>
      <c r="C7" s="14">
        <v>3.1297770000000003</v>
      </c>
      <c r="D7" s="14">
        <v>2.5835988333333337</v>
      </c>
      <c r="E7" s="14">
        <v>3.1485974999999997</v>
      </c>
      <c r="F7" s="14">
        <v>1.5429575833333333</v>
      </c>
      <c r="G7" s="15">
        <v>2.1688764166666665</v>
      </c>
      <c r="H7" s="15">
        <v>6.5990774166666641</v>
      </c>
      <c r="I7" s="15">
        <v>1.9777420000000003</v>
      </c>
      <c r="J7" s="16">
        <v>2.2008079999999994</v>
      </c>
      <c r="K7" s="16">
        <v>3.4223359999999996</v>
      </c>
      <c r="L7" s="16">
        <v>3.8875079166666668</v>
      </c>
      <c r="M7" s="16">
        <v>2.0671084166666662</v>
      </c>
      <c r="N7" s="17">
        <v>3.9406140833333327</v>
      </c>
      <c r="O7" s="17">
        <v>4.5691090833333332</v>
      </c>
      <c r="P7" s="17">
        <v>2.2175389999999999</v>
      </c>
      <c r="Q7" s="17">
        <v>5.8743000000000007</v>
      </c>
      <c r="T7" s="45">
        <v>5</v>
      </c>
      <c r="U7" s="14">
        <f>C7-C6</f>
        <v>2.1499166666666625E-2</v>
      </c>
      <c r="V7" s="14">
        <f t="shared" si="2"/>
        <v>5.0646083333333536E-2</v>
      </c>
      <c r="W7" s="14">
        <f t="shared" si="2"/>
        <v>1.2016249999999395E-2</v>
      </c>
      <c r="X7" s="14">
        <f t="shared" si="2"/>
        <v>8.335833333332765E-4</v>
      </c>
      <c r="Y7" s="15">
        <f t="shared" si="2"/>
        <v>9.9444749999999971E-2</v>
      </c>
      <c r="Z7" s="15">
        <f t="shared" si="2"/>
        <v>8.7166916666664207E-2</v>
      </c>
      <c r="AA7" s="15">
        <f t="shared" si="2"/>
        <v>4.0657500000000901E-3</v>
      </c>
      <c r="AB7" s="16">
        <f t="shared" si="2"/>
        <v>0</v>
      </c>
      <c r="AC7" s="16">
        <f t="shared" si="2"/>
        <v>4.7575000000001921E-3</v>
      </c>
      <c r="AD7" s="16">
        <f t="shared" si="2"/>
        <v>5.5239166666662953E-3</v>
      </c>
      <c r="AE7" s="16">
        <f t="shared" si="2"/>
        <v>7.7248333333326258E-3</v>
      </c>
      <c r="AF7" s="17">
        <f t="shared" si="2"/>
        <v>0.20729108333333279</v>
      </c>
      <c r="AG7" s="17">
        <f t="shared" si="2"/>
        <v>0.12098808333333277</v>
      </c>
      <c r="AH7" s="17">
        <f t="shared" si="2"/>
        <v>8.3255999999999997E-2</v>
      </c>
      <c r="AI7" s="17">
        <f t="shared" si="2"/>
        <v>0.26642808333333434</v>
      </c>
      <c r="AK7"/>
      <c r="AL7" s="45">
        <v>5</v>
      </c>
      <c r="AM7" s="14">
        <f t="shared" si="4"/>
        <v>5.6841458333334316E-3</v>
      </c>
      <c r="AN7" s="14">
        <f t="shared" si="3"/>
        <v>2.5109354166666265E-2</v>
      </c>
      <c r="AO7" s="14">
        <f t="shared" si="3"/>
        <v>3.0040624999998489E-3</v>
      </c>
      <c r="AP7" s="14">
        <f t="shared" si="3"/>
        <v>2.0839583333331912E-4</v>
      </c>
      <c r="AQ7" s="15">
        <f t="shared" si="3"/>
        <v>9.9091104166666888E-2</v>
      </c>
      <c r="AR7" s="15">
        <f t="shared" si="3"/>
        <v>9.5521104166666149E-2</v>
      </c>
      <c r="AS7" s="15">
        <f t="shared" si="3"/>
        <v>0.10577937500000012</v>
      </c>
      <c r="AT7" s="16">
        <f t="shared" si="3"/>
        <v>7.3309375000001342E-3</v>
      </c>
      <c r="AU7" s="16">
        <f t="shared" si="3"/>
        <v>5.0657645833333431E-2</v>
      </c>
      <c r="AV7" s="16">
        <f t="shared" si="3"/>
        <v>1.8228125000003814E-3</v>
      </c>
      <c r="AW7" s="16">
        <f t="shared" si="3"/>
        <v>1.2126562499999438E-2</v>
      </c>
      <c r="AX7" s="84">
        <f t="shared" si="3"/>
        <v>0.10117541666666607</v>
      </c>
      <c r="AY7" s="84">
        <f t="shared" si="3"/>
        <v>0.11112583333333315</v>
      </c>
      <c r="AZ7" s="84">
        <f t="shared" si="3"/>
        <v>5.4267999999999872E-2</v>
      </c>
      <c r="BA7" s="84">
        <f t="shared" si="3"/>
        <v>9.7641812499999592E-2</v>
      </c>
      <c r="BC7" s="76"/>
      <c r="BD7" s="75"/>
      <c r="BE7" s="75"/>
      <c r="BF7" s="75"/>
      <c r="BG7" s="75"/>
      <c r="BI7" s="76"/>
      <c r="BJ7" s="75"/>
      <c r="BK7" s="75"/>
      <c r="BL7" s="75"/>
      <c r="BM7" s="75"/>
    </row>
    <row r="8" spans="1:65" x14ac:dyDescent="0.2">
      <c r="B8" s="45">
        <v>6</v>
      </c>
      <c r="C8" s="14">
        <v>3.1403025833333325</v>
      </c>
      <c r="D8" s="14">
        <v>2.6161941666666668</v>
      </c>
      <c r="E8" s="14">
        <v>3.16061375</v>
      </c>
      <c r="F8" s="14">
        <v>1.5527077499999999</v>
      </c>
      <c r="G8" s="15">
        <v>2.290756</v>
      </c>
      <c r="H8" s="15">
        <v>6.6147622499999992</v>
      </c>
      <c r="I8" s="15">
        <v>1.981053</v>
      </c>
      <c r="J8" s="16">
        <v>2.2008079999999994</v>
      </c>
      <c r="K8" s="16">
        <v>3.4224389999999993</v>
      </c>
      <c r="L8" s="16">
        <v>3.9131579166666675</v>
      </c>
      <c r="M8" s="16">
        <v>2.0748331666666666</v>
      </c>
      <c r="N8" s="17">
        <v>4.1434053333333338</v>
      </c>
      <c r="O8" s="17">
        <v>4.791023916666667</v>
      </c>
      <c r="P8" s="17">
        <v>2.3007950000000004</v>
      </c>
      <c r="Q8" s="17">
        <v>6.1282846666666666</v>
      </c>
      <c r="T8" s="45">
        <v>6</v>
      </c>
      <c r="U8" s="14">
        <f t="shared" ref="U8:AI35" si="5">C8-C7</f>
        <v>1.05255833333322E-2</v>
      </c>
      <c r="V8" s="14">
        <f t="shared" si="2"/>
        <v>3.2595333333333087E-2</v>
      </c>
      <c r="W8" s="14">
        <f t="shared" si="2"/>
        <v>1.2016250000000284E-2</v>
      </c>
      <c r="X8" s="14">
        <f t="shared" si="2"/>
        <v>9.7501666666666154E-3</v>
      </c>
      <c r="Y8" s="15">
        <f t="shared" si="2"/>
        <v>0.12187958333333349</v>
      </c>
      <c r="Z8" s="15">
        <f t="shared" si="2"/>
        <v>1.5684833333335035E-2</v>
      </c>
      <c r="AA8" s="15">
        <f t="shared" si="2"/>
        <v>3.3109999999996198E-3</v>
      </c>
      <c r="AB8" s="16">
        <f t="shared" si="2"/>
        <v>0</v>
      </c>
      <c r="AC8" s="16">
        <f t="shared" si="2"/>
        <v>1.0299999999974219E-4</v>
      </c>
      <c r="AD8" s="16">
        <f t="shared" si="2"/>
        <v>2.5650000000000617E-2</v>
      </c>
      <c r="AE8" s="16">
        <f t="shared" si="2"/>
        <v>7.724750000000391E-3</v>
      </c>
      <c r="AF8" s="17">
        <f t="shared" si="2"/>
        <v>0.20279125000000109</v>
      </c>
      <c r="AG8" s="17">
        <f t="shared" si="2"/>
        <v>0.22191483333333384</v>
      </c>
      <c r="AH8" s="17">
        <f t="shared" si="2"/>
        <v>8.3256000000000441E-2</v>
      </c>
      <c r="AI8" s="17">
        <f t="shared" si="2"/>
        <v>0.25398466666666586</v>
      </c>
      <c r="AK8"/>
      <c r="AL8" s="45">
        <v>6</v>
      </c>
      <c r="AM8" s="14">
        <f t="shared" si="4"/>
        <v>3.5602708333331012E-3</v>
      </c>
      <c r="AN8" s="14">
        <f t="shared" si="3"/>
        <v>2.1387666666666583E-2</v>
      </c>
      <c r="AO8" s="14">
        <f t="shared" si="3"/>
        <v>3.092374999999814E-3</v>
      </c>
      <c r="AP8" s="14">
        <f t="shared" si="3"/>
        <v>2.4375416666666538E-3</v>
      </c>
      <c r="AQ8" s="15">
        <f t="shared" si="3"/>
        <v>0.12521158333333338</v>
      </c>
      <c r="AR8" s="15">
        <f t="shared" si="3"/>
        <v>5.2798916666666695E-2</v>
      </c>
      <c r="AS8" s="15">
        <f t="shared" si="3"/>
        <v>6.0274687499999757E-2</v>
      </c>
      <c r="AT8" s="16">
        <f t="shared" si="3"/>
        <v>9.870520833333174E-3</v>
      </c>
      <c r="AU8" s="16">
        <f t="shared" si="3"/>
        <v>3.2889562499999969E-2</v>
      </c>
      <c r="AV8" s="16">
        <f t="shared" si="3"/>
        <v>7.9475416666667797E-3</v>
      </c>
      <c r="AW8" s="16">
        <f t="shared" si="3"/>
        <v>1.8654770833333778E-2</v>
      </c>
      <c r="AX8" s="84">
        <f t="shared" si="3"/>
        <v>0.10267000000000059</v>
      </c>
      <c r="AY8" s="84">
        <f t="shared" si="3"/>
        <v>0.13959247916666651</v>
      </c>
      <c r="AZ8" s="84">
        <f t="shared" si="3"/>
        <v>6.7378416666666774E-2</v>
      </c>
      <c r="BA8" s="84">
        <f t="shared" si="3"/>
        <v>0.13768970833333327</v>
      </c>
      <c r="BC8" s="76"/>
      <c r="BD8" s="75"/>
      <c r="BE8" s="75"/>
      <c r="BF8" s="75"/>
      <c r="BG8" s="75"/>
      <c r="BI8" s="76"/>
      <c r="BJ8" s="75"/>
      <c r="BK8" s="75"/>
      <c r="BL8" s="75"/>
      <c r="BM8" s="75"/>
    </row>
    <row r="9" spans="1:65" x14ac:dyDescent="0.2">
      <c r="B9" s="45">
        <v>7</v>
      </c>
      <c r="C9" s="14">
        <v>3.1490370833333334</v>
      </c>
      <c r="D9" s="14">
        <v>2.6237753333333331</v>
      </c>
      <c r="E9" s="14">
        <v>3.172630083333333</v>
      </c>
      <c r="F9" s="14">
        <v>1.5832634999999999</v>
      </c>
      <c r="G9" s="15">
        <v>2.4126341666666673</v>
      </c>
      <c r="H9" s="15">
        <v>6.8123793333333325</v>
      </c>
      <c r="I9" s="15">
        <v>1.9839942500000003</v>
      </c>
      <c r="J9" s="16">
        <v>2.2008079999999994</v>
      </c>
      <c r="K9" s="16">
        <v>3.4224389999999993</v>
      </c>
      <c r="L9" s="16">
        <v>3.9406237500000003</v>
      </c>
      <c r="M9" s="16">
        <v>2.0822490000000005</v>
      </c>
      <c r="N9" s="17">
        <v>4.3395109166666659</v>
      </c>
      <c r="O9" s="17">
        <v>4.8955688333333329</v>
      </c>
      <c r="P9" s="17">
        <v>2.3818623333333329</v>
      </c>
      <c r="Q9" s="17">
        <v>6.1659759999999997</v>
      </c>
      <c r="T9" s="45">
        <v>7</v>
      </c>
      <c r="U9" s="14">
        <f t="shared" si="5"/>
        <v>8.7345000000009776E-3</v>
      </c>
      <c r="V9" s="14">
        <f t="shared" si="2"/>
        <v>7.5811666666663058E-3</v>
      </c>
      <c r="W9" s="14">
        <f t="shared" si="2"/>
        <v>1.2016333333332962E-2</v>
      </c>
      <c r="X9" s="14">
        <f t="shared" si="2"/>
        <v>3.0555749999999993E-2</v>
      </c>
      <c r="Y9" s="15">
        <f t="shared" si="2"/>
        <v>0.12187816666666729</v>
      </c>
      <c r="Z9" s="15">
        <f t="shared" si="2"/>
        <v>0.19761708333333328</v>
      </c>
      <c r="AA9" s="15">
        <f t="shared" si="2"/>
        <v>2.9412500000003394E-3</v>
      </c>
      <c r="AB9" s="16">
        <f t="shared" si="2"/>
        <v>0</v>
      </c>
      <c r="AC9" s="16">
        <f t="shared" si="2"/>
        <v>0</v>
      </c>
      <c r="AD9" s="16">
        <f t="shared" si="2"/>
        <v>2.7465833333332856E-2</v>
      </c>
      <c r="AE9" s="16">
        <f t="shared" si="2"/>
        <v>7.4158333333338433E-3</v>
      </c>
      <c r="AF9" s="17">
        <f t="shared" si="2"/>
        <v>0.19610558333333206</v>
      </c>
      <c r="AG9" s="17">
        <f t="shared" si="2"/>
        <v>0.10454491666666588</v>
      </c>
      <c r="AH9" s="17">
        <f t="shared" si="2"/>
        <v>8.1067333333332492E-2</v>
      </c>
      <c r="AI9" s="17">
        <f t="shared" si="2"/>
        <v>3.7691333333333077E-2</v>
      </c>
      <c r="AK9"/>
      <c r="AL9" s="45">
        <v>7</v>
      </c>
      <c r="AM9" s="14">
        <f t="shared" si="4"/>
        <v>1.4309854166667302E-2</v>
      </c>
      <c r="AN9" s="14">
        <f t="shared" si="3"/>
        <v>1.4194791666666928E-2</v>
      </c>
      <c r="AO9" s="14">
        <f t="shared" si="3"/>
        <v>3.2177708333332999E-3</v>
      </c>
      <c r="AP9" s="14">
        <f t="shared" si="3"/>
        <v>7.8262708333333153E-3</v>
      </c>
      <c r="AQ9" s="15">
        <f t="shared" si="3"/>
        <v>8.9413437499999859E-2</v>
      </c>
      <c r="AR9" s="15">
        <f t="shared" si="3"/>
        <v>0.10049447916666687</v>
      </c>
      <c r="AS9" s="15">
        <f t="shared" si="3"/>
        <v>0.10010774999999944</v>
      </c>
      <c r="AT9" s="16">
        <f t="shared" si="3"/>
        <v>9.8705416666666768E-3</v>
      </c>
      <c r="AU9" s="16">
        <f t="shared" si="3"/>
        <v>2.3843333333333439E-2</v>
      </c>
      <c r="AV9" s="16">
        <f t="shared" si="3"/>
        <v>7.5163124999991782E-3</v>
      </c>
      <c r="AW9" s="16">
        <f t="shared" si="3"/>
        <v>3.1230604166666676E-2</v>
      </c>
      <c r="AX9" s="84">
        <f t="shared" si="3"/>
        <v>8.8404562499999617E-2</v>
      </c>
      <c r="AY9" s="84">
        <f t="shared" si="3"/>
        <v>0.11150833333333421</v>
      </c>
      <c r="AZ9" s="84">
        <f t="shared" si="3"/>
        <v>6.6633895833333234E-2</v>
      </c>
      <c r="BA9" s="84">
        <f t="shared" si="3"/>
        <v>0.10055491666666683</v>
      </c>
      <c r="BC9" s="76"/>
      <c r="BD9" s="75"/>
      <c r="BE9" s="75"/>
      <c r="BF9" s="75"/>
      <c r="BG9" s="75"/>
      <c r="BI9" s="76"/>
      <c r="BJ9" s="75"/>
      <c r="BK9" s="75"/>
      <c r="BL9" s="75"/>
      <c r="BM9" s="75"/>
    </row>
    <row r="10" spans="1:65" x14ac:dyDescent="0.2">
      <c r="B10" s="45">
        <v>8</v>
      </c>
      <c r="C10" s="14">
        <v>3.2073865000000001</v>
      </c>
      <c r="D10" s="14">
        <v>2.6323430000000001</v>
      </c>
      <c r="E10" s="14">
        <v>3.1846463333333337</v>
      </c>
      <c r="F10" s="14">
        <v>1.6133502499999999</v>
      </c>
      <c r="G10" s="15">
        <v>2.5345151666666665</v>
      </c>
      <c r="H10" s="15">
        <v>6.9871096666666661</v>
      </c>
      <c r="I10" s="15">
        <v>1.9861240833333333</v>
      </c>
      <c r="J10" s="16">
        <v>2.2008079999999994</v>
      </c>
      <c r="K10" s="16">
        <v>3.4224389999999993</v>
      </c>
      <c r="L10" s="16">
        <v>3.955718249999999</v>
      </c>
      <c r="M10" s="16">
        <v>2.1177403333333333</v>
      </c>
      <c r="N10" s="17">
        <v>4.5321579999999999</v>
      </c>
      <c r="O10" s="17">
        <v>5.0002823333333337</v>
      </c>
      <c r="P10" s="17">
        <v>2.4393595833333332</v>
      </c>
      <c r="Q10" s="17">
        <v>6.1659759999999997</v>
      </c>
      <c r="T10" s="45">
        <v>8</v>
      </c>
      <c r="U10" s="14">
        <f t="shared" si="5"/>
        <v>5.8349416666666709E-2</v>
      </c>
      <c r="V10" s="14">
        <f t="shared" si="2"/>
        <v>8.5676666666669732E-3</v>
      </c>
      <c r="W10" s="14">
        <f t="shared" si="2"/>
        <v>1.2016250000000728E-2</v>
      </c>
      <c r="X10" s="14">
        <f t="shared" si="2"/>
        <v>3.008674999999994E-2</v>
      </c>
      <c r="Y10" s="15">
        <f t="shared" si="2"/>
        <v>0.12188099999999924</v>
      </c>
      <c r="Z10" s="15">
        <f t="shared" si="2"/>
        <v>0.17473033333333365</v>
      </c>
      <c r="AA10" s="15">
        <f t="shared" si="2"/>
        <v>2.1298333333330532E-3</v>
      </c>
      <c r="AB10" s="16">
        <f t="shared" si="2"/>
        <v>0</v>
      </c>
      <c r="AC10" s="16">
        <f t="shared" si="2"/>
        <v>0</v>
      </c>
      <c r="AD10" s="16">
        <f t="shared" si="2"/>
        <v>1.5094499999998678E-2</v>
      </c>
      <c r="AE10" s="16">
        <f t="shared" si="2"/>
        <v>3.5491333333332875E-2</v>
      </c>
      <c r="AF10" s="17">
        <f t="shared" si="2"/>
        <v>0.19264708333333402</v>
      </c>
      <c r="AG10" s="17">
        <f t="shared" si="2"/>
        <v>0.10471350000000079</v>
      </c>
      <c r="AH10" s="17">
        <f t="shared" si="2"/>
        <v>5.7497250000000388E-2</v>
      </c>
      <c r="AI10" s="17">
        <f t="shared" si="2"/>
        <v>0</v>
      </c>
      <c r="AK10"/>
      <c r="AL10" s="45">
        <v>8</v>
      </c>
      <c r="AM10" s="14">
        <f t="shared" si="4"/>
        <v>3.9525666666666015E-2</v>
      </c>
      <c r="AN10" s="14">
        <f t="shared" si="3"/>
        <v>6.8147291666669219E-3</v>
      </c>
      <c r="AO10" s="14">
        <f t="shared" si="3"/>
        <v>3.2186458333334222E-3</v>
      </c>
      <c r="AP10" s="14">
        <f t="shared" si="3"/>
        <v>9.455875000000058E-3</v>
      </c>
      <c r="AQ10" s="15">
        <f t="shared" si="3"/>
        <v>3.960074999999974E-2</v>
      </c>
      <c r="AR10" s="15">
        <f t="shared" si="3"/>
        <v>0.10796477083333467</v>
      </c>
      <c r="AS10" s="15">
        <f t="shared" si="3"/>
        <v>0.10698708333333418</v>
      </c>
      <c r="AT10" s="16">
        <f t="shared" si="3"/>
        <v>2.1286250000000173E-2</v>
      </c>
      <c r="AU10" s="16">
        <f t="shared" si="3"/>
        <v>1.2959499999999569E-2</v>
      </c>
      <c r="AV10" s="16">
        <f t="shared" si="3"/>
        <v>3.7736249999996696E-3</v>
      </c>
      <c r="AW10" s="16">
        <f t="shared" si="3"/>
        <v>3.9379354166666491E-2</v>
      </c>
      <c r="AX10" s="84">
        <f t="shared" si="3"/>
        <v>7.8949083333333725E-2</v>
      </c>
      <c r="AY10" s="84">
        <f t="shared" si="3"/>
        <v>0.17420972916666644</v>
      </c>
      <c r="AZ10" s="84">
        <f t="shared" si="3"/>
        <v>4.9361395833333543E-2</v>
      </c>
      <c r="BA10" s="84">
        <f t="shared" si="3"/>
        <v>7.4765833333333642E-2</v>
      </c>
      <c r="BC10" s="76"/>
      <c r="BD10" s="75"/>
      <c r="BE10" s="75"/>
      <c r="BF10" s="75"/>
      <c r="BG10" s="75"/>
      <c r="BI10" s="76"/>
      <c r="BJ10" s="75"/>
      <c r="BK10" s="75"/>
      <c r="BL10" s="75"/>
      <c r="BM10" s="75"/>
    </row>
    <row r="11" spans="1:65" x14ac:dyDescent="0.2">
      <c r="B11" s="45">
        <v>9</v>
      </c>
      <c r="C11" s="14">
        <v>3.2743345000000001</v>
      </c>
      <c r="D11" s="14">
        <v>2.647605916666667</v>
      </c>
      <c r="E11" s="14">
        <v>3.2014434166666668</v>
      </c>
      <c r="F11" s="14">
        <v>1.6450554999999998</v>
      </c>
      <c r="G11" s="15">
        <v>2.65639475</v>
      </c>
      <c r="H11" s="15">
        <v>7.1405804999999996</v>
      </c>
      <c r="I11" s="15">
        <v>1.9882697499999999</v>
      </c>
      <c r="J11" s="16">
        <v>2.2008079999999994</v>
      </c>
      <c r="K11" s="16">
        <v>3.4224389999999993</v>
      </c>
      <c r="L11" s="16">
        <v>3.9593810833333336</v>
      </c>
      <c r="M11" s="16">
        <v>2.1816254166666669</v>
      </c>
      <c r="N11" s="17">
        <v>4.8154525000000001</v>
      </c>
      <c r="O11" s="17">
        <v>5.0722782500000001</v>
      </c>
      <c r="P11" s="17">
        <v>2.4574139166666664</v>
      </c>
      <c r="Q11" s="17">
        <v>6.1742844999999997</v>
      </c>
      <c r="T11" s="45">
        <v>9</v>
      </c>
      <c r="U11" s="14">
        <f t="shared" si="5"/>
        <v>6.6948000000000008E-2</v>
      </c>
      <c r="V11" s="14">
        <f t="shared" si="2"/>
        <v>1.5262916666666904E-2</v>
      </c>
      <c r="W11" s="14">
        <f t="shared" si="2"/>
        <v>1.6797083333333074E-2</v>
      </c>
      <c r="X11" s="14">
        <f t="shared" si="2"/>
        <v>3.1705249999999907E-2</v>
      </c>
      <c r="Y11" s="15">
        <f t="shared" si="2"/>
        <v>0.12187958333333349</v>
      </c>
      <c r="Z11" s="15">
        <f t="shared" si="2"/>
        <v>0.15347083333333345</v>
      </c>
      <c r="AA11" s="15">
        <f t="shared" si="2"/>
        <v>2.1456666666666013E-3</v>
      </c>
      <c r="AB11" s="16">
        <f t="shared" si="2"/>
        <v>0</v>
      </c>
      <c r="AC11" s="16">
        <f t="shared" si="2"/>
        <v>0</v>
      </c>
      <c r="AD11" s="16">
        <f t="shared" si="2"/>
        <v>3.6628333333346141E-3</v>
      </c>
      <c r="AE11" s="16">
        <f t="shared" si="2"/>
        <v>6.3885083333333537E-2</v>
      </c>
      <c r="AF11" s="17">
        <f t="shared" si="2"/>
        <v>0.28329450000000023</v>
      </c>
      <c r="AG11" s="17">
        <f t="shared" si="2"/>
        <v>7.1995916666666382E-2</v>
      </c>
      <c r="AH11" s="17">
        <f t="shared" si="2"/>
        <v>1.8054333333333172E-2</v>
      </c>
      <c r="AI11" s="17">
        <f t="shared" si="2"/>
        <v>8.308500000000052E-3</v>
      </c>
      <c r="AK11"/>
      <c r="AL11" s="45">
        <v>9</v>
      </c>
      <c r="AM11" s="14">
        <f t="shared" si="4"/>
        <v>4.3773583333333255E-2</v>
      </c>
      <c r="AN11" s="14">
        <f t="shared" si="3"/>
        <v>7.8555208333328519E-3</v>
      </c>
      <c r="AO11" s="14">
        <f t="shared" si="3"/>
        <v>4.4466666666667098E-3</v>
      </c>
      <c r="AP11" s="14">
        <f t="shared" si="3"/>
        <v>1.2066083333332811E-2</v>
      </c>
      <c r="AQ11" s="15">
        <f t="shared" si="3"/>
        <v>3.6494000000000026E-2</v>
      </c>
      <c r="AR11" s="15">
        <f t="shared" si="3"/>
        <v>0.14072858333333294</v>
      </c>
      <c r="AS11" s="15">
        <f t="shared" si="3"/>
        <v>5.3486770833333142E-2</v>
      </c>
      <c r="AT11" s="16">
        <f t="shared" si="3"/>
        <v>8.4426104166666516E-2</v>
      </c>
      <c r="AU11" s="16">
        <f t="shared" si="3"/>
        <v>1.2994979166666587E-2</v>
      </c>
      <c r="AV11" s="16">
        <f t="shared" si="3"/>
        <v>9.1570833333365353E-4</v>
      </c>
      <c r="AW11" s="16">
        <f t="shared" si="3"/>
        <v>4.0190874999999737E-2</v>
      </c>
      <c r="AX11" s="84">
        <f t="shared" si="3"/>
        <v>0.11985843749999914</v>
      </c>
      <c r="AY11" s="84">
        <f t="shared" si="3"/>
        <v>0.22974031249999993</v>
      </c>
      <c r="AZ11" s="84">
        <f t="shared" si="3"/>
        <v>5.3113041666666638E-2</v>
      </c>
      <c r="BA11" s="84">
        <f t="shared" si="3"/>
        <v>7.7196500000000112E-2</v>
      </c>
      <c r="BC11" s="76"/>
      <c r="BD11" s="75"/>
      <c r="BE11" s="75"/>
      <c r="BF11" s="75"/>
      <c r="BG11" s="75"/>
      <c r="BI11" s="76"/>
      <c r="BJ11" s="75"/>
      <c r="BK11" s="75"/>
      <c r="BL11" s="75"/>
      <c r="BM11" s="75"/>
    </row>
    <row r="12" spans="1:65" x14ac:dyDescent="0.2">
      <c r="B12" s="45">
        <v>10</v>
      </c>
      <c r="C12" s="14">
        <v>3.34044125</v>
      </c>
      <c r="D12" s="14">
        <v>2.6724484166666671</v>
      </c>
      <c r="E12" s="14">
        <v>3.2286369166666664</v>
      </c>
      <c r="F12" s="14">
        <v>1.6824436666666667</v>
      </c>
      <c r="G12" s="15">
        <v>2.7589397499999992</v>
      </c>
      <c r="H12" s="15">
        <v>7.1919639999999996</v>
      </c>
      <c r="I12" s="15">
        <v>1.99593025</v>
      </c>
      <c r="J12" s="16">
        <v>2.2008079999999994</v>
      </c>
      <c r="K12" s="16">
        <v>3.4224389999999993</v>
      </c>
      <c r="L12" s="16">
        <v>4.0626796666666669</v>
      </c>
      <c r="M12" s="16">
        <v>2.2443588333333335</v>
      </c>
      <c r="N12" s="17">
        <v>5.2987259166666663</v>
      </c>
      <c r="O12" s="17">
        <v>5.2570625</v>
      </c>
      <c r="P12" s="17">
        <v>2.4908844999999995</v>
      </c>
      <c r="Q12" s="17">
        <v>6.1986745833333323</v>
      </c>
      <c r="T12" s="45">
        <v>10</v>
      </c>
      <c r="U12" s="14">
        <f t="shared" si="5"/>
        <v>6.6106749999999881E-2</v>
      </c>
      <c r="V12" s="14">
        <f t="shared" si="2"/>
        <v>2.4842500000000101E-2</v>
      </c>
      <c r="W12" s="14">
        <f t="shared" si="2"/>
        <v>2.7193499999999649E-2</v>
      </c>
      <c r="X12" s="14">
        <f t="shared" si="2"/>
        <v>3.7388166666666889E-2</v>
      </c>
      <c r="Y12" s="15">
        <f t="shared" si="2"/>
        <v>0.10254499999999922</v>
      </c>
      <c r="Z12" s="15">
        <f t="shared" si="2"/>
        <v>5.1383500000000026E-2</v>
      </c>
      <c r="AA12" s="15">
        <f t="shared" si="2"/>
        <v>7.66050000000007E-3</v>
      </c>
      <c r="AB12" s="16">
        <f t="shared" si="2"/>
        <v>0</v>
      </c>
      <c r="AC12" s="16">
        <f t="shared" si="2"/>
        <v>0</v>
      </c>
      <c r="AD12" s="16">
        <f t="shared" si="2"/>
        <v>0.1032985833333333</v>
      </c>
      <c r="AE12" s="16">
        <f t="shared" si="2"/>
        <v>6.2733416666666653E-2</v>
      </c>
      <c r="AF12" s="17">
        <f t="shared" si="2"/>
        <v>0.48327341666666612</v>
      </c>
      <c r="AG12" s="17">
        <f t="shared" si="2"/>
        <v>0.18478424999999987</v>
      </c>
      <c r="AH12" s="17">
        <f t="shared" si="2"/>
        <v>3.3470583333333082E-2</v>
      </c>
      <c r="AI12" s="17">
        <f t="shared" si="2"/>
        <v>2.4390083333332591E-2</v>
      </c>
      <c r="AK12"/>
      <c r="AL12" s="45">
        <v>10</v>
      </c>
      <c r="AM12" s="14">
        <f t="shared" si="4"/>
        <v>4.3563312500000673E-2</v>
      </c>
      <c r="AN12" s="14">
        <f t="shared" si="3"/>
        <v>1.0332645833333265E-2</v>
      </c>
      <c r="AO12" s="14">
        <f t="shared" si="3"/>
        <v>1.5879729166666467E-2</v>
      </c>
      <c r="AP12" s="14">
        <f t="shared" si="3"/>
        <v>2.4219666666666806E-2</v>
      </c>
      <c r="AQ12" s="15">
        <f t="shared" si="3"/>
        <v>4.0769770833332775E-2</v>
      </c>
      <c r="AR12" s="15">
        <f t="shared" si="3"/>
        <v>4.8902229166667421E-2</v>
      </c>
      <c r="AS12" s="15">
        <f t="shared" si="3"/>
        <v>1.0286729166666175E-2</v>
      </c>
      <c r="AT12" s="16">
        <f t="shared" si="3"/>
        <v>4.4165895833333524E-2</v>
      </c>
      <c r="AU12" s="16">
        <f t="shared" si="3"/>
        <v>5.8652916666677157E-3</v>
      </c>
      <c r="AV12" s="16">
        <f t="shared" si="3"/>
        <v>2.6875187500000619E-2</v>
      </c>
      <c r="AW12" s="16">
        <f t="shared" si="3"/>
        <v>3.9391500000000024E-2</v>
      </c>
      <c r="AX12" s="84">
        <f t="shared" si="3"/>
        <v>0.14233462499999883</v>
      </c>
      <c r="AY12" s="84">
        <f t="shared" si="3"/>
        <v>0.12003572916666694</v>
      </c>
      <c r="AZ12" s="84">
        <f t="shared" si="3"/>
        <v>5.2907562499999949E-2</v>
      </c>
      <c r="BA12" s="84">
        <f t="shared" si="3"/>
        <v>6.9730875000000303E-2</v>
      </c>
      <c r="BC12" s="76"/>
      <c r="BD12" s="75"/>
      <c r="BE12" s="75"/>
      <c r="BF12" s="75"/>
      <c r="BG12" s="75"/>
      <c r="BI12" s="76"/>
      <c r="BJ12" s="75"/>
      <c r="BK12" s="75"/>
      <c r="BL12" s="75"/>
      <c r="BM12" s="75"/>
    </row>
    <row r="13" spans="1:65" x14ac:dyDescent="0.2">
      <c r="B13" s="45">
        <v>11</v>
      </c>
      <c r="C13" s="14">
        <v>3.371616916666667</v>
      </c>
      <c r="D13" s="14">
        <v>2.687478833333333</v>
      </c>
      <c r="E13" s="14">
        <v>3.2561027499999997</v>
      </c>
      <c r="F13" s="14">
        <v>1.7236425000000002</v>
      </c>
      <c r="G13" s="15">
        <v>2.9832299166666671</v>
      </c>
      <c r="H13" s="15">
        <v>7.1919639999999996</v>
      </c>
      <c r="I13" s="15">
        <v>2.2482332499999997</v>
      </c>
      <c r="J13" s="16">
        <v>2.2008079999999994</v>
      </c>
      <c r="K13" s="16">
        <v>3.4224389999999993</v>
      </c>
      <c r="L13" s="16">
        <v>4.1608292499999999</v>
      </c>
      <c r="M13" s="16">
        <v>2.3164773333333337</v>
      </c>
      <c r="N13" s="17">
        <v>5.3377789999999985</v>
      </c>
      <c r="O13" s="17">
        <v>5.5763524999999996</v>
      </c>
      <c r="P13" s="17">
        <v>2.5243584999999999</v>
      </c>
      <c r="Q13" s="17">
        <v>6.223089916666666</v>
      </c>
      <c r="T13" s="45">
        <v>11</v>
      </c>
      <c r="U13" s="14">
        <f t="shared" si="5"/>
        <v>3.1175666666666935E-2</v>
      </c>
      <c r="V13" s="14">
        <f t="shared" si="2"/>
        <v>1.5030416666665936E-2</v>
      </c>
      <c r="W13" s="14">
        <f t="shared" si="2"/>
        <v>2.74658333333333E-2</v>
      </c>
      <c r="X13" s="14">
        <f t="shared" si="2"/>
        <v>4.1198833333333518E-2</v>
      </c>
      <c r="Y13" s="15">
        <f t="shared" si="2"/>
        <v>0.2242901666666679</v>
      </c>
      <c r="Z13" s="15">
        <f t="shared" si="2"/>
        <v>0</v>
      </c>
      <c r="AA13" s="15">
        <f t="shared" si="2"/>
        <v>0.25230299999999972</v>
      </c>
      <c r="AB13" s="16">
        <f t="shared" si="2"/>
        <v>0</v>
      </c>
      <c r="AC13" s="16">
        <f t="shared" si="2"/>
        <v>0</v>
      </c>
      <c r="AD13" s="16">
        <f t="shared" si="2"/>
        <v>9.8149583333333013E-2</v>
      </c>
      <c r="AE13" s="16">
        <f t="shared" si="2"/>
        <v>7.2118500000000196E-2</v>
      </c>
      <c r="AF13" s="17">
        <f t="shared" si="2"/>
        <v>3.9053083333332239E-2</v>
      </c>
      <c r="AG13" s="17">
        <f t="shared" si="2"/>
        <v>0.31928999999999963</v>
      </c>
      <c r="AH13" s="17">
        <f t="shared" si="2"/>
        <v>3.3474000000000448E-2</v>
      </c>
      <c r="AI13" s="17">
        <f t="shared" si="2"/>
        <v>2.4415333333333678E-2</v>
      </c>
      <c r="AK13"/>
      <c r="AL13" s="45">
        <v>11</v>
      </c>
      <c r="AM13" s="14">
        <f t="shared" si="4"/>
        <v>3.664860416666671E-2</v>
      </c>
      <c r="AN13" s="14">
        <f t="shared" si="3"/>
        <v>6.9140624999999289E-3</v>
      </c>
      <c r="AO13" s="14">
        <f t="shared" si="3"/>
        <v>1.9194604166666851E-2</v>
      </c>
      <c r="AP13" s="14">
        <f t="shared" si="3"/>
        <v>3.4295999999999993E-2</v>
      </c>
      <c r="AQ13" s="15">
        <f t="shared" si="3"/>
        <v>7.5613166666667064E-2</v>
      </c>
      <c r="AR13" s="15">
        <f t="shared" si="3"/>
        <v>5.4739354166665422E-2</v>
      </c>
      <c r="AS13" s="15">
        <f t="shared" si="3"/>
        <v>6.7706499999999947E-2</v>
      </c>
      <c r="AT13" s="16">
        <f t="shared" si="3"/>
        <v>8.1048125000000582E-3</v>
      </c>
      <c r="AU13" s="16">
        <f t="shared" si="3"/>
        <v>2.2489166666659344E-3</v>
      </c>
      <c r="AV13" s="16">
        <f t="shared" si="3"/>
        <v>4.4784583333333794E-2</v>
      </c>
      <c r="AW13" s="16">
        <f t="shared" si="3"/>
        <v>3.1028833333333061E-2</v>
      </c>
      <c r="AX13" s="84">
        <f t="shared" si="3"/>
        <v>2.6470520833333344E-2</v>
      </c>
      <c r="AY13" s="84">
        <f t="shared" si="3"/>
        <v>0.1250552916666654</v>
      </c>
      <c r="AZ13" s="84">
        <f t="shared" si="3"/>
        <v>4.9557479166666751E-2</v>
      </c>
      <c r="BA13" s="84">
        <f t="shared" si="3"/>
        <v>3.0409124999999371E-2</v>
      </c>
      <c r="BC13" s="76"/>
      <c r="BD13" s="75"/>
      <c r="BE13" s="75"/>
      <c r="BF13" s="75"/>
      <c r="BG13" s="75"/>
      <c r="BI13" s="76"/>
      <c r="BJ13" s="75"/>
      <c r="BK13" s="75"/>
      <c r="BL13" s="75"/>
      <c r="BM13" s="75"/>
    </row>
    <row r="14" spans="1:65" x14ac:dyDescent="0.2">
      <c r="B14" s="45">
        <v>12</v>
      </c>
      <c r="C14" s="14">
        <v>3.3844914166666662</v>
      </c>
      <c r="D14" s="14">
        <v>2.688490666666667</v>
      </c>
      <c r="E14" s="14">
        <v>3.2821213333333343</v>
      </c>
      <c r="F14" s="14">
        <v>1.7648411666666668</v>
      </c>
      <c r="G14" s="15">
        <v>3.2277645000000006</v>
      </c>
      <c r="H14" s="15">
        <v>7.2601665833333335</v>
      </c>
      <c r="I14" s="15">
        <v>2.4573240833333325</v>
      </c>
      <c r="J14" s="16">
        <v>2.2008079999999994</v>
      </c>
      <c r="K14" s="16">
        <v>3.4224389999999993</v>
      </c>
      <c r="L14" s="16">
        <v>4.2328754166666664</v>
      </c>
      <c r="M14" s="16">
        <v>2.396652</v>
      </c>
      <c r="N14" s="17">
        <v>5.4115472500000008</v>
      </c>
      <c r="O14" s="17">
        <v>5.8106460833333342</v>
      </c>
      <c r="P14" s="17">
        <v>2.5581649166666662</v>
      </c>
      <c r="Q14" s="17">
        <v>6.2765990833333332</v>
      </c>
      <c r="T14" s="45">
        <v>12</v>
      </c>
      <c r="U14" s="14">
        <f t="shared" si="5"/>
        <v>1.2874499999999234E-2</v>
      </c>
      <c r="V14" s="14">
        <f t="shared" si="2"/>
        <v>1.0118333333339891E-3</v>
      </c>
      <c r="W14" s="14">
        <f t="shared" si="2"/>
        <v>2.6018583333334622E-2</v>
      </c>
      <c r="X14" s="14">
        <f t="shared" si="2"/>
        <v>4.1198666666666606E-2</v>
      </c>
      <c r="Y14" s="15">
        <f t="shared" si="2"/>
        <v>0.24453458333333344</v>
      </c>
      <c r="Z14" s="15">
        <f t="shared" si="2"/>
        <v>6.8202583333333955E-2</v>
      </c>
      <c r="AA14" s="15">
        <f t="shared" si="2"/>
        <v>0.20909083333333278</v>
      </c>
      <c r="AB14" s="16">
        <f t="shared" si="2"/>
        <v>0</v>
      </c>
      <c r="AC14" s="16">
        <f t="shared" si="2"/>
        <v>0</v>
      </c>
      <c r="AD14" s="16">
        <f t="shared" si="2"/>
        <v>7.2046166666666522E-2</v>
      </c>
      <c r="AE14" s="16">
        <f t="shared" si="2"/>
        <v>8.0174666666666283E-2</v>
      </c>
      <c r="AF14" s="17">
        <f t="shared" si="2"/>
        <v>7.3768250000002311E-2</v>
      </c>
      <c r="AG14" s="17">
        <f t="shared" si="2"/>
        <v>0.23429358333333461</v>
      </c>
      <c r="AH14" s="17">
        <f t="shared" si="2"/>
        <v>3.3806416666666284E-2</v>
      </c>
      <c r="AI14" s="17">
        <f t="shared" si="2"/>
        <v>5.3509166666667163E-2</v>
      </c>
      <c r="AK14"/>
      <c r="AL14" s="45">
        <v>12</v>
      </c>
      <c r="AM14" s="14">
        <f t="shared" si="4"/>
        <v>3.1476374999999446E-2</v>
      </c>
      <c r="AN14" s="14">
        <f t="shared" si="3"/>
        <v>6.2406250000002217E-3</v>
      </c>
      <c r="AO14" s="14">
        <f t="shared" si="3"/>
        <v>9.3573958333332818E-3</v>
      </c>
      <c r="AP14" s="14">
        <f t="shared" si="3"/>
        <v>3.5876729166667121E-2</v>
      </c>
      <c r="AQ14" s="15">
        <f t="shared" si="3"/>
        <v>7.8917166666667038E-2</v>
      </c>
      <c r="AR14" s="15">
        <f t="shared" si="3"/>
        <v>4.9135875000000384E-2</v>
      </c>
      <c r="AS14" s="15">
        <f t="shared" si="3"/>
        <v>5.3790020833333507E-2</v>
      </c>
      <c r="AT14" s="16">
        <f t="shared" si="3"/>
        <v>1.3581458333331575E-3</v>
      </c>
      <c r="AU14" s="16">
        <f t="shared" si="3"/>
        <v>6.6137500000040816E-4</v>
      </c>
      <c r="AV14" s="16">
        <f t="shared" si="3"/>
        <v>5.9718958333333072E-2</v>
      </c>
      <c r="AW14" s="16">
        <f t="shared" si="3"/>
        <v>2.1984666666666541E-2</v>
      </c>
      <c r="AX14" s="84">
        <f t="shared" si="3"/>
        <v>3.2824750000002068E-2</v>
      </c>
      <c r="AY14" s="84">
        <f t="shared" si="3"/>
        <v>0.10672647916666689</v>
      </c>
      <c r="AZ14" s="84">
        <f t="shared" si="3"/>
        <v>6.4218750000000102E-2</v>
      </c>
      <c r="BA14" s="84">
        <f t="shared" si="3"/>
        <v>4.4180250000000809E-2</v>
      </c>
      <c r="BC14" s="76"/>
      <c r="BD14" s="75"/>
      <c r="BE14" s="75"/>
      <c r="BF14" s="75"/>
      <c r="BG14" s="75"/>
      <c r="BI14" s="76"/>
      <c r="BJ14" s="75"/>
      <c r="BK14" s="75"/>
      <c r="BL14" s="75"/>
      <c r="BM14" s="75"/>
    </row>
    <row r="15" spans="1:65" x14ac:dyDescent="0.2">
      <c r="B15" s="45">
        <v>13</v>
      </c>
      <c r="C15" s="14">
        <v>3.3973659999999999</v>
      </c>
      <c r="D15" s="14">
        <v>2.6884930000000007</v>
      </c>
      <c r="E15" s="14">
        <v>3.2938083333333332</v>
      </c>
      <c r="F15" s="14">
        <v>1.806039916666667</v>
      </c>
      <c r="G15" s="15">
        <v>3.2348737500000002</v>
      </c>
      <c r="H15" s="15">
        <v>7.3593510000000029</v>
      </c>
      <c r="I15" s="15">
        <v>2.4573299999999993</v>
      </c>
      <c r="J15" s="16">
        <v>2.2008079999999994</v>
      </c>
      <c r="K15" s="16">
        <v>3.4224389999999993</v>
      </c>
      <c r="L15" s="16">
        <v>4.3049730833333326</v>
      </c>
      <c r="M15" s="16">
        <v>2.4781902499999995</v>
      </c>
      <c r="N15" s="17">
        <v>5.5405681666666666</v>
      </c>
      <c r="O15" s="17">
        <v>5.9081452500000005</v>
      </c>
      <c r="P15" s="17">
        <v>2.608418083333333</v>
      </c>
      <c r="Q15" s="17">
        <v>6.3451881666666665</v>
      </c>
      <c r="T15" s="45">
        <v>13</v>
      </c>
      <c r="U15" s="14">
        <f t="shared" si="5"/>
        <v>1.2874583333333689E-2</v>
      </c>
      <c r="V15" s="14">
        <f t="shared" si="2"/>
        <v>2.3333333336594819E-6</v>
      </c>
      <c r="W15" s="14">
        <f t="shared" si="2"/>
        <v>1.1686999999998893E-2</v>
      </c>
      <c r="X15" s="14">
        <f t="shared" si="2"/>
        <v>4.1198750000000173E-2</v>
      </c>
      <c r="Y15" s="15">
        <f t="shared" si="2"/>
        <v>7.1092499999996228E-3</v>
      </c>
      <c r="Z15" s="15">
        <f t="shared" si="2"/>
        <v>9.9184416666669328E-2</v>
      </c>
      <c r="AA15" s="15">
        <f t="shared" si="2"/>
        <v>5.9166666668275525E-6</v>
      </c>
      <c r="AB15" s="16">
        <f t="shared" si="2"/>
        <v>0</v>
      </c>
      <c r="AC15" s="16">
        <f t="shared" si="2"/>
        <v>0</v>
      </c>
      <c r="AD15" s="16">
        <f t="shared" si="2"/>
        <v>7.2097666666666171E-2</v>
      </c>
      <c r="AE15" s="16">
        <f t="shared" si="2"/>
        <v>8.1538249999999479E-2</v>
      </c>
      <c r="AF15" s="17">
        <f t="shared" si="2"/>
        <v>0.12902091666666582</v>
      </c>
      <c r="AG15" s="17">
        <f t="shared" si="2"/>
        <v>9.7499166666666248E-2</v>
      </c>
      <c r="AH15" s="17">
        <f t="shared" si="2"/>
        <v>5.0253166666666793E-2</v>
      </c>
      <c r="AI15" s="17">
        <f t="shared" si="2"/>
        <v>6.8589083333333356E-2</v>
      </c>
      <c r="AK15"/>
      <c r="AL15" s="45">
        <v>13</v>
      </c>
      <c r="AM15" s="14">
        <f t="shared" si="4"/>
        <v>2.273937500000045E-2</v>
      </c>
      <c r="AN15" s="14">
        <f t="shared" si="3"/>
        <v>1.8795395833333339E-2</v>
      </c>
      <c r="AO15" s="14">
        <f t="shared" si="3"/>
        <v>7.472666666666683E-3</v>
      </c>
      <c r="AP15" s="14">
        <f t="shared" si="3"/>
        <v>4.1187291666666626E-2</v>
      </c>
      <c r="AQ15" s="15">
        <f t="shared" si="3"/>
        <v>2.1383458333333105E-2</v>
      </c>
      <c r="AR15" s="15">
        <f t="shared" si="3"/>
        <v>3.0361729166667795E-2</v>
      </c>
      <c r="AS15" s="15">
        <f t="shared" si="3"/>
        <v>2.7977083333330377E-4</v>
      </c>
      <c r="AT15" s="16">
        <f t="shared" si="3"/>
        <v>0</v>
      </c>
      <c r="AU15" s="16">
        <f t="shared" si="3"/>
        <v>2.324768749999917E-2</v>
      </c>
      <c r="AV15" s="16">
        <f t="shared" si="3"/>
        <v>5.6141666666666978E-2</v>
      </c>
      <c r="AW15" s="16">
        <f t="shared" si="3"/>
        <v>2.038456249999987E-2</v>
      </c>
      <c r="AX15" s="84">
        <f t="shared" si="3"/>
        <v>7.2640687499998302E-2</v>
      </c>
      <c r="AY15" s="84">
        <f t="shared" si="3"/>
        <v>0.1037354583333332</v>
      </c>
      <c r="AZ15" s="84">
        <f t="shared" si="3"/>
        <v>3.8996520833333159E-2</v>
      </c>
      <c r="BA15" s="84">
        <f t="shared" si="3"/>
        <v>4.7601749999998111E-2</v>
      </c>
      <c r="BC15" s="76"/>
      <c r="BD15" s="75"/>
      <c r="BE15" s="75"/>
      <c r="BF15" s="75"/>
      <c r="BG15" s="75"/>
      <c r="BI15" s="76"/>
      <c r="BJ15" s="75"/>
      <c r="BK15" s="75"/>
      <c r="BL15" s="75"/>
      <c r="BM15" s="75"/>
    </row>
    <row r="16" spans="1:65" x14ac:dyDescent="0.2">
      <c r="B16" s="45">
        <v>14</v>
      </c>
      <c r="C16" s="14">
        <v>3.4093722500000001</v>
      </c>
      <c r="D16" s="14">
        <v>2.6884930000000007</v>
      </c>
      <c r="E16" s="14">
        <v>3.3518649999999997</v>
      </c>
      <c r="F16" s="14">
        <v>1.8364157500000002</v>
      </c>
      <c r="G16" s="15">
        <v>3.2408820000000005</v>
      </c>
      <c r="H16" s="15">
        <v>7.4088554166666674</v>
      </c>
      <c r="I16" s="15">
        <v>2.5667810833333333</v>
      </c>
      <c r="J16" s="16">
        <v>2.2008079999999994</v>
      </c>
      <c r="K16" s="16">
        <v>3.4496494166666665</v>
      </c>
      <c r="L16" s="16">
        <v>4.3752734999999996</v>
      </c>
      <c r="M16" s="16">
        <v>2.5597293333333333</v>
      </c>
      <c r="N16" s="17">
        <v>5.5502269999999996</v>
      </c>
      <c r="O16" s="17">
        <v>5.9726988333333333</v>
      </c>
      <c r="P16" s="17">
        <v>2.6650663333333333</v>
      </c>
      <c r="Q16" s="17">
        <v>6.5767521666666653</v>
      </c>
      <c r="T16" s="45">
        <v>14</v>
      </c>
      <c r="U16" s="14">
        <f t="shared" si="5"/>
        <v>1.2006250000000218E-2</v>
      </c>
      <c r="V16" s="14">
        <f t="shared" si="2"/>
        <v>0</v>
      </c>
      <c r="W16" s="14">
        <f t="shared" si="2"/>
        <v>5.8056666666666423E-2</v>
      </c>
      <c r="X16" s="14">
        <f t="shared" si="2"/>
        <v>3.0375833333333269E-2</v>
      </c>
      <c r="Y16" s="15">
        <f t="shared" si="2"/>
        <v>6.0082500000002703E-3</v>
      </c>
      <c r="Z16" s="15">
        <f t="shared" si="2"/>
        <v>4.9504416666664497E-2</v>
      </c>
      <c r="AA16" s="15">
        <f t="shared" si="2"/>
        <v>0.10945108333333398</v>
      </c>
      <c r="AB16" s="16">
        <f t="shared" si="2"/>
        <v>0</v>
      </c>
      <c r="AC16" s="16">
        <f t="shared" si="2"/>
        <v>2.7210416666667125E-2</v>
      </c>
      <c r="AD16" s="16">
        <f t="shared" si="2"/>
        <v>7.0300416666666976E-2</v>
      </c>
      <c r="AE16" s="16">
        <f t="shared" si="2"/>
        <v>8.1539083333333817E-2</v>
      </c>
      <c r="AF16" s="17">
        <f t="shared" si="2"/>
        <v>9.6588333333329501E-3</v>
      </c>
      <c r="AG16" s="17">
        <f t="shared" si="2"/>
        <v>6.4553583333332831E-2</v>
      </c>
      <c r="AH16" s="17">
        <f t="shared" si="2"/>
        <v>5.6648250000000289E-2</v>
      </c>
      <c r="AI16" s="17">
        <f t="shared" si="2"/>
        <v>0.23156399999999877</v>
      </c>
      <c r="AK16"/>
      <c r="AL16" s="45">
        <v>14</v>
      </c>
      <c r="AM16" s="14">
        <f t="shared" si="4"/>
        <v>2.9778479166666538E-2</v>
      </c>
      <c r="AN16" s="14">
        <f t="shared" si="3"/>
        <v>6.4389229166666562E-2</v>
      </c>
      <c r="AO16" s="14">
        <f t="shared" si="3"/>
        <v>2.8686583333333071E-2</v>
      </c>
      <c r="AP16" s="14">
        <f t="shared" si="3"/>
        <v>4.2033124999999671E-2</v>
      </c>
      <c r="AQ16" s="15">
        <f t="shared" si="3"/>
        <v>8.6821041666663712E-3</v>
      </c>
      <c r="AR16" s="15">
        <f t="shared" si="3"/>
        <v>2.7731104166665244E-2</v>
      </c>
      <c r="AS16" s="15">
        <f t="shared" si="3"/>
        <v>3.4903145833333982E-2</v>
      </c>
      <c r="AT16" s="16">
        <f t="shared" si="3"/>
        <v>0</v>
      </c>
      <c r="AU16" s="16">
        <f t="shared" si="3"/>
        <v>8.4389604166666854E-2</v>
      </c>
      <c r="AV16" s="16">
        <f t="shared" si="3"/>
        <v>4.2957083333333035E-2</v>
      </c>
      <c r="AW16" s="16">
        <f t="shared" si="3"/>
        <v>2.0384770833333454E-2</v>
      </c>
      <c r="AX16" s="84">
        <f t="shared" si="3"/>
        <v>5.1767375000000726E-2</v>
      </c>
      <c r="AY16" s="84">
        <f t="shared" si="3"/>
        <v>7.9725791666666712E-2</v>
      </c>
      <c r="AZ16" s="84">
        <f t="shared" si="3"/>
        <v>4.1283020833333461E-2</v>
      </c>
      <c r="BA16" s="84">
        <f t="shared" si="3"/>
        <v>9.6267958333334569E-2</v>
      </c>
      <c r="BC16" s="76"/>
      <c r="BD16" s="75"/>
      <c r="BE16" s="75"/>
      <c r="BF16" s="75"/>
      <c r="BG16" s="75"/>
      <c r="BI16" s="76"/>
      <c r="BJ16" s="75"/>
      <c r="BK16" s="75"/>
      <c r="BL16" s="75"/>
      <c r="BM16" s="75"/>
    </row>
    <row r="17" spans="2:65" x14ac:dyDescent="0.2">
      <c r="B17" s="45">
        <v>15</v>
      </c>
      <c r="C17" s="14">
        <v>3.4203340833333336</v>
      </c>
      <c r="D17" s="14">
        <v>2.8609209999999998</v>
      </c>
      <c r="E17" s="14">
        <v>3.4231044999999996</v>
      </c>
      <c r="F17" s="14">
        <v>1.8379580000000002</v>
      </c>
      <c r="G17" s="15">
        <v>3.2468900000000005</v>
      </c>
      <c r="H17" s="15">
        <v>7.5318021666666679</v>
      </c>
      <c r="I17" s="15">
        <v>2.845138916666667</v>
      </c>
      <c r="J17" s="16">
        <v>2.2008079999999994</v>
      </c>
      <c r="K17" s="16">
        <v>3.599548083333334</v>
      </c>
      <c r="L17" s="16">
        <v>4.3969180000000003</v>
      </c>
      <c r="M17" s="16">
        <v>2.6412694999999995</v>
      </c>
      <c r="N17" s="17">
        <v>5.5502269999999996</v>
      </c>
      <c r="O17" s="17">
        <v>6.0240264166666657</v>
      </c>
      <c r="P17" s="17">
        <v>2.7217151666666664</v>
      </c>
      <c r="Q17" s="17">
        <v>6.8651433333333332</v>
      </c>
      <c r="T17" s="45">
        <v>15</v>
      </c>
      <c r="U17" s="14">
        <f t="shared" si="5"/>
        <v>1.0961833333333448E-2</v>
      </c>
      <c r="V17" s="14">
        <f t="shared" si="2"/>
        <v>0.17242799999999914</v>
      </c>
      <c r="W17" s="14">
        <f t="shared" si="2"/>
        <v>7.12394999999999E-2</v>
      </c>
      <c r="X17" s="14">
        <f t="shared" si="2"/>
        <v>1.5422499999999673E-3</v>
      </c>
      <c r="Y17" s="15">
        <f t="shared" si="2"/>
        <v>6.0080000000000133E-3</v>
      </c>
      <c r="Z17" s="15">
        <f t="shared" si="2"/>
        <v>0.12294675000000055</v>
      </c>
      <c r="AA17" s="15">
        <f t="shared" si="2"/>
        <v>0.27835783333333364</v>
      </c>
      <c r="AB17" s="16">
        <f t="shared" si="2"/>
        <v>0</v>
      </c>
      <c r="AC17" s="16">
        <f t="shared" si="2"/>
        <v>0.14989866666666751</v>
      </c>
      <c r="AD17" s="16">
        <f t="shared" si="2"/>
        <v>2.1644500000000733E-2</v>
      </c>
      <c r="AE17" s="16">
        <f t="shared" si="2"/>
        <v>8.1540166666666192E-2</v>
      </c>
      <c r="AF17" s="17">
        <f t="shared" si="2"/>
        <v>0</v>
      </c>
      <c r="AG17" s="17">
        <f t="shared" si="2"/>
        <v>5.1327583333332427E-2</v>
      </c>
      <c r="AH17" s="17">
        <f t="shared" si="2"/>
        <v>5.6648833333333037E-2</v>
      </c>
      <c r="AI17" s="17">
        <f t="shared" si="2"/>
        <v>0.28839116666666786</v>
      </c>
      <c r="AK17"/>
      <c r="AL17" s="45">
        <v>15</v>
      </c>
      <c r="AM17" s="14">
        <f t="shared" si="4"/>
        <v>6.1108791666666495E-2</v>
      </c>
      <c r="AN17" s="14">
        <f t="shared" si="3"/>
        <v>0.18162552083333372</v>
      </c>
      <c r="AO17" s="14">
        <f t="shared" si="3"/>
        <v>5.7051854166666915E-2</v>
      </c>
      <c r="AP17" s="14">
        <f t="shared" si="3"/>
        <v>3.1709187499999847E-2</v>
      </c>
      <c r="AQ17" s="15">
        <f t="shared" si="3"/>
        <v>5.483541666666647E-3</v>
      </c>
      <c r="AR17" s="15">
        <f t="shared" si="3"/>
        <v>5.6879812499999627E-2</v>
      </c>
      <c r="AS17" s="15">
        <f t="shared" si="3"/>
        <v>8.0318291666666486E-2</v>
      </c>
      <c r="AT17" s="16">
        <f t="shared" si="3"/>
        <v>1.2370458333333278E-2</v>
      </c>
      <c r="AU17" s="16">
        <f t="shared" si="3"/>
        <v>0.1703060000000004</v>
      </c>
      <c r="AV17" s="16">
        <f t="shared" si="3"/>
        <v>7.8697500000002307E-3</v>
      </c>
      <c r="AW17" s="16">
        <f t="shared" si="3"/>
        <v>2.0385041666666548E-2</v>
      </c>
      <c r="AX17" s="84">
        <f t="shared" si="3"/>
        <v>5.3830291666667085E-2</v>
      </c>
      <c r="AY17" s="84">
        <f t="shared" si="3"/>
        <v>3.4955770833332789E-2</v>
      </c>
      <c r="AZ17" s="84">
        <f t="shared" si="3"/>
        <v>4.4630270833333041E-2</v>
      </c>
      <c r="BA17" s="84">
        <f t="shared" si="3"/>
        <v>0.10762504166666687</v>
      </c>
      <c r="BC17" s="76"/>
      <c r="BD17" s="75"/>
      <c r="BE17" s="75"/>
      <c r="BF17" s="75"/>
      <c r="BG17" s="75"/>
      <c r="BI17" s="76"/>
      <c r="BJ17" s="75"/>
      <c r="BK17" s="75"/>
      <c r="BL17" s="75"/>
      <c r="BM17" s="75"/>
    </row>
    <row r="18" spans="2:65" x14ac:dyDescent="0.2">
      <c r="B18" s="45">
        <v>16</v>
      </c>
      <c r="C18" s="14">
        <v>3.4241990833333333</v>
      </c>
      <c r="D18" s="14">
        <v>3.3668774166666675</v>
      </c>
      <c r="E18" s="14">
        <v>3.4943439999999999</v>
      </c>
      <c r="F18" s="14">
        <v>1.8379580000000002</v>
      </c>
      <c r="G18" s="15">
        <v>3.2549431666666675</v>
      </c>
      <c r="H18" s="15">
        <v>7.654341249999999</v>
      </c>
      <c r="I18" s="15">
        <v>2.8974904999999995</v>
      </c>
      <c r="J18" s="16">
        <v>2.2008079999999994</v>
      </c>
      <c r="K18" s="16">
        <v>3.7579000000000007</v>
      </c>
      <c r="L18" s="16">
        <v>4.3969180000000003</v>
      </c>
      <c r="M18" s="16">
        <v>2.7228084999999997</v>
      </c>
      <c r="N18" s="17">
        <v>5.5502269999999996</v>
      </c>
      <c r="O18" s="17">
        <v>6.0479574999999999</v>
      </c>
      <c r="P18" s="17">
        <v>2.7783634166666666</v>
      </c>
      <c r="Q18" s="17">
        <v>7.1424560833333324</v>
      </c>
      <c r="T18" s="45">
        <v>16</v>
      </c>
      <c r="U18" s="14">
        <f t="shared" si="5"/>
        <v>3.8649999999997853E-3</v>
      </c>
      <c r="V18" s="14">
        <f t="shared" si="2"/>
        <v>0.50595641666666769</v>
      </c>
      <c r="W18" s="14">
        <f t="shared" si="2"/>
        <v>7.1239500000000344E-2</v>
      </c>
      <c r="X18" s="14">
        <f t="shared" si="2"/>
        <v>0</v>
      </c>
      <c r="Y18" s="15">
        <f t="shared" si="2"/>
        <v>8.0531666666669999E-3</v>
      </c>
      <c r="Z18" s="15">
        <f t="shared" si="2"/>
        <v>0.12253908333333108</v>
      </c>
      <c r="AA18" s="15">
        <f t="shared" si="2"/>
        <v>5.2351583333332563E-2</v>
      </c>
      <c r="AB18" s="16">
        <f t="shared" si="2"/>
        <v>0</v>
      </c>
      <c r="AC18" s="16">
        <f t="shared" si="2"/>
        <v>0.1583519166666667</v>
      </c>
      <c r="AD18" s="16">
        <f t="shared" si="2"/>
        <v>0</v>
      </c>
      <c r="AE18" s="16">
        <f t="shared" si="2"/>
        <v>8.153900000000025E-2</v>
      </c>
      <c r="AF18" s="17">
        <f t="shared" si="2"/>
        <v>0</v>
      </c>
      <c r="AG18" s="17">
        <f t="shared" si="2"/>
        <v>2.3931083333334158E-2</v>
      </c>
      <c r="AH18" s="17">
        <f t="shared" si="2"/>
        <v>5.6648250000000289E-2</v>
      </c>
      <c r="AI18" s="17">
        <f t="shared" si="2"/>
        <v>0.27731274999999922</v>
      </c>
      <c r="AK18"/>
      <c r="AL18" s="45">
        <v>16</v>
      </c>
      <c r="AM18" s="14">
        <f t="shared" si="4"/>
        <v>6.8955458333333497E-2</v>
      </c>
      <c r="AN18" s="14">
        <f t="shared" si="3"/>
        <v>0.29553889583333337</v>
      </c>
      <c r="AO18" s="14">
        <f t="shared" si="3"/>
        <v>6.8615083333333104E-2</v>
      </c>
      <c r="AP18" s="14">
        <f t="shared" si="3"/>
        <v>4.2439937500000191E-2</v>
      </c>
      <c r="AQ18" s="15">
        <f t="shared" si="3"/>
        <v>1.5526083333333829E-2</v>
      </c>
      <c r="AR18" s="15">
        <f t="shared" si="3"/>
        <v>6.0464354166666734E-2</v>
      </c>
      <c r="AS18" s="15">
        <f t="shared" si="3"/>
        <v>2.0960999999999785E-2</v>
      </c>
      <c r="AT18" s="16">
        <f t="shared" si="3"/>
        <v>7.1236166666666434E-2</v>
      </c>
      <c r="AU18" s="16">
        <f t="shared" si="3"/>
        <v>0.14033972916666615</v>
      </c>
      <c r="AV18" s="16">
        <f t="shared" si="3"/>
        <v>1.4902083333323546E-4</v>
      </c>
      <c r="AW18" s="16">
        <f t="shared" si="3"/>
        <v>2.0384750000000063E-2</v>
      </c>
      <c r="AX18" s="84">
        <f t="shared" si="3"/>
        <v>6.7469749999999884E-2</v>
      </c>
      <c r="AY18" s="84">
        <f t="shared" si="3"/>
        <v>3.0824229166666939E-2</v>
      </c>
      <c r="AZ18" s="84">
        <f t="shared" si="3"/>
        <v>5.0223291666666725E-2</v>
      </c>
      <c r="BA18" s="84">
        <f t="shared" si="3"/>
        <v>0.10556312500000042</v>
      </c>
      <c r="BC18" s="76"/>
      <c r="BD18" s="75"/>
      <c r="BE18" s="75"/>
      <c r="BF18" s="75"/>
      <c r="BG18" s="75"/>
      <c r="BI18" s="76"/>
      <c r="BJ18" s="75"/>
      <c r="BK18" s="75"/>
      <c r="BL18" s="75"/>
      <c r="BM18" s="75"/>
    </row>
    <row r="19" spans="2:65" x14ac:dyDescent="0.2">
      <c r="B19" s="45">
        <v>17</v>
      </c>
      <c r="C19" s="14">
        <v>3.4277362500000002</v>
      </c>
      <c r="D19" s="14">
        <v>3.5080082499999996</v>
      </c>
      <c r="E19" s="14">
        <v>3.5628576666666665</v>
      </c>
      <c r="F19" s="14">
        <v>1.8379580000000002</v>
      </c>
      <c r="G19" s="15">
        <v>3.2567200000000009</v>
      </c>
      <c r="H19" s="15">
        <v>7.7989787499999998</v>
      </c>
      <c r="I19" s="15">
        <v>2.8983488333333334</v>
      </c>
      <c r="J19" s="16">
        <v>2.4704944166666669</v>
      </c>
      <c r="K19" s="16">
        <v>3.9986730000000001</v>
      </c>
      <c r="L19" s="16">
        <v>4.3969180000000003</v>
      </c>
      <c r="M19" s="16">
        <v>2.8043468333333337</v>
      </c>
      <c r="N19" s="17">
        <v>5.5502269999999996</v>
      </c>
      <c r="O19" s="17">
        <v>6.0663327500000008</v>
      </c>
      <c r="P19" s="17">
        <v>2.8120629166666666</v>
      </c>
      <c r="Q19" s="17">
        <v>7.221659083333333</v>
      </c>
      <c r="T19" s="45">
        <v>17</v>
      </c>
      <c r="U19" s="14">
        <f t="shared" si="5"/>
        <v>3.5371666666668133E-3</v>
      </c>
      <c r="V19" s="14">
        <f t="shared" si="5"/>
        <v>0.1411308333333321</v>
      </c>
      <c r="W19" s="14">
        <f t="shared" si="5"/>
        <v>6.8513666666666584E-2</v>
      </c>
      <c r="X19" s="14">
        <f t="shared" si="5"/>
        <v>0</v>
      </c>
      <c r="Y19" s="15">
        <f t="shared" si="5"/>
        <v>1.7768333333334496E-3</v>
      </c>
      <c r="Z19" s="15">
        <f t="shared" si="5"/>
        <v>0.14463750000000086</v>
      </c>
      <c r="AA19" s="15">
        <f t="shared" si="5"/>
        <v>8.5833333333384942E-4</v>
      </c>
      <c r="AB19" s="16">
        <f t="shared" si="5"/>
        <v>0.26968641666666748</v>
      </c>
      <c r="AC19" s="16">
        <f t="shared" si="5"/>
        <v>0.24077299999999946</v>
      </c>
      <c r="AD19" s="16">
        <f t="shared" si="5"/>
        <v>0</v>
      </c>
      <c r="AE19" s="16">
        <f t="shared" si="5"/>
        <v>8.1538333333333934E-2</v>
      </c>
      <c r="AF19" s="17">
        <f t="shared" si="5"/>
        <v>0</v>
      </c>
      <c r="AG19" s="17">
        <f t="shared" si="5"/>
        <v>1.8375250000000953E-2</v>
      </c>
      <c r="AH19" s="17">
        <f t="shared" si="5"/>
        <v>3.3699499999999993E-2</v>
      </c>
      <c r="AI19" s="17">
        <f t="shared" si="5"/>
        <v>7.9203000000000578E-2</v>
      </c>
      <c r="AK19"/>
      <c r="AL19" s="45">
        <v>17</v>
      </c>
      <c r="AM19" s="14">
        <f t="shared" si="4"/>
        <v>6.911966666666669E-2</v>
      </c>
      <c r="AN19" s="14">
        <f t="shared" ref="AN19:AN26" si="6">AVERAGE(V19,V43,V67,V91)</f>
        <v>0.16879549999999977</v>
      </c>
      <c r="AO19" s="14">
        <f t="shared" ref="AO19:AO26" si="7">AVERAGE(W19,W43,W67,W91)</f>
        <v>5.6595437500000512E-2</v>
      </c>
      <c r="AP19" s="14">
        <f t="shared" ref="AP19:AP26" si="8">AVERAGE(X19,X43,X67,X91)</f>
        <v>4.8437458333333239E-2</v>
      </c>
      <c r="AQ19" s="15">
        <f t="shared" ref="AQ19:AQ26" si="9">AVERAGE(Y19,Y43,Y67,Y91)</f>
        <v>1.5893729166666315E-2</v>
      </c>
      <c r="AR19" s="15">
        <f t="shared" ref="AR19:AR26" si="10">AVERAGE(Z19,Z43,Z67,Z91)</f>
        <v>0.13461333333333392</v>
      </c>
      <c r="AS19" s="15">
        <f t="shared" ref="AS19:AS26" si="11">AVERAGE(AA19,AA43,AA67,AA91)</f>
        <v>9.7839583333370062E-4</v>
      </c>
      <c r="AT19" s="16">
        <f t="shared" ref="AT19:AT26" si="12">AVERAGE(AB19,AB43,AB67,AB91)</f>
        <v>9.7477229166667123E-2</v>
      </c>
      <c r="AU19" s="16">
        <f t="shared" ref="AU19:AU26" si="13">AVERAGE(AC19,AC43,AC67,AC91)</f>
        <v>0.11539662500000081</v>
      </c>
      <c r="AV19" s="16">
        <f t="shared" ref="AV19:AV26" si="14">AVERAGE(AD19,AD43,AD67,AD91)</f>
        <v>1.8599312499999243E-2</v>
      </c>
      <c r="AW19" s="16">
        <f t="shared" ref="AW19:AW26" si="15">AVERAGE(AE19,AE43,AE67,AE91)</f>
        <v>2.8963437500000411E-2</v>
      </c>
      <c r="AX19" s="84">
        <f t="shared" ref="AX19:AX26" si="16">AVERAGE(AF19,AF43,AF67,AF91)</f>
        <v>3.1826937499999541E-2</v>
      </c>
      <c r="AY19" s="84">
        <f t="shared" ref="AY19:AY26" si="17">AVERAGE(AG19,AG43,AG67,AG91)</f>
        <v>4.1328437500001369E-2</v>
      </c>
      <c r="AZ19" s="84">
        <f t="shared" ref="AZ19:AZ26" si="18">AVERAGE(AH19,AH43,AH67,AH91)</f>
        <v>6.4132666666666172E-2</v>
      </c>
      <c r="BA19" s="84">
        <f t="shared" ref="BA19:BA24" si="19">AVERAGE(AI19,AI43,AI67,AI91)</f>
        <v>8.6259833333332425E-2</v>
      </c>
      <c r="BC19" s="76"/>
      <c r="BD19" s="75"/>
      <c r="BE19" s="75"/>
      <c r="BF19" s="75"/>
      <c r="BG19" s="75"/>
      <c r="BI19" s="76"/>
      <c r="BJ19" s="75"/>
      <c r="BK19" s="75"/>
      <c r="BL19" s="75"/>
      <c r="BM19" s="75"/>
    </row>
    <row r="20" spans="2:65" x14ac:dyDescent="0.2">
      <c r="B20" s="45">
        <v>18</v>
      </c>
      <c r="C20" s="14">
        <v>3.5516434166666664</v>
      </c>
      <c r="D20" s="14">
        <v>3.6461956666666673</v>
      </c>
      <c r="E20" s="14">
        <v>3.5996655000000004</v>
      </c>
      <c r="F20" s="14">
        <v>1.8379580000000002</v>
      </c>
      <c r="G20" s="15">
        <v>3.2567200000000009</v>
      </c>
      <c r="H20" s="15">
        <v>7.9759025833333341</v>
      </c>
      <c r="I20" s="15">
        <v>2.8992070833333332</v>
      </c>
      <c r="J20" s="16">
        <v>2.8900275833333331</v>
      </c>
      <c r="K20" s="16">
        <v>4.2066695000000003</v>
      </c>
      <c r="L20" s="16">
        <v>4.3969180000000003</v>
      </c>
      <c r="M20" s="16">
        <v>2.8858860000000006</v>
      </c>
      <c r="N20" s="17">
        <v>5.5502269999999996</v>
      </c>
      <c r="O20" s="17">
        <v>6.0941948333333329</v>
      </c>
      <c r="P20" s="17">
        <v>2.8123369999999999</v>
      </c>
      <c r="Q20" s="17">
        <v>7.2285174999999997</v>
      </c>
      <c r="T20" s="45">
        <v>18</v>
      </c>
      <c r="U20" s="14">
        <f t="shared" si="5"/>
        <v>0.12390716666666624</v>
      </c>
      <c r="V20" s="14">
        <f t="shared" si="5"/>
        <v>0.13818741666666767</v>
      </c>
      <c r="W20" s="14">
        <f t="shared" si="5"/>
        <v>3.6807833333333928E-2</v>
      </c>
      <c r="X20" s="14">
        <f t="shared" si="5"/>
        <v>0</v>
      </c>
      <c r="Y20" s="15">
        <f t="shared" si="5"/>
        <v>0</v>
      </c>
      <c r="Z20" s="15">
        <f t="shared" si="5"/>
        <v>0.17692383333333428</v>
      </c>
      <c r="AA20" s="15">
        <f t="shared" si="5"/>
        <v>8.5824999999983831E-4</v>
      </c>
      <c r="AB20" s="16">
        <f t="shared" si="5"/>
        <v>0.41953316666666618</v>
      </c>
      <c r="AC20" s="16">
        <f t="shared" si="5"/>
        <v>0.20799650000000014</v>
      </c>
      <c r="AD20" s="16">
        <f t="shared" si="5"/>
        <v>0</v>
      </c>
      <c r="AE20" s="16">
        <f t="shared" si="5"/>
        <v>8.153916666666694E-2</v>
      </c>
      <c r="AF20" s="17">
        <f t="shared" si="5"/>
        <v>0</v>
      </c>
      <c r="AG20" s="17">
        <f t="shared" si="5"/>
        <v>2.7862083333332066E-2</v>
      </c>
      <c r="AH20" s="17">
        <f t="shared" si="5"/>
        <v>2.7408333333323043E-4</v>
      </c>
      <c r="AI20" s="17">
        <f t="shared" si="5"/>
        <v>6.8584166666667556E-3</v>
      </c>
      <c r="AK20"/>
      <c r="AL20" s="45">
        <v>18</v>
      </c>
      <c r="AM20" s="14">
        <f t="shared" si="4"/>
        <v>9.3063937499999971E-2</v>
      </c>
      <c r="AN20" s="14">
        <f t="shared" si="6"/>
        <v>0.14295202083333414</v>
      </c>
      <c r="AO20" s="14">
        <f t="shared" si="7"/>
        <v>5.0816708333333183E-2</v>
      </c>
      <c r="AP20" s="14">
        <f t="shared" si="8"/>
        <v>6.2671249999999956E-2</v>
      </c>
      <c r="AQ20" s="15">
        <f t="shared" si="9"/>
        <v>1.5479041666667248E-2</v>
      </c>
      <c r="AR20" s="15">
        <f t="shared" si="10"/>
        <v>0.14150345833333433</v>
      </c>
      <c r="AS20" s="15">
        <f t="shared" si="11"/>
        <v>1.0883749999993642E-3</v>
      </c>
      <c r="AT20" s="16">
        <f t="shared" si="12"/>
        <v>0.10488329166666654</v>
      </c>
      <c r="AU20" s="16">
        <f t="shared" si="13"/>
        <v>0.13929639583333397</v>
      </c>
      <c r="AV20" s="16">
        <f t="shared" si="14"/>
        <v>5.8332520833333623E-2</v>
      </c>
      <c r="AW20" s="16">
        <f t="shared" si="15"/>
        <v>8.7864937500000129E-2</v>
      </c>
      <c r="AX20" s="84">
        <f t="shared" si="16"/>
        <v>2.3983479166667543E-2</v>
      </c>
      <c r="AY20" s="84">
        <f t="shared" si="17"/>
        <v>3.4619083333332412E-2</v>
      </c>
      <c r="AZ20" s="84">
        <f t="shared" si="18"/>
        <v>4.3914916666666359E-2</v>
      </c>
      <c r="BA20" s="84">
        <f t="shared" si="19"/>
        <v>9.3659041666666276E-2</v>
      </c>
      <c r="BC20" s="76"/>
      <c r="BD20" s="75"/>
      <c r="BE20" s="75"/>
      <c r="BF20" s="75"/>
      <c r="BG20" s="75"/>
      <c r="BI20" s="76"/>
      <c r="BJ20" s="75"/>
      <c r="BK20" s="75"/>
      <c r="BL20" s="75"/>
      <c r="BM20" s="75"/>
    </row>
    <row r="21" spans="2:65" x14ac:dyDescent="0.2">
      <c r="B21" s="45">
        <v>19</v>
      </c>
      <c r="C21" s="14">
        <v>3.7653617499999998</v>
      </c>
      <c r="D21" s="14">
        <v>3.7843830000000001</v>
      </c>
      <c r="E21" s="14">
        <v>3.653162333333333</v>
      </c>
      <c r="F21" s="14">
        <v>1.8379580000000002</v>
      </c>
      <c r="G21" s="15">
        <v>3.2569214166666671</v>
      </c>
      <c r="H21" s="15">
        <v>8.1540833333333325</v>
      </c>
      <c r="I21" s="15">
        <v>2.900047666666667</v>
      </c>
      <c r="J21" s="16">
        <v>2.9235994166666668</v>
      </c>
      <c r="K21" s="16">
        <v>4.4049578333333335</v>
      </c>
      <c r="L21" s="16">
        <v>4.3981862500000002</v>
      </c>
      <c r="M21" s="16">
        <v>2.9592143333333336</v>
      </c>
      <c r="N21" s="17">
        <v>5.5502269999999996</v>
      </c>
      <c r="O21" s="17">
        <v>6.1101808333333345</v>
      </c>
      <c r="P21" s="17">
        <v>2.8123369999999999</v>
      </c>
      <c r="Q21" s="17">
        <v>7.3311561666666663</v>
      </c>
      <c r="T21" s="45">
        <v>19</v>
      </c>
      <c r="U21" s="14">
        <f t="shared" si="5"/>
        <v>0.21371833333333345</v>
      </c>
      <c r="V21" s="14">
        <f t="shared" si="5"/>
        <v>0.13818733333333277</v>
      </c>
      <c r="W21" s="14">
        <f t="shared" si="5"/>
        <v>5.349683333333255E-2</v>
      </c>
      <c r="X21" s="14">
        <f t="shared" si="5"/>
        <v>0</v>
      </c>
      <c r="Y21" s="15">
        <f t="shared" si="5"/>
        <v>2.0141666666617652E-4</v>
      </c>
      <c r="Z21" s="15">
        <f t="shared" si="5"/>
        <v>0.17818074999999833</v>
      </c>
      <c r="AA21" s="15">
        <f t="shared" si="5"/>
        <v>8.4058333333381086E-4</v>
      </c>
      <c r="AB21" s="16">
        <f t="shared" si="5"/>
        <v>3.3571833333333689E-2</v>
      </c>
      <c r="AC21" s="16">
        <f t="shared" si="5"/>
        <v>0.19828833333333318</v>
      </c>
      <c r="AD21" s="16">
        <f t="shared" si="5"/>
        <v>1.2682499999998598E-3</v>
      </c>
      <c r="AE21" s="16">
        <f t="shared" si="5"/>
        <v>7.3328333333332996E-2</v>
      </c>
      <c r="AF21" s="17">
        <f t="shared" si="5"/>
        <v>0</v>
      </c>
      <c r="AG21" s="17">
        <f t="shared" si="5"/>
        <v>1.598600000000161E-2</v>
      </c>
      <c r="AH21" s="17">
        <f t="shared" si="5"/>
        <v>0</v>
      </c>
      <c r="AI21" s="17">
        <f t="shared" si="5"/>
        <v>0.10263866666666654</v>
      </c>
      <c r="AK21"/>
      <c r="AL21" s="45">
        <v>19</v>
      </c>
      <c r="AM21" s="14">
        <f t="shared" si="4"/>
        <v>0.1017055</v>
      </c>
      <c r="AN21" s="14">
        <f t="shared" si="6"/>
        <v>7.6178854166666587E-2</v>
      </c>
      <c r="AO21" s="14">
        <f t="shared" si="7"/>
        <v>5.5860374999999851E-2</v>
      </c>
      <c r="AP21" s="14">
        <f t="shared" si="8"/>
        <v>9.1069479166666967E-2</v>
      </c>
      <c r="AQ21" s="15">
        <f t="shared" si="9"/>
        <v>1.7149333333332795E-2</v>
      </c>
      <c r="AR21" s="15">
        <f t="shared" si="10"/>
        <v>0.15644581249999923</v>
      </c>
      <c r="AS21" s="15">
        <f t="shared" si="11"/>
        <v>3.6280833333337537E-3</v>
      </c>
      <c r="AT21" s="16">
        <f t="shared" si="12"/>
        <v>8.3929583333334223E-3</v>
      </c>
      <c r="AU21" s="16">
        <f t="shared" si="13"/>
        <v>7.5007458333332666E-2</v>
      </c>
      <c r="AV21" s="16">
        <f t="shared" si="14"/>
        <v>0.10193820833333378</v>
      </c>
      <c r="AW21" s="16">
        <f t="shared" si="15"/>
        <v>9.6867145833333113E-2</v>
      </c>
      <c r="AX21" s="84">
        <f t="shared" si="16"/>
        <v>2.4890958333332769E-2</v>
      </c>
      <c r="AY21" s="84">
        <f t="shared" si="17"/>
        <v>2.7483625000000789E-2</v>
      </c>
      <c r="AZ21" s="84">
        <f t="shared" si="18"/>
        <v>3.1613729166666715E-2</v>
      </c>
      <c r="BA21" s="84">
        <f t="shared" si="19"/>
        <v>0.12865658333333418</v>
      </c>
      <c r="BC21" s="76"/>
      <c r="BD21" s="75"/>
      <c r="BE21" s="75"/>
      <c r="BF21" s="75"/>
      <c r="BG21" s="75"/>
      <c r="BI21" s="76"/>
      <c r="BJ21" s="75"/>
      <c r="BK21" s="75"/>
      <c r="BL21" s="75"/>
      <c r="BM21" s="75"/>
    </row>
    <row r="22" spans="2:65" x14ac:dyDescent="0.2">
      <c r="B22" s="45">
        <v>20</v>
      </c>
      <c r="C22" s="14">
        <v>3.9791495833333337</v>
      </c>
      <c r="D22" s="14">
        <v>3.9225704999999995</v>
      </c>
      <c r="E22" s="14">
        <v>3.7610519166666667</v>
      </c>
      <c r="F22" s="14">
        <v>1.8379580000000002</v>
      </c>
      <c r="G22" s="15">
        <v>3.2619370833333328</v>
      </c>
      <c r="H22" s="15">
        <v>8.3230381666666666</v>
      </c>
      <c r="I22" s="15">
        <v>2.9003160000000001</v>
      </c>
      <c r="J22" s="16">
        <v>2.9654657500000003</v>
      </c>
      <c r="K22" s="16">
        <v>4.6040780833333335</v>
      </c>
      <c r="L22" s="16">
        <v>4.7877809166666667</v>
      </c>
      <c r="M22" s="16">
        <v>3.0389240000000002</v>
      </c>
      <c r="N22" s="17">
        <v>5.56713375</v>
      </c>
      <c r="O22" s="17">
        <v>6.1472099166666672</v>
      </c>
      <c r="P22" s="17">
        <v>2.8123369999999999</v>
      </c>
      <c r="Q22" s="17">
        <v>7.5285669166666667</v>
      </c>
      <c r="T22" s="45">
        <v>20</v>
      </c>
      <c r="U22" s="14">
        <f t="shared" si="5"/>
        <v>0.21378783333333384</v>
      </c>
      <c r="V22" s="14">
        <f t="shared" si="5"/>
        <v>0.13818749999999946</v>
      </c>
      <c r="W22" s="14">
        <f t="shared" si="5"/>
        <v>0.10788958333333376</v>
      </c>
      <c r="X22" s="14">
        <f t="shared" si="5"/>
        <v>0</v>
      </c>
      <c r="Y22" s="15">
        <f t="shared" si="5"/>
        <v>5.0156666666656413E-3</v>
      </c>
      <c r="Z22" s="15">
        <f t="shared" si="5"/>
        <v>0.16895483333333416</v>
      </c>
      <c r="AA22" s="15">
        <f t="shared" si="5"/>
        <v>2.6833333333309284E-4</v>
      </c>
      <c r="AB22" s="16">
        <f t="shared" si="5"/>
        <v>4.1866333333333561E-2</v>
      </c>
      <c r="AC22" s="16">
        <f t="shared" si="5"/>
        <v>0.19912025</v>
      </c>
      <c r="AD22" s="16">
        <f t="shared" si="5"/>
        <v>0.38959466666666653</v>
      </c>
      <c r="AE22" s="16">
        <f t="shared" si="5"/>
        <v>7.9709666666666568E-2</v>
      </c>
      <c r="AF22" s="17">
        <f t="shared" si="5"/>
        <v>1.6906750000000415E-2</v>
      </c>
      <c r="AG22" s="17">
        <f t="shared" si="5"/>
        <v>3.7029083333332657E-2</v>
      </c>
      <c r="AH22" s="17">
        <f t="shared" si="5"/>
        <v>0</v>
      </c>
      <c r="AI22" s="17">
        <f t="shared" si="5"/>
        <v>0.19741075000000041</v>
      </c>
      <c r="AK22"/>
      <c r="AL22" s="45">
        <v>20</v>
      </c>
      <c r="AM22" s="14">
        <f t="shared" si="4"/>
        <v>0.11942766666666627</v>
      </c>
      <c r="AN22" s="14">
        <f t="shared" si="6"/>
        <v>9.0288812499998872E-2</v>
      </c>
      <c r="AO22" s="14">
        <f t="shared" si="7"/>
        <v>7.4443062500000101E-2</v>
      </c>
      <c r="AP22" s="14">
        <f t="shared" si="8"/>
        <v>7.9812124999999567E-2</v>
      </c>
      <c r="AQ22" s="15">
        <f t="shared" si="9"/>
        <v>1.8279062500000109E-2</v>
      </c>
      <c r="AR22" s="15">
        <f t="shared" si="10"/>
        <v>0.21337370833333358</v>
      </c>
      <c r="AS22" s="15">
        <f t="shared" si="11"/>
        <v>3.5825208333329916E-3</v>
      </c>
      <c r="AT22" s="16">
        <f t="shared" si="12"/>
        <v>5.021443750000032E-2</v>
      </c>
      <c r="AU22" s="16">
        <f t="shared" si="13"/>
        <v>9.0357479166666588E-2</v>
      </c>
      <c r="AV22" s="16">
        <f t="shared" si="14"/>
        <v>0.24080139583333393</v>
      </c>
      <c r="AW22" s="16">
        <f t="shared" si="15"/>
        <v>9.185245833333322E-2</v>
      </c>
      <c r="AX22" s="84">
        <f t="shared" si="16"/>
        <v>2.8937583333333183E-2</v>
      </c>
      <c r="AY22" s="84">
        <f t="shared" si="17"/>
        <v>2.7444583333332551E-2</v>
      </c>
      <c r="AZ22" s="84">
        <f t="shared" si="18"/>
        <v>2.6133125000000312E-2</v>
      </c>
      <c r="BA22" s="84">
        <f t="shared" si="19"/>
        <v>0.15236179166666708</v>
      </c>
      <c r="BC22" s="76"/>
      <c r="BD22" s="75"/>
      <c r="BE22" s="75"/>
      <c r="BF22" s="75"/>
      <c r="BG22" s="75"/>
      <c r="BI22" s="76"/>
      <c r="BJ22" s="75"/>
      <c r="BK22" s="75"/>
      <c r="BL22" s="75"/>
      <c r="BM22" s="75"/>
    </row>
    <row r="23" spans="2:65" x14ac:dyDescent="0.2">
      <c r="B23" s="45">
        <v>21</v>
      </c>
      <c r="C23" s="14">
        <v>4.1935730000000007</v>
      </c>
      <c r="D23" s="14">
        <v>4.033701333333334</v>
      </c>
      <c r="E23" s="14">
        <v>3.800094000000001</v>
      </c>
      <c r="F23" s="14">
        <v>1.8379580000000002</v>
      </c>
      <c r="G23" s="15">
        <v>3.2669719166666664</v>
      </c>
      <c r="H23" s="15">
        <v>8.4780577499999978</v>
      </c>
      <c r="I23" s="15">
        <v>2.9003160000000001</v>
      </c>
      <c r="J23" s="16">
        <v>2.9832430000000003</v>
      </c>
      <c r="K23" s="16">
        <v>4.8032075000000001</v>
      </c>
      <c r="L23" s="16">
        <v>5.3052398333333342</v>
      </c>
      <c r="M23" s="16">
        <v>3.1354111666666662</v>
      </c>
      <c r="N23" s="17">
        <v>5.757544750000001</v>
      </c>
      <c r="O23" s="17">
        <v>6.1646679166666685</v>
      </c>
      <c r="P23" s="17">
        <v>2.8123369999999999</v>
      </c>
      <c r="Q23" s="17">
        <v>7.6717720833333338</v>
      </c>
      <c r="T23" s="45">
        <v>21</v>
      </c>
      <c r="U23" s="14">
        <f t="shared" si="5"/>
        <v>0.21442341666666698</v>
      </c>
      <c r="V23" s="14">
        <f t="shared" si="5"/>
        <v>0.11113083333333451</v>
      </c>
      <c r="W23" s="14">
        <f t="shared" si="5"/>
        <v>3.9042083333334254E-2</v>
      </c>
      <c r="X23" s="14">
        <f t="shared" si="5"/>
        <v>0</v>
      </c>
      <c r="Y23" s="15">
        <f t="shared" si="5"/>
        <v>5.0348333333336548E-3</v>
      </c>
      <c r="Z23" s="15">
        <f t="shared" si="5"/>
        <v>0.15501958333333121</v>
      </c>
      <c r="AA23" s="15">
        <f t="shared" si="5"/>
        <v>0</v>
      </c>
      <c r="AB23" s="16">
        <f t="shared" si="5"/>
        <v>1.7777249999999967E-2</v>
      </c>
      <c r="AC23" s="16">
        <f t="shared" si="5"/>
        <v>0.19912941666666661</v>
      </c>
      <c r="AD23" s="16">
        <f t="shared" si="5"/>
        <v>0.51745891666666743</v>
      </c>
      <c r="AE23" s="16">
        <f t="shared" si="5"/>
        <v>9.6487166666666013E-2</v>
      </c>
      <c r="AF23" s="17">
        <f t="shared" si="5"/>
        <v>0.190411000000001</v>
      </c>
      <c r="AG23" s="17">
        <f t="shared" si="5"/>
        <v>1.7458000000001306E-2</v>
      </c>
      <c r="AH23" s="17">
        <f t="shared" si="5"/>
        <v>0</v>
      </c>
      <c r="AI23" s="17">
        <f t="shared" si="5"/>
        <v>0.14320516666666716</v>
      </c>
      <c r="AK23"/>
      <c r="AL23" s="45">
        <v>21</v>
      </c>
      <c r="AM23" s="14">
        <f t="shared" si="4"/>
        <v>0.10371558333333442</v>
      </c>
      <c r="AN23" s="14">
        <f t="shared" si="6"/>
        <v>0.11700814583333397</v>
      </c>
      <c r="AO23" s="14">
        <f t="shared" si="7"/>
        <v>7.7329854166667378E-2</v>
      </c>
      <c r="AP23" s="14">
        <f t="shared" si="8"/>
        <v>9.494222916666728E-2</v>
      </c>
      <c r="AQ23" s="15">
        <f t="shared" si="9"/>
        <v>1.8041020833333588E-2</v>
      </c>
      <c r="AR23" s="15">
        <f t="shared" si="10"/>
        <v>0.33965822916666655</v>
      </c>
      <c r="AS23" s="15">
        <f t="shared" si="11"/>
        <v>1.5736666666666288E-2</v>
      </c>
      <c r="AT23" s="16">
        <f t="shared" si="12"/>
        <v>0.10337297916666643</v>
      </c>
      <c r="AU23" s="16">
        <f t="shared" si="13"/>
        <v>9.8276708333333351E-2</v>
      </c>
      <c r="AV23" s="16">
        <f t="shared" si="14"/>
        <v>0.31453866666666697</v>
      </c>
      <c r="AW23" s="16">
        <f t="shared" si="15"/>
        <v>4.5618625000000135E-2</v>
      </c>
      <c r="AX23" s="84">
        <f t="shared" si="16"/>
        <v>7.6742562500000666E-2</v>
      </c>
      <c r="AY23" s="84">
        <f t="shared" si="17"/>
        <v>2.2760104166666961E-2</v>
      </c>
      <c r="AZ23" s="84">
        <f t="shared" si="18"/>
        <v>2.9804479166666953E-2</v>
      </c>
      <c r="BA23" s="84">
        <f t="shared" si="19"/>
        <v>0.11608512500000034</v>
      </c>
      <c r="BC23" s="76"/>
      <c r="BD23" s="75"/>
      <c r="BE23" s="75"/>
      <c r="BF23" s="75"/>
      <c r="BG23" s="75"/>
      <c r="BI23" s="76"/>
      <c r="BJ23" s="75"/>
      <c r="BK23" s="75"/>
      <c r="BL23" s="75"/>
      <c r="BM23" s="75"/>
    </row>
    <row r="24" spans="2:65" x14ac:dyDescent="0.2">
      <c r="B24" s="45">
        <v>22</v>
      </c>
      <c r="C24" s="14">
        <v>4.3497668333333346</v>
      </c>
      <c r="D24" s="14">
        <v>4.0432520000000007</v>
      </c>
      <c r="E24" s="14">
        <v>3.800094000000001</v>
      </c>
      <c r="F24" s="14">
        <v>1.8623214166666668</v>
      </c>
      <c r="G24" s="15">
        <v>3.4410557500000003</v>
      </c>
      <c r="H24" s="15">
        <v>8.6394195833333338</v>
      </c>
      <c r="I24" s="15">
        <v>2.9003160000000001</v>
      </c>
      <c r="J24" s="16">
        <v>2.9832430000000003</v>
      </c>
      <c r="K24" s="16">
        <v>4.9653210833333326</v>
      </c>
      <c r="L24" s="16">
        <v>5.5000500833333339</v>
      </c>
      <c r="M24" s="16">
        <v>3.4209134166666675</v>
      </c>
      <c r="N24" s="17">
        <v>5.8241319999999996</v>
      </c>
      <c r="O24" s="17">
        <v>6.1647140000000009</v>
      </c>
      <c r="P24" s="17">
        <v>2.8123369999999999</v>
      </c>
      <c r="Q24" s="17">
        <v>7.6783800000000006</v>
      </c>
      <c r="T24" s="45">
        <v>22</v>
      </c>
      <c r="U24" s="14">
        <f t="shared" si="5"/>
        <v>0.15619383333333392</v>
      </c>
      <c r="V24" s="14">
        <f t="shared" si="5"/>
        <v>9.5506666666667073E-3</v>
      </c>
      <c r="W24" s="14">
        <f t="shared" si="5"/>
        <v>0</v>
      </c>
      <c r="X24" s="14">
        <f t="shared" si="5"/>
        <v>2.4363416666666637E-2</v>
      </c>
      <c r="Y24" s="15">
        <f t="shared" si="5"/>
        <v>0.17408383333333388</v>
      </c>
      <c r="Z24" s="15">
        <f t="shared" si="5"/>
        <v>0.16136183333333598</v>
      </c>
      <c r="AA24" s="15">
        <f t="shared" si="5"/>
        <v>0</v>
      </c>
      <c r="AB24" s="16">
        <f t="shared" si="5"/>
        <v>0</v>
      </c>
      <c r="AC24" s="16">
        <f t="shared" si="5"/>
        <v>0.16211358333333248</v>
      </c>
      <c r="AD24" s="16">
        <f t="shared" si="5"/>
        <v>0.19481024999999974</v>
      </c>
      <c r="AE24" s="16">
        <f t="shared" si="5"/>
        <v>0.28550225000000129</v>
      </c>
      <c r="AF24" s="17">
        <f t="shared" si="5"/>
        <v>6.6587249999998654E-2</v>
      </c>
      <c r="AG24" s="17">
        <f t="shared" si="5"/>
        <v>4.6083333332447296E-5</v>
      </c>
      <c r="AH24" s="17">
        <f t="shared" si="5"/>
        <v>0</v>
      </c>
      <c r="AI24" s="17">
        <f t="shared" si="5"/>
        <v>6.6079166666668243E-3</v>
      </c>
      <c r="AK24"/>
      <c r="AL24" s="45">
        <v>22</v>
      </c>
      <c r="AM24" s="14">
        <f t="shared" si="4"/>
        <v>0.10379864583333309</v>
      </c>
      <c r="AN24" s="14">
        <f t="shared" si="6"/>
        <v>5.0708395833333642E-2</v>
      </c>
      <c r="AO24" s="14">
        <f t="shared" si="7"/>
        <v>6.3032333333333135E-2</v>
      </c>
      <c r="AP24" s="14">
        <f t="shared" si="8"/>
        <v>6.03633124999996E-2</v>
      </c>
      <c r="AQ24" s="15">
        <f t="shared" si="9"/>
        <v>5.9561791666666308E-2</v>
      </c>
      <c r="AR24" s="15">
        <f t="shared" si="10"/>
        <v>0.29744566666666428</v>
      </c>
      <c r="AS24" s="15">
        <f t="shared" si="11"/>
        <v>7.1061416666666988E-2</v>
      </c>
      <c r="AT24" s="16">
        <f t="shared" si="12"/>
        <v>0.10807954166666667</v>
      </c>
      <c r="AU24" s="16">
        <f t="shared" si="13"/>
        <v>8.9200937500000022E-2</v>
      </c>
      <c r="AV24" s="16">
        <f t="shared" si="14"/>
        <v>0.22126389583333284</v>
      </c>
      <c r="AW24" s="16">
        <f t="shared" si="15"/>
        <v>7.4782229166667102E-2</v>
      </c>
      <c r="AX24" s="84">
        <f t="shared" si="16"/>
        <v>4.0713562499999911E-2</v>
      </c>
      <c r="AY24" s="84">
        <f t="shared" si="17"/>
        <v>2.2261624999999396E-2</v>
      </c>
      <c r="AZ24" s="84">
        <f t="shared" si="18"/>
        <v>3.383970833333394E-2</v>
      </c>
      <c r="BA24" s="84">
        <f t="shared" si="19"/>
        <v>7.4098520833332682E-2</v>
      </c>
      <c r="BC24" s="76"/>
      <c r="BD24" s="75"/>
      <c r="BE24" s="75"/>
      <c r="BF24" s="75"/>
      <c r="BG24" s="75"/>
      <c r="BI24" s="76"/>
      <c r="BJ24" s="75"/>
      <c r="BK24" s="75"/>
      <c r="BL24" s="75"/>
      <c r="BM24" s="75"/>
    </row>
    <row r="25" spans="2:65" x14ac:dyDescent="0.2">
      <c r="B25" s="45">
        <v>23</v>
      </c>
      <c r="C25" s="14">
        <v>4.3571280000000012</v>
      </c>
      <c r="D25" s="14">
        <v>4.0432520000000007</v>
      </c>
      <c r="E25" s="14">
        <v>3.800094000000001</v>
      </c>
      <c r="F25" s="14">
        <v>2.0263680833333333</v>
      </c>
      <c r="G25" s="15">
        <v>3.708502333333334</v>
      </c>
      <c r="H25" s="15">
        <v>8.8007812500000018</v>
      </c>
      <c r="I25" s="15">
        <v>2.9107328333333338</v>
      </c>
      <c r="J25" s="16">
        <v>2.9832430000000003</v>
      </c>
      <c r="K25" s="16">
        <v>4.9803799999999994</v>
      </c>
      <c r="L25" s="16">
        <v>5.8408809166666664</v>
      </c>
      <c r="M25" s="16">
        <v>3.6126537499999998</v>
      </c>
      <c r="N25" s="17">
        <v>6.0106912499999998</v>
      </c>
      <c r="O25" s="17">
        <v>6.1647140000000009</v>
      </c>
      <c r="P25" s="17">
        <v>2.8232396666666664</v>
      </c>
      <c r="Q25" s="17">
        <v>7.6783800000000006</v>
      </c>
      <c r="T25" s="45">
        <v>23</v>
      </c>
      <c r="U25" s="14">
        <f t="shared" si="5"/>
        <v>7.3611666666666409E-3</v>
      </c>
      <c r="V25" s="14">
        <f t="shared" si="5"/>
        <v>0</v>
      </c>
      <c r="W25" s="14">
        <f t="shared" si="5"/>
        <v>0</v>
      </c>
      <c r="X25" s="14">
        <f t="shared" si="5"/>
        <v>0.16404666666666645</v>
      </c>
      <c r="Y25" s="15">
        <f t="shared" si="5"/>
        <v>0.26744658333333371</v>
      </c>
      <c r="Z25" s="15">
        <f t="shared" si="5"/>
        <v>0.16136166666666796</v>
      </c>
      <c r="AA25" s="15">
        <f t="shared" si="5"/>
        <v>1.0416833333333653E-2</v>
      </c>
      <c r="AB25" s="16">
        <f t="shared" si="5"/>
        <v>0</v>
      </c>
      <c r="AC25" s="16">
        <f t="shared" si="5"/>
        <v>1.5058916666666811E-2</v>
      </c>
      <c r="AD25" s="16">
        <f t="shared" si="5"/>
        <v>0.34083083333333253</v>
      </c>
      <c r="AE25" s="16">
        <f t="shared" si="5"/>
        <v>0.19174033333333229</v>
      </c>
      <c r="AF25" s="17">
        <f t="shared" si="5"/>
        <v>0.18655925000000018</v>
      </c>
      <c r="AG25" s="17">
        <f t="shared" si="5"/>
        <v>0</v>
      </c>
      <c r="AH25" s="17">
        <f t="shared" si="5"/>
        <v>1.0902666666666505E-2</v>
      </c>
      <c r="AI25" s="17">
        <f t="shared" si="5"/>
        <v>0</v>
      </c>
      <c r="AK25"/>
      <c r="AL25" s="45">
        <v>23</v>
      </c>
      <c r="AM25" s="14">
        <f t="shared" si="4"/>
        <v>6.7500749999999998E-2</v>
      </c>
      <c r="AN25" s="14">
        <f t="shared" si="6"/>
        <v>4.2341270833333056E-2</v>
      </c>
      <c r="AO25" s="14">
        <f t="shared" si="7"/>
        <v>5.6944729166666486E-2</v>
      </c>
      <c r="AP25" s="14">
        <f t="shared" si="8"/>
        <v>4.5272000000000256E-2</v>
      </c>
      <c r="AQ25" s="15">
        <f t="shared" si="9"/>
        <v>8.442131250000029E-2</v>
      </c>
      <c r="AR25" s="15">
        <f t="shared" si="10"/>
        <v>0.23888062500000196</v>
      </c>
      <c r="AS25" s="15">
        <f t="shared" si="11"/>
        <v>2.7182458333333437E-2</v>
      </c>
      <c r="AT25" s="16">
        <f t="shared" si="12"/>
        <v>0.10595666666666681</v>
      </c>
      <c r="AU25" s="16">
        <f t="shared" si="13"/>
        <v>8.8758604166666588E-2</v>
      </c>
      <c r="AV25" s="16">
        <f t="shared" si="14"/>
        <v>0.27144868749999929</v>
      </c>
      <c r="AW25" s="16">
        <f t="shared" si="15"/>
        <v>5.4606416666666657E-2</v>
      </c>
      <c r="AX25" s="84">
        <f t="shared" si="16"/>
        <v>5.7908145833333258E-2</v>
      </c>
      <c r="AY25" s="84">
        <f t="shared" si="17"/>
        <v>4.2769625000001144E-2</v>
      </c>
      <c r="AZ25" s="84">
        <f t="shared" si="18"/>
        <v>3.7086270833332824E-2</v>
      </c>
      <c r="BA25" s="84">
        <f>AVERAGE(AI25,AI49,AI73,AI97)</f>
        <v>9.2253291666665405E-2</v>
      </c>
      <c r="BC25" s="76"/>
      <c r="BD25" s="75"/>
      <c r="BE25" s="75"/>
      <c r="BF25" s="75"/>
      <c r="BG25" s="75"/>
      <c r="BI25" s="76"/>
      <c r="BJ25" s="75"/>
      <c r="BK25" s="75"/>
      <c r="BL25" s="75"/>
      <c r="BM25" s="75"/>
    </row>
    <row r="26" spans="2:65" x14ac:dyDescent="0.2">
      <c r="B26" s="7">
        <v>0</v>
      </c>
      <c r="C26" s="14">
        <v>4.3571280000000012</v>
      </c>
      <c r="D26" s="14">
        <v>4.135313</v>
      </c>
      <c r="E26" s="14">
        <v>3.800094000000001</v>
      </c>
      <c r="F26" s="14">
        <v>2.2126268333333337</v>
      </c>
      <c r="G26" s="15">
        <v>3.7566350000000006</v>
      </c>
      <c r="H26" s="15">
        <v>8.9628419166666671</v>
      </c>
      <c r="I26" s="15">
        <v>3.1522649166666667</v>
      </c>
      <c r="J26" s="16">
        <v>2.9832430000000003</v>
      </c>
      <c r="K26" s="16">
        <v>4.9803799999999994</v>
      </c>
      <c r="L26" s="16">
        <v>6.4331649999999989</v>
      </c>
      <c r="M26" s="16">
        <v>3.6130929999999997</v>
      </c>
      <c r="N26" s="17">
        <v>6.2996432499999999</v>
      </c>
      <c r="O26" s="17">
        <v>6.1647140000000009</v>
      </c>
      <c r="P26" s="17">
        <v>3.0914584999999994</v>
      </c>
      <c r="Q26" s="17">
        <v>7.6783800000000006</v>
      </c>
      <c r="T26" s="7">
        <v>0</v>
      </c>
      <c r="U26" s="14">
        <f>C26-C25</f>
        <v>0</v>
      </c>
      <c r="V26" s="14">
        <f t="shared" si="5"/>
        <v>9.2060999999999282E-2</v>
      </c>
      <c r="W26" s="14">
        <f t="shared" si="5"/>
        <v>0</v>
      </c>
      <c r="X26" s="14">
        <f t="shared" si="5"/>
        <v>0.18625875000000036</v>
      </c>
      <c r="Y26" s="15">
        <f t="shared" si="5"/>
        <v>4.8132666666666601E-2</v>
      </c>
      <c r="Z26" s="15">
        <f t="shared" si="5"/>
        <v>0.1620606666666653</v>
      </c>
      <c r="AA26" s="15">
        <f t="shared" si="5"/>
        <v>0.24153208333333298</v>
      </c>
      <c r="AB26" s="16">
        <f t="shared" si="5"/>
        <v>0</v>
      </c>
      <c r="AC26" s="16">
        <f t="shared" si="5"/>
        <v>0</v>
      </c>
      <c r="AD26" s="16">
        <f t="shared" si="5"/>
        <v>0.59228408333333249</v>
      </c>
      <c r="AE26" s="16">
        <f t="shared" si="5"/>
        <v>4.3924999999989112E-4</v>
      </c>
      <c r="AF26" s="17">
        <f t="shared" si="5"/>
        <v>0.2889520000000001</v>
      </c>
      <c r="AG26" s="17">
        <f t="shared" si="5"/>
        <v>0</v>
      </c>
      <c r="AH26" s="17">
        <f t="shared" si="5"/>
        <v>0.26821883333333307</v>
      </c>
      <c r="AI26" s="17">
        <f t="shared" si="5"/>
        <v>0</v>
      </c>
      <c r="AK26"/>
      <c r="AL26" s="7">
        <v>24</v>
      </c>
      <c r="AM26" s="14">
        <f>AVERAGE(U26,U50,U74,U98)</f>
        <v>4.5004854166666552E-2</v>
      </c>
      <c r="AN26" s="14">
        <f t="shared" si="6"/>
        <v>6.2059020833332923E-2</v>
      </c>
      <c r="AO26" s="14">
        <f t="shared" si="7"/>
        <v>5.5722395833333271E-2</v>
      </c>
      <c r="AP26" s="14">
        <f t="shared" si="8"/>
        <v>5.5721062500000196E-2</v>
      </c>
      <c r="AQ26" s="15">
        <f t="shared" si="9"/>
        <v>2.4285666666666206E-2</v>
      </c>
      <c r="AR26" s="15">
        <f t="shared" si="10"/>
        <v>0.21497162499999956</v>
      </c>
      <c r="AS26" s="15">
        <f t="shared" si="11"/>
        <v>0.12447612500000005</v>
      </c>
      <c r="AT26" s="16">
        <f t="shared" si="12"/>
        <v>3.7284062499999715E-2</v>
      </c>
      <c r="AU26" s="16">
        <f t="shared" si="13"/>
        <v>0.12350699999999892</v>
      </c>
      <c r="AV26" s="16">
        <f t="shared" si="14"/>
        <v>0.24529350000000072</v>
      </c>
      <c r="AW26" s="16">
        <f t="shared" si="15"/>
        <v>7.1908333333331464E-3</v>
      </c>
      <c r="AX26" s="84">
        <f t="shared" si="16"/>
        <v>7.9962770833333252E-2</v>
      </c>
      <c r="AY26" s="84">
        <f t="shared" si="17"/>
        <v>2.7469729166666346E-2</v>
      </c>
      <c r="AZ26" s="84">
        <f t="shared" si="18"/>
        <v>9.0205666666666406E-2</v>
      </c>
      <c r="BA26" s="84">
        <f>AVERAGE(AI26,AI50,AI74,AI98)</f>
        <v>0.10221137500000044</v>
      </c>
      <c r="BC26" s="76"/>
      <c r="BD26" s="75"/>
      <c r="BE26" s="75"/>
      <c r="BF26" s="75"/>
      <c r="BG26" s="75"/>
      <c r="BI26" s="76"/>
      <c r="BJ26" s="75"/>
      <c r="BK26" s="75"/>
      <c r="BL26" s="75"/>
      <c r="BM26" s="75"/>
    </row>
    <row r="27" spans="2:65" x14ac:dyDescent="0.2">
      <c r="B27" s="45">
        <v>1</v>
      </c>
      <c r="C27" s="14">
        <v>4.3571280000000012</v>
      </c>
      <c r="D27" s="14">
        <v>4.2752689999999998</v>
      </c>
      <c r="E27" s="14">
        <v>3.800094000000001</v>
      </c>
      <c r="F27" s="14">
        <v>2.3908744166666662</v>
      </c>
      <c r="G27" s="15">
        <v>3.7566350000000006</v>
      </c>
      <c r="H27" s="15">
        <v>9.1786116666666668</v>
      </c>
      <c r="I27" s="15">
        <v>3.4353886666666664</v>
      </c>
      <c r="J27" s="16">
        <v>2.9832430000000003</v>
      </c>
      <c r="K27" s="16">
        <v>4.9890797499999993</v>
      </c>
      <c r="L27" s="16">
        <v>6.5464999999999991</v>
      </c>
      <c r="M27" s="16">
        <v>3.6174319999999991</v>
      </c>
      <c r="N27" s="17">
        <v>6.4949521666666667</v>
      </c>
      <c r="O27" s="17">
        <v>6.1647140000000009</v>
      </c>
      <c r="P27" s="17">
        <v>3.4647968333333332</v>
      </c>
      <c r="Q27" s="17">
        <v>7.6783800000000006</v>
      </c>
      <c r="T27" s="45">
        <v>1</v>
      </c>
      <c r="U27" s="14">
        <f t="shared" si="5"/>
        <v>0</v>
      </c>
      <c r="V27" s="14">
        <f t="shared" si="5"/>
        <v>0.13995599999999975</v>
      </c>
      <c r="W27" s="14">
        <f t="shared" si="5"/>
        <v>0</v>
      </c>
      <c r="X27" s="14">
        <f t="shared" si="5"/>
        <v>0.17824758333333257</v>
      </c>
      <c r="Y27" s="15">
        <f t="shared" si="5"/>
        <v>0</v>
      </c>
      <c r="Z27" s="15">
        <f t="shared" si="5"/>
        <v>0.21576974999999976</v>
      </c>
      <c r="AA27" s="15">
        <f t="shared" si="5"/>
        <v>0.28312374999999967</v>
      </c>
      <c r="AB27" s="16">
        <f t="shared" si="5"/>
        <v>0</v>
      </c>
      <c r="AC27" s="16">
        <f t="shared" si="5"/>
        <v>8.6997499999998951E-3</v>
      </c>
      <c r="AD27" s="16">
        <f t="shared" si="5"/>
        <v>0.11333500000000019</v>
      </c>
      <c r="AE27" s="16">
        <f t="shared" si="5"/>
        <v>4.3389999999994266E-3</v>
      </c>
      <c r="AF27" s="17">
        <f t="shared" si="5"/>
        <v>0.19530891666666683</v>
      </c>
      <c r="AG27" s="17">
        <f t="shared" si="5"/>
        <v>0</v>
      </c>
      <c r="AH27" s="17">
        <f t="shared" si="5"/>
        <v>0.37333833333333377</v>
      </c>
      <c r="AI27" s="17">
        <f t="shared" si="5"/>
        <v>0</v>
      </c>
      <c r="AQ27" s="76"/>
      <c r="AR27" s="75"/>
      <c r="AS27" s="75"/>
      <c r="AT27" s="75"/>
      <c r="AU27" s="75"/>
      <c r="AW27" s="76"/>
      <c r="AX27" s="75"/>
      <c r="AY27" s="75"/>
      <c r="AZ27" s="75"/>
      <c r="BA27" s="75"/>
      <c r="BC27" s="76"/>
      <c r="BD27" s="75"/>
      <c r="BE27" s="75"/>
      <c r="BF27" s="75"/>
      <c r="BG27" s="75"/>
      <c r="BI27" s="76"/>
      <c r="BJ27" s="75"/>
      <c r="BK27" s="75"/>
      <c r="BL27" s="75"/>
      <c r="BM27" s="75"/>
    </row>
    <row r="28" spans="2:65" x14ac:dyDescent="0.2">
      <c r="B28" s="45">
        <v>2</v>
      </c>
      <c r="C28" s="14">
        <v>4.3571280000000012</v>
      </c>
      <c r="D28" s="14">
        <v>4.299069666666667</v>
      </c>
      <c r="E28" s="14">
        <v>3.800094000000001</v>
      </c>
      <c r="F28" s="14">
        <v>2.4397389999999999</v>
      </c>
      <c r="G28" s="15">
        <v>3.8013308333333331</v>
      </c>
      <c r="H28" s="15">
        <v>9.4155044999999991</v>
      </c>
      <c r="I28" s="15">
        <v>3.474421</v>
      </c>
      <c r="J28" s="16">
        <v>2.9832430000000003</v>
      </c>
      <c r="K28" s="16">
        <v>5.03742</v>
      </c>
      <c r="L28" s="16">
        <v>6.5464999999999991</v>
      </c>
      <c r="M28" s="16">
        <v>3.6281869999999992</v>
      </c>
      <c r="N28" s="17">
        <v>6.6874453333333337</v>
      </c>
      <c r="O28" s="17">
        <v>6.1647140000000009</v>
      </c>
      <c r="P28" s="17">
        <v>3.6045519999999986</v>
      </c>
      <c r="Q28" s="17">
        <v>7.6783800000000006</v>
      </c>
      <c r="T28" s="45">
        <v>2</v>
      </c>
      <c r="U28" s="14">
        <f t="shared" si="5"/>
        <v>0</v>
      </c>
      <c r="V28" s="14">
        <f t="shared" si="5"/>
        <v>2.3800666666667247E-2</v>
      </c>
      <c r="W28" s="14">
        <f t="shared" si="5"/>
        <v>0</v>
      </c>
      <c r="X28" s="14">
        <f t="shared" si="5"/>
        <v>4.8864583333333655E-2</v>
      </c>
      <c r="Y28" s="15">
        <f t="shared" si="5"/>
        <v>4.4695833333332491E-2</v>
      </c>
      <c r="Z28" s="15">
        <f t="shared" si="5"/>
        <v>0.23689283333333222</v>
      </c>
      <c r="AA28" s="15">
        <f t="shared" si="5"/>
        <v>3.9032333333333558E-2</v>
      </c>
      <c r="AB28" s="16">
        <f t="shared" si="5"/>
        <v>0</v>
      </c>
      <c r="AC28" s="16">
        <f t="shared" si="5"/>
        <v>4.8340250000000751E-2</v>
      </c>
      <c r="AD28" s="16">
        <f t="shared" si="5"/>
        <v>0</v>
      </c>
      <c r="AE28" s="16">
        <f t="shared" si="5"/>
        <v>1.075500000000007E-2</v>
      </c>
      <c r="AF28" s="17">
        <f t="shared" si="5"/>
        <v>0.19249316666666694</v>
      </c>
      <c r="AG28" s="17">
        <f t="shared" si="5"/>
        <v>0</v>
      </c>
      <c r="AH28" s="17">
        <f t="shared" si="5"/>
        <v>0.13975516666666543</v>
      </c>
      <c r="AI28" s="17">
        <f t="shared" si="5"/>
        <v>0</v>
      </c>
    </row>
    <row r="29" spans="2:65" x14ac:dyDescent="0.2">
      <c r="B29" s="45">
        <v>3</v>
      </c>
      <c r="C29" s="14">
        <v>4.3571827500000007</v>
      </c>
      <c r="D29" s="14">
        <v>4.3197693333333342</v>
      </c>
      <c r="E29" s="14">
        <v>3.800094000000001</v>
      </c>
      <c r="F29" s="14">
        <v>2.4397389999999999</v>
      </c>
      <c r="G29" s="15">
        <v>4.0299054999999999</v>
      </c>
      <c r="H29" s="15">
        <v>9.6148562500000008</v>
      </c>
      <c r="I29" s="15">
        <v>3.474421</v>
      </c>
      <c r="J29" s="16">
        <v>2.9832430000000003</v>
      </c>
      <c r="K29" s="16">
        <v>5.0770785833333321</v>
      </c>
      <c r="L29" s="16">
        <v>6.5464999999999991</v>
      </c>
      <c r="M29" s="16">
        <v>3.6281869999999992</v>
      </c>
      <c r="N29" s="17">
        <v>6.8730559166666678</v>
      </c>
      <c r="O29" s="17">
        <v>6.1647140000000009</v>
      </c>
      <c r="P29" s="17">
        <v>3.6045519999999986</v>
      </c>
      <c r="Q29" s="17">
        <v>7.6783800000000006</v>
      </c>
      <c r="T29" s="45">
        <v>3</v>
      </c>
      <c r="U29" s="14">
        <f t="shared" si="5"/>
        <v>5.4749999999437193E-5</v>
      </c>
      <c r="V29" s="14">
        <f t="shared" si="5"/>
        <v>2.0699666666667227E-2</v>
      </c>
      <c r="W29" s="14">
        <f t="shared" si="5"/>
        <v>0</v>
      </c>
      <c r="X29" s="14">
        <f t="shared" si="5"/>
        <v>0</v>
      </c>
      <c r="Y29" s="15">
        <f t="shared" si="5"/>
        <v>0.22857466666666681</v>
      </c>
      <c r="Z29" s="15">
        <f t="shared" si="5"/>
        <v>0.19935175000000172</v>
      </c>
      <c r="AA29" s="15">
        <f t="shared" si="5"/>
        <v>0</v>
      </c>
      <c r="AB29" s="16">
        <f t="shared" si="5"/>
        <v>0</v>
      </c>
      <c r="AC29" s="16">
        <f t="shared" si="5"/>
        <v>3.9658583333332054E-2</v>
      </c>
      <c r="AD29" s="16">
        <f t="shared" si="5"/>
        <v>0</v>
      </c>
      <c r="AE29" s="16">
        <f t="shared" si="5"/>
        <v>0</v>
      </c>
      <c r="AF29" s="17">
        <f t="shared" si="5"/>
        <v>0.18561058333333413</v>
      </c>
      <c r="AG29" s="17">
        <f t="shared" si="5"/>
        <v>0</v>
      </c>
      <c r="AH29" s="17">
        <f t="shared" si="5"/>
        <v>0</v>
      </c>
      <c r="AI29" s="17">
        <f t="shared" si="5"/>
        <v>0</v>
      </c>
      <c r="AL29"/>
      <c r="AM29" s="85" t="s">
        <v>75</v>
      </c>
      <c r="AN29" s="85"/>
      <c r="AO29" s="85"/>
      <c r="AP29" s="85"/>
      <c r="AQ29"/>
      <c r="AR29"/>
      <c r="AS29" s="85" t="s">
        <v>76</v>
      </c>
      <c r="AT29" s="85"/>
      <c r="AU29" s="85"/>
      <c r="AV29" s="85"/>
    </row>
    <row r="30" spans="2:65" x14ac:dyDescent="0.2">
      <c r="B30" s="45">
        <v>4</v>
      </c>
      <c r="C30" s="14">
        <v>4.3584198333333335</v>
      </c>
      <c r="D30" s="14">
        <v>4.3367801666666672</v>
      </c>
      <c r="E30" s="14">
        <v>3.800094000000001</v>
      </c>
      <c r="F30" s="14">
        <v>2.4397389999999999</v>
      </c>
      <c r="G30" s="15">
        <v>4.2572774999999998</v>
      </c>
      <c r="H30" s="15">
        <v>9.6373940000000005</v>
      </c>
      <c r="I30" s="15">
        <v>3.526626166666667</v>
      </c>
      <c r="J30" s="16">
        <v>2.9832430000000003</v>
      </c>
      <c r="K30" s="16">
        <v>5.0950035833333329</v>
      </c>
      <c r="L30" s="16">
        <v>6.5464999999999991</v>
      </c>
      <c r="M30" s="16">
        <v>3.6293325000000003</v>
      </c>
      <c r="N30" s="17">
        <v>7.0704665000000011</v>
      </c>
      <c r="O30" s="17">
        <v>6.1647140000000009</v>
      </c>
      <c r="P30" s="17">
        <v>3.6130475</v>
      </c>
      <c r="Q30" s="17">
        <v>7.6783800000000006</v>
      </c>
      <c r="T30" s="45">
        <v>4</v>
      </c>
      <c r="U30" s="14">
        <f t="shared" si="5"/>
        <v>1.2370833333328335E-3</v>
      </c>
      <c r="V30" s="14">
        <f t="shared" si="5"/>
        <v>1.7010833333332975E-2</v>
      </c>
      <c r="W30" s="14">
        <f t="shared" si="5"/>
        <v>0</v>
      </c>
      <c r="X30" s="14">
        <f t="shared" si="5"/>
        <v>0</v>
      </c>
      <c r="Y30" s="15">
        <f t="shared" si="5"/>
        <v>0.22737199999999991</v>
      </c>
      <c r="Z30" s="15">
        <f t="shared" si="5"/>
        <v>2.253774999999969E-2</v>
      </c>
      <c r="AA30" s="15">
        <f t="shared" si="5"/>
        <v>5.2205166666666969E-2</v>
      </c>
      <c r="AB30" s="16">
        <f t="shared" si="5"/>
        <v>0</v>
      </c>
      <c r="AC30" s="16">
        <f t="shared" si="5"/>
        <v>1.7925000000000857E-2</v>
      </c>
      <c r="AD30" s="16">
        <f t="shared" si="5"/>
        <v>0</v>
      </c>
      <c r="AE30" s="16">
        <f t="shared" si="5"/>
        <v>1.1455000000011317E-3</v>
      </c>
      <c r="AF30" s="17">
        <f t="shared" si="5"/>
        <v>0.19741058333333328</v>
      </c>
      <c r="AG30" s="17">
        <f t="shared" si="5"/>
        <v>0</v>
      </c>
      <c r="AH30" s="17">
        <f t="shared" si="5"/>
        <v>8.4955000000013214E-3</v>
      </c>
      <c r="AI30" s="17">
        <f t="shared" si="5"/>
        <v>0</v>
      </c>
      <c r="AL30" s="32" t="s">
        <v>77</v>
      </c>
      <c r="AM30" s="58" t="s">
        <v>52</v>
      </c>
      <c r="AN30" s="59" t="s">
        <v>38</v>
      </c>
      <c r="AO30" s="60" t="s">
        <v>39</v>
      </c>
      <c r="AP30" s="61" t="s">
        <v>40</v>
      </c>
      <c r="AQ30"/>
      <c r="AR30" s="32" t="s">
        <v>77</v>
      </c>
      <c r="AS30" s="58" t="s">
        <v>52</v>
      </c>
      <c r="AT30" s="59" t="s">
        <v>38</v>
      </c>
      <c r="AU30" s="60" t="s">
        <v>39</v>
      </c>
      <c r="AV30" s="61" t="s">
        <v>40</v>
      </c>
      <c r="AX30" s="86"/>
      <c r="AY30" s="86"/>
      <c r="AZ30" s="86"/>
      <c r="BA30" s="86"/>
      <c r="BE30" s="86"/>
      <c r="BF30" s="86"/>
      <c r="BG30" s="86"/>
      <c r="BJ30" s="86"/>
      <c r="BK30" s="86"/>
      <c r="BL30" s="86"/>
    </row>
    <row r="31" spans="2:65" x14ac:dyDescent="0.2">
      <c r="B31" s="45">
        <v>5</v>
      </c>
      <c r="C31" s="14">
        <v>4.3596572500000006</v>
      </c>
      <c r="D31" s="14">
        <v>4.3420891666666668</v>
      </c>
      <c r="E31" s="14">
        <v>3.800094000000001</v>
      </c>
      <c r="F31" s="14">
        <v>2.4397389999999999</v>
      </c>
      <c r="G31" s="15">
        <v>4.4924480000000004</v>
      </c>
      <c r="H31" s="15">
        <v>9.6373940000000005</v>
      </c>
      <c r="I31" s="15">
        <v>3.9415873333333331</v>
      </c>
      <c r="J31" s="16">
        <v>2.9832430000000003</v>
      </c>
      <c r="K31" s="16">
        <v>5.1246116666666675</v>
      </c>
      <c r="L31" s="16">
        <v>6.5468274166666669</v>
      </c>
      <c r="M31" s="16">
        <v>3.6542274999999997</v>
      </c>
      <c r="N31" s="17">
        <v>7.2678770833333326</v>
      </c>
      <c r="O31" s="17">
        <v>6.1647140000000009</v>
      </c>
      <c r="P31" s="17">
        <v>3.7444816666666667</v>
      </c>
      <c r="Q31" s="17">
        <v>7.6783800000000006</v>
      </c>
      <c r="T31" s="45">
        <v>5</v>
      </c>
      <c r="U31" s="14">
        <f t="shared" si="5"/>
        <v>1.2374166666671016E-3</v>
      </c>
      <c r="V31" s="14">
        <f t="shared" si="5"/>
        <v>5.3089999999995641E-3</v>
      </c>
      <c r="W31" s="14">
        <f t="shared" si="5"/>
        <v>0</v>
      </c>
      <c r="X31" s="14">
        <f t="shared" si="5"/>
        <v>0</v>
      </c>
      <c r="Y31" s="15">
        <f t="shared" si="5"/>
        <v>0.23517050000000062</v>
      </c>
      <c r="Z31" s="15">
        <f t="shared" si="5"/>
        <v>0</v>
      </c>
      <c r="AA31" s="15">
        <f t="shared" si="5"/>
        <v>0.41496116666666616</v>
      </c>
      <c r="AB31" s="16">
        <f t="shared" si="5"/>
        <v>0</v>
      </c>
      <c r="AC31" s="16">
        <f t="shared" si="5"/>
        <v>2.9608083333334534E-2</v>
      </c>
      <c r="AD31" s="16">
        <f t="shared" si="5"/>
        <v>3.2741666666780134E-4</v>
      </c>
      <c r="AE31" s="16">
        <f t="shared" si="5"/>
        <v>2.4894999999999445E-2</v>
      </c>
      <c r="AF31" s="17">
        <f t="shared" si="5"/>
        <v>0.1974105833333315</v>
      </c>
      <c r="AG31" s="17">
        <f t="shared" si="5"/>
        <v>0</v>
      </c>
      <c r="AH31" s="17">
        <f t="shared" si="5"/>
        <v>0.13143416666666674</v>
      </c>
      <c r="AI31" s="17">
        <f t="shared" si="5"/>
        <v>0</v>
      </c>
      <c r="AL31" s="52">
        <v>0</v>
      </c>
      <c r="AM31" s="62">
        <f>AVERAGE(AM2:AP2)</f>
        <v>3.5607348958333174E-2</v>
      </c>
      <c r="AN31" s="63">
        <f>AVERAGE(AQ2:AS2)</f>
        <v>7.3954034722222173E-2</v>
      </c>
      <c r="AO31" s="63">
        <f>AVERAGE(AT2:AW2)</f>
        <v>7.8640578124999777E-2</v>
      </c>
      <c r="AP31" s="64">
        <f>AVERAGE(AX2:BA2)</f>
        <v>6.9209348958333416E-2</v>
      </c>
      <c r="AQ31"/>
      <c r="AR31" s="52">
        <v>0</v>
      </c>
      <c r="AS31" s="62">
        <f>STDEV(AM2:AP2)/SQRT(COUNT(AM2:AP2))</f>
        <v>8.3726807593490788E-3</v>
      </c>
      <c r="AT31" s="63">
        <f>STDEV(AQ2:AS2)/SQRT(COUNT(AQ2:AS2))</f>
        <v>2.8039207156653392E-2</v>
      </c>
      <c r="AU31" s="63">
        <f>STDEV(AT2:AW2)/SQRT(COUNT(AT2:AW2))</f>
        <v>4.3459016052903206E-2</v>
      </c>
      <c r="AV31" s="64">
        <f>STDEV(AX2:BA2)/SQRT(COUNT(AX2:BA2))</f>
        <v>1.8163699384859972E-2</v>
      </c>
      <c r="AW31" s="71"/>
      <c r="AX31" s="77"/>
      <c r="AY31" s="78"/>
      <c r="AZ31" s="79"/>
      <c r="BA31" s="80"/>
      <c r="BD31" s="71"/>
      <c r="BE31" s="77"/>
      <c r="BF31" s="78"/>
      <c r="BI31" s="71"/>
      <c r="BJ31" s="79"/>
      <c r="BK31" s="80"/>
    </row>
    <row r="32" spans="2:65" x14ac:dyDescent="0.2">
      <c r="B32" s="45">
        <v>6</v>
      </c>
      <c r="C32" s="14">
        <v>4.3633727500000008</v>
      </c>
      <c r="D32" s="14">
        <v>4.3472389999999992</v>
      </c>
      <c r="E32" s="14">
        <v>3.8004472499999999</v>
      </c>
      <c r="F32" s="14">
        <v>2.4397389999999999</v>
      </c>
      <c r="G32" s="15">
        <v>4.7134810000000007</v>
      </c>
      <c r="H32" s="15">
        <v>9.6373940000000005</v>
      </c>
      <c r="I32" s="15">
        <v>4.0914062500000004</v>
      </c>
      <c r="J32" s="16">
        <v>2.9832430000000003</v>
      </c>
      <c r="K32" s="16">
        <v>5.1256800000000009</v>
      </c>
      <c r="L32" s="16">
        <v>6.5529675833333334</v>
      </c>
      <c r="M32" s="16">
        <v>3.6885603333333337</v>
      </c>
      <c r="N32" s="17">
        <v>7.4286770000000004</v>
      </c>
      <c r="O32" s="17">
        <v>6.1647140000000009</v>
      </c>
      <c r="P32" s="17">
        <v>3.9161450000000002</v>
      </c>
      <c r="Q32" s="17">
        <v>7.6783800000000006</v>
      </c>
      <c r="T32" s="45">
        <v>6</v>
      </c>
      <c r="U32" s="14">
        <f t="shared" si="5"/>
        <v>3.7155000000002047E-3</v>
      </c>
      <c r="V32" s="14">
        <f t="shared" si="5"/>
        <v>5.1498333333324098E-3</v>
      </c>
      <c r="W32" s="14">
        <f t="shared" si="5"/>
        <v>3.5324999999897244E-4</v>
      </c>
      <c r="X32" s="14">
        <f t="shared" si="5"/>
        <v>0</v>
      </c>
      <c r="Y32" s="15">
        <f t="shared" si="5"/>
        <v>0.22103300000000026</v>
      </c>
      <c r="Z32" s="15">
        <f t="shared" si="5"/>
        <v>0</v>
      </c>
      <c r="AA32" s="15">
        <f t="shared" si="5"/>
        <v>0.14981891666666725</v>
      </c>
      <c r="AB32" s="16">
        <f t="shared" si="5"/>
        <v>0</v>
      </c>
      <c r="AC32" s="16">
        <f t="shared" si="5"/>
        <v>1.0683333333334488E-3</v>
      </c>
      <c r="AD32" s="16">
        <f t="shared" si="5"/>
        <v>6.1401666666665022E-3</v>
      </c>
      <c r="AE32" s="16">
        <f t="shared" si="5"/>
        <v>3.4332833333333923E-2</v>
      </c>
      <c r="AF32" s="17">
        <f t="shared" si="5"/>
        <v>0.16079991666666782</v>
      </c>
      <c r="AG32" s="17">
        <f t="shared" si="5"/>
        <v>0</v>
      </c>
      <c r="AH32" s="17">
        <f t="shared" si="5"/>
        <v>0.1716633333333335</v>
      </c>
      <c r="AI32" s="17">
        <f t="shared" si="5"/>
        <v>0</v>
      </c>
      <c r="AL32" s="52">
        <v>1</v>
      </c>
      <c r="AM32" s="62">
        <f>AVERAGE(AM3:AP3)</f>
        <v>4.0733958333333375E-2</v>
      </c>
      <c r="AN32" s="63">
        <f t="shared" ref="AN32:AN55" si="20">AVERAGE(AQ3:AS3)</f>
        <v>7.466904861111133E-2</v>
      </c>
      <c r="AO32" s="63">
        <f t="shared" ref="AO32:AO55" si="21">AVERAGE(AT3:AW3)</f>
        <v>3.8407114583333485E-2</v>
      </c>
      <c r="AP32" s="64">
        <f t="shared" ref="AP32:AP55" si="22">AVERAGE(AX3:BA3)</f>
        <v>9.0793973958333371E-2</v>
      </c>
      <c r="AQ32"/>
      <c r="AR32" s="52">
        <v>1</v>
      </c>
      <c r="AS32" s="62">
        <f t="shared" ref="AS32:AS55" si="23">STDEV(AM3:AP3)/SQRT(COUNT(AM3:AP3))</f>
        <v>1.2782150393885772E-2</v>
      </c>
      <c r="AT32" s="63">
        <f t="shared" ref="AT32:AT55" si="24">STDEV(AQ3:AS3)/SQRT(COUNT(AQ3:AS3))</f>
        <v>3.2621575930800083E-2</v>
      </c>
      <c r="AU32" s="63">
        <f t="shared" ref="AU32:AU55" si="25">STDEV(AT3:AW3)/SQRT(COUNT(AT3:AW3))</f>
        <v>2.0006985190396745E-2</v>
      </c>
      <c r="AV32" s="64">
        <f t="shared" ref="AV32:AV55" si="26">STDEV(AX3:BA3)/SQRT(COUNT(AX3:BA3))</f>
        <v>1.4416957398843695E-2</v>
      </c>
      <c r="AW32" s="76"/>
      <c r="BD32" s="76"/>
      <c r="BI32" s="76"/>
    </row>
    <row r="33" spans="2:61" x14ac:dyDescent="0.2">
      <c r="B33" s="45">
        <v>7</v>
      </c>
      <c r="C33" s="14">
        <v>4.4076372500000005</v>
      </c>
      <c r="D33" s="14">
        <v>4.3524236666666676</v>
      </c>
      <c r="E33" s="14">
        <v>3.8013020000000002</v>
      </c>
      <c r="F33" s="14">
        <v>2.4404883333333331</v>
      </c>
      <c r="G33" s="15">
        <v>4.7635870000000002</v>
      </c>
      <c r="H33" s="15">
        <v>9.6373940000000005</v>
      </c>
      <c r="I33" s="15">
        <v>4.2158235833333331</v>
      </c>
      <c r="J33" s="16">
        <v>2.9832430000000003</v>
      </c>
      <c r="K33" s="16">
        <v>5.1256800000000009</v>
      </c>
      <c r="L33" s="16">
        <v>6.5555669999999973</v>
      </c>
      <c r="M33" s="16">
        <v>3.7228915000000007</v>
      </c>
      <c r="N33" s="17">
        <v>7.4770582500000016</v>
      </c>
      <c r="O33" s="17">
        <v>6.1647140000000009</v>
      </c>
      <c r="P33" s="17">
        <v>4.0845559166666661</v>
      </c>
      <c r="Q33" s="17">
        <v>7.6783800000000006</v>
      </c>
      <c r="T33" s="45">
        <v>7</v>
      </c>
      <c r="U33" s="14">
        <f t="shared" si="5"/>
        <v>4.4264499999999707E-2</v>
      </c>
      <c r="V33" s="14">
        <f t="shared" si="5"/>
        <v>5.1846666666683916E-3</v>
      </c>
      <c r="W33" s="14">
        <f t="shared" si="5"/>
        <v>8.5475000000023726E-4</v>
      </c>
      <c r="X33" s="14">
        <f t="shared" si="5"/>
        <v>7.4933333333326857E-4</v>
      </c>
      <c r="Y33" s="15">
        <f t="shared" si="5"/>
        <v>5.010599999999954E-2</v>
      </c>
      <c r="Z33" s="15">
        <f t="shared" si="5"/>
        <v>0</v>
      </c>
      <c r="AA33" s="15">
        <f t="shared" si="5"/>
        <v>0.12441733333333271</v>
      </c>
      <c r="AB33" s="16">
        <f t="shared" si="5"/>
        <v>0</v>
      </c>
      <c r="AC33" s="16">
        <f t="shared" si="5"/>
        <v>0</v>
      </c>
      <c r="AD33" s="16">
        <f t="shared" si="5"/>
        <v>2.5994166666638563E-3</v>
      </c>
      <c r="AE33" s="16">
        <f t="shared" si="5"/>
        <v>3.4331166666667023E-2</v>
      </c>
      <c r="AF33" s="17">
        <f t="shared" si="5"/>
        <v>4.8381250000001153E-2</v>
      </c>
      <c r="AG33" s="17">
        <f t="shared" si="5"/>
        <v>0</v>
      </c>
      <c r="AH33" s="17">
        <f t="shared" si="5"/>
        <v>0.16841091666666586</v>
      </c>
      <c r="AI33" s="17">
        <f t="shared" si="5"/>
        <v>0</v>
      </c>
      <c r="AL33" s="52">
        <v>2</v>
      </c>
      <c r="AM33" s="62">
        <f t="shared" ref="AM33:AM54" si="27">AVERAGE(AM4:AP4)</f>
        <v>2.1288453125000134E-2</v>
      </c>
      <c r="AN33" s="63">
        <f t="shared" si="20"/>
        <v>7.8962493055555583E-2</v>
      </c>
      <c r="AO33" s="63">
        <f t="shared" si="21"/>
        <v>3.3850619791666536E-2</v>
      </c>
      <c r="AP33" s="64">
        <f t="shared" si="22"/>
        <v>0.11799618749999992</v>
      </c>
      <c r="AQ33"/>
      <c r="AR33" s="52">
        <v>2</v>
      </c>
      <c r="AS33" s="62">
        <f t="shared" si="23"/>
        <v>4.9658334844846583E-3</v>
      </c>
      <c r="AT33" s="63">
        <f t="shared" si="24"/>
        <v>5.3694488259917288E-2</v>
      </c>
      <c r="AU33" s="63">
        <f t="shared" si="25"/>
        <v>2.5214427439625934E-2</v>
      </c>
      <c r="AV33" s="64">
        <f t="shared" si="26"/>
        <v>4.0331134405069906E-2</v>
      </c>
      <c r="AW33" s="76"/>
      <c r="BD33" s="76"/>
      <c r="BI33" s="76"/>
    </row>
    <row r="34" spans="2:61" x14ac:dyDescent="0.2">
      <c r="B34" s="45">
        <v>8</v>
      </c>
      <c r="C34" s="14">
        <v>4.4983959999999987</v>
      </c>
      <c r="D34" s="14">
        <v>4.3618688333333333</v>
      </c>
      <c r="E34" s="14">
        <v>3.8021603333333331</v>
      </c>
      <c r="F34" s="14">
        <v>2.4482250833333334</v>
      </c>
      <c r="G34" s="15">
        <v>4.7635870000000002</v>
      </c>
      <c r="H34" s="15">
        <v>9.6664619166666679</v>
      </c>
      <c r="I34" s="15">
        <v>4.3950145000000012</v>
      </c>
      <c r="J34" s="16">
        <v>2.9832430000000003</v>
      </c>
      <c r="K34" s="16">
        <v>5.1290500833333335</v>
      </c>
      <c r="L34" s="16">
        <v>6.5555669999999973</v>
      </c>
      <c r="M34" s="16">
        <v>3.7572234999999998</v>
      </c>
      <c r="N34" s="17">
        <v>7.4820650000000013</v>
      </c>
      <c r="O34" s="17">
        <v>6.1647140000000009</v>
      </c>
      <c r="P34" s="17">
        <v>4.139848999999999</v>
      </c>
      <c r="Q34" s="17">
        <v>7.6783800000000006</v>
      </c>
      <c r="T34" s="45">
        <v>8</v>
      </c>
      <c r="U34" s="14">
        <f t="shared" si="5"/>
        <v>9.0758749999998223E-2</v>
      </c>
      <c r="V34" s="14">
        <f t="shared" si="5"/>
        <v>9.4451666666657275E-3</v>
      </c>
      <c r="W34" s="14">
        <f t="shared" si="5"/>
        <v>8.5833333333296125E-4</v>
      </c>
      <c r="X34" s="14">
        <f t="shared" si="5"/>
        <v>7.736750000000292E-3</v>
      </c>
      <c r="Y34" s="15">
        <f t="shared" si="5"/>
        <v>0</v>
      </c>
      <c r="Z34" s="15">
        <f t="shared" si="5"/>
        <v>2.9067916666667415E-2</v>
      </c>
      <c r="AA34" s="15">
        <f t="shared" si="5"/>
        <v>0.17919091666666809</v>
      </c>
      <c r="AB34" s="16">
        <f t="shared" si="5"/>
        <v>0</v>
      </c>
      <c r="AC34" s="16">
        <f t="shared" si="5"/>
        <v>3.3700833333325519E-3</v>
      </c>
      <c r="AD34" s="16">
        <f t="shared" si="5"/>
        <v>0</v>
      </c>
      <c r="AE34" s="16">
        <f t="shared" si="5"/>
        <v>3.4331999999999141E-2</v>
      </c>
      <c r="AF34" s="17">
        <f t="shared" si="5"/>
        <v>5.0067499999997267E-3</v>
      </c>
      <c r="AG34" s="17">
        <f t="shared" si="5"/>
        <v>0</v>
      </c>
      <c r="AH34" s="17">
        <f t="shared" si="5"/>
        <v>5.5293083333332937E-2</v>
      </c>
      <c r="AI34" s="17">
        <f t="shared" si="5"/>
        <v>0</v>
      </c>
      <c r="AL34" s="52">
        <v>3</v>
      </c>
      <c r="AM34" s="62">
        <f t="shared" si="27"/>
        <v>1.2452630208333232E-2</v>
      </c>
      <c r="AN34" s="63">
        <f t="shared" si="20"/>
        <v>6.5526951388888866E-2</v>
      </c>
      <c r="AO34" s="63">
        <f t="shared" si="21"/>
        <v>3.1896859374999934E-2</v>
      </c>
      <c r="AP34" s="64">
        <f t="shared" si="22"/>
        <v>0.10147771354166674</v>
      </c>
      <c r="AQ34"/>
      <c r="AR34" s="52">
        <v>3</v>
      </c>
      <c r="AS34" s="62">
        <f t="shared" si="23"/>
        <v>3.3690214262515885E-3</v>
      </c>
      <c r="AT34" s="63">
        <f t="shared" si="24"/>
        <v>3.1781691188697149E-2</v>
      </c>
      <c r="AU34" s="63">
        <f t="shared" si="25"/>
        <v>2.3249781381201991E-2</v>
      </c>
      <c r="AV34" s="64">
        <f t="shared" si="26"/>
        <v>4.3643840397370001E-2</v>
      </c>
      <c r="AW34" s="76"/>
      <c r="BD34" s="76"/>
      <c r="BI34" s="76"/>
    </row>
    <row r="35" spans="2:61" x14ac:dyDescent="0.2">
      <c r="B35" s="45">
        <v>9</v>
      </c>
      <c r="C35" s="14">
        <v>4.5996759999999997</v>
      </c>
      <c r="D35" s="14">
        <v>4.3738851666666667</v>
      </c>
      <c r="E35" s="14">
        <v>3.8031499166666669</v>
      </c>
      <c r="F35" s="14">
        <v>2.4611776666666665</v>
      </c>
      <c r="G35" s="15">
        <v>4.7635870000000002</v>
      </c>
      <c r="H35" s="15">
        <v>9.8743937500000012</v>
      </c>
      <c r="I35" s="15">
        <v>4.4695841666666665</v>
      </c>
      <c r="J35" s="16">
        <v>2.9832430000000003</v>
      </c>
      <c r="K35" s="16">
        <v>5.1435380000000004</v>
      </c>
      <c r="L35" s="16">
        <v>6.5555669999999973</v>
      </c>
      <c r="M35" s="16">
        <v>3.7908221666666666</v>
      </c>
      <c r="N35" s="17">
        <v>7.4834543333333334</v>
      </c>
      <c r="O35" s="17">
        <v>6.1806970833333326</v>
      </c>
      <c r="P35" s="17">
        <v>4.1547776666666669</v>
      </c>
      <c r="Q35" s="17">
        <v>7.8982849999999987</v>
      </c>
      <c r="T35" s="45">
        <v>9</v>
      </c>
      <c r="U35" s="14">
        <f t="shared" si="5"/>
        <v>0.10128000000000092</v>
      </c>
      <c r="V35" s="14">
        <f t="shared" si="5"/>
        <v>1.2016333333333407E-2</v>
      </c>
      <c r="W35" s="14">
        <f t="shared" si="5"/>
        <v>9.8958333333376558E-4</v>
      </c>
      <c r="X35" s="14">
        <f t="shared" si="5"/>
        <v>1.2952583333333045E-2</v>
      </c>
      <c r="Y35" s="15">
        <f t="shared" si="5"/>
        <v>0</v>
      </c>
      <c r="Z35" s="15">
        <f t="shared" ref="Z35:AI60" si="28">H35-H34</f>
        <v>0.20793183333333332</v>
      </c>
      <c r="AA35" s="15">
        <f t="shared" si="28"/>
        <v>7.4569666666665313E-2</v>
      </c>
      <c r="AB35" s="16">
        <f t="shared" si="28"/>
        <v>0</v>
      </c>
      <c r="AC35" s="16">
        <f t="shared" si="28"/>
        <v>1.4487916666666933E-2</v>
      </c>
      <c r="AD35" s="16">
        <f t="shared" si="28"/>
        <v>0</v>
      </c>
      <c r="AE35" s="16">
        <f t="shared" si="28"/>
        <v>3.3598666666666777E-2</v>
      </c>
      <c r="AF35" s="17">
        <f t="shared" si="28"/>
        <v>1.3893333333321323E-3</v>
      </c>
      <c r="AG35" s="17">
        <f t="shared" si="28"/>
        <v>1.5983083333331649E-2</v>
      </c>
      <c r="AH35" s="17">
        <f t="shared" si="28"/>
        <v>1.4928666666667922E-2</v>
      </c>
      <c r="AI35" s="17">
        <f t="shared" si="28"/>
        <v>0.21990499999999802</v>
      </c>
      <c r="AL35" s="52">
        <v>4</v>
      </c>
      <c r="AM35" s="62">
        <f t="shared" si="27"/>
        <v>9.3873906249999362E-3</v>
      </c>
      <c r="AN35" s="63">
        <f t="shared" si="20"/>
        <v>5.1408409722222083E-2</v>
      </c>
      <c r="AO35" s="63">
        <f t="shared" si="21"/>
        <v>1.8692213541666863E-2</v>
      </c>
      <c r="AP35" s="64">
        <f t="shared" si="22"/>
        <v>6.9136703125000226E-2</v>
      </c>
      <c r="AQ35"/>
      <c r="AR35" s="52">
        <v>4</v>
      </c>
      <c r="AS35" s="62">
        <f t="shared" si="23"/>
        <v>5.4309806234301428E-3</v>
      </c>
      <c r="AT35" s="63">
        <f t="shared" si="24"/>
        <v>1.8295244195158749E-2</v>
      </c>
      <c r="AU35" s="63">
        <f t="shared" si="25"/>
        <v>1.4064986812773902E-2</v>
      </c>
      <c r="AV35" s="64">
        <f t="shared" si="26"/>
        <v>1.5487558839370856E-2</v>
      </c>
      <c r="AW35" s="76"/>
      <c r="BD35" s="76"/>
      <c r="BI35" s="76"/>
    </row>
    <row r="36" spans="2:61" x14ac:dyDescent="0.2">
      <c r="B36" s="45">
        <v>10</v>
      </c>
      <c r="C36" s="14">
        <v>4.7009560000000015</v>
      </c>
      <c r="D36" s="14">
        <v>4.385901416666667</v>
      </c>
      <c r="E36" s="14">
        <v>3.8394753333333331</v>
      </c>
      <c r="F36" s="14">
        <v>2.5147826666666666</v>
      </c>
      <c r="G36" s="15">
        <v>4.7635870000000002</v>
      </c>
      <c r="H36" s="15">
        <v>9.9240291666666653</v>
      </c>
      <c r="I36" s="15">
        <v>4.4727469999999991</v>
      </c>
      <c r="J36" s="16">
        <v>2.9832430000000003</v>
      </c>
      <c r="K36" s="16">
        <v>5.1435380000000004</v>
      </c>
      <c r="L36" s="16">
        <v>6.5555669999999973</v>
      </c>
      <c r="M36" s="16">
        <v>3.8401174999999994</v>
      </c>
      <c r="N36" s="17">
        <v>7.5079765833333321</v>
      </c>
      <c r="O36" s="17">
        <v>6.2248063333333334</v>
      </c>
      <c r="P36" s="17">
        <v>4.2469211666666666</v>
      </c>
      <c r="Q36" s="17">
        <v>8.0772767500000011</v>
      </c>
      <c r="T36" s="45">
        <v>10</v>
      </c>
      <c r="U36" s="14">
        <f t="shared" ref="U36:AC75" si="29">C36-C35</f>
        <v>0.10128000000000181</v>
      </c>
      <c r="V36" s="14">
        <f t="shared" si="29"/>
        <v>1.2016250000000284E-2</v>
      </c>
      <c r="W36" s="14">
        <f t="shared" si="29"/>
        <v>3.6325416666666221E-2</v>
      </c>
      <c r="X36" s="14">
        <f t="shared" si="29"/>
        <v>5.3605000000000125E-2</v>
      </c>
      <c r="Y36" s="15">
        <f t="shared" si="29"/>
        <v>0</v>
      </c>
      <c r="Z36" s="15">
        <f t="shared" si="28"/>
        <v>4.9635416666664156E-2</v>
      </c>
      <c r="AA36" s="15">
        <f t="shared" si="28"/>
        <v>3.1628333333326708E-3</v>
      </c>
      <c r="AB36" s="16">
        <f t="shared" si="28"/>
        <v>0</v>
      </c>
      <c r="AC36" s="16">
        <f t="shared" si="28"/>
        <v>0</v>
      </c>
      <c r="AD36" s="16">
        <f t="shared" si="28"/>
        <v>0</v>
      </c>
      <c r="AE36" s="16">
        <f t="shared" si="28"/>
        <v>4.9295333333332803E-2</v>
      </c>
      <c r="AF36" s="17">
        <f t="shared" si="28"/>
        <v>2.4522249999998635E-2</v>
      </c>
      <c r="AG36" s="17">
        <f t="shared" si="28"/>
        <v>4.4109250000000877E-2</v>
      </c>
      <c r="AH36" s="17">
        <f t="shared" si="28"/>
        <v>9.2143499999999712E-2</v>
      </c>
      <c r="AI36" s="17">
        <f t="shared" si="28"/>
        <v>0.17899175000000245</v>
      </c>
      <c r="AL36" s="52">
        <v>5</v>
      </c>
      <c r="AM36" s="62">
        <f t="shared" si="27"/>
        <v>8.501489583333216E-3</v>
      </c>
      <c r="AN36" s="63">
        <f t="shared" si="20"/>
        <v>0.10013052777777771</v>
      </c>
      <c r="AO36" s="63">
        <f t="shared" si="21"/>
        <v>1.7984489583333346E-2</v>
      </c>
      <c r="AP36" s="64">
        <f t="shared" si="22"/>
        <v>9.1052765624999671E-2</v>
      </c>
      <c r="AQ36"/>
      <c r="AR36" s="52">
        <v>5</v>
      </c>
      <c r="AS36" s="62">
        <f t="shared" si="23"/>
        <v>5.6476816800262201E-3</v>
      </c>
      <c r="AT36" s="63">
        <f t="shared" si="24"/>
        <v>3.0065667687584913E-3</v>
      </c>
      <c r="AU36" s="63">
        <f t="shared" si="25"/>
        <v>1.1092596732313553E-2</v>
      </c>
      <c r="AV36" s="64">
        <f t="shared" si="26"/>
        <v>1.2589448730788416E-2</v>
      </c>
      <c r="AW36" s="76"/>
      <c r="BD36" s="76"/>
      <c r="BI36" s="76"/>
    </row>
    <row r="37" spans="2:61" x14ac:dyDescent="0.2">
      <c r="B37" s="45">
        <v>11</v>
      </c>
      <c r="C37" s="14">
        <v>4.7935563333333331</v>
      </c>
      <c r="D37" s="14">
        <v>4.3979177500000004</v>
      </c>
      <c r="E37" s="14">
        <v>3.8887879166666672</v>
      </c>
      <c r="F37" s="14">
        <v>2.6107678333333331</v>
      </c>
      <c r="G37" s="15">
        <v>4.7698345</v>
      </c>
      <c r="H37" s="15">
        <v>10.038073249999998</v>
      </c>
      <c r="I37" s="15">
        <v>4.4727469999999991</v>
      </c>
      <c r="J37" s="16">
        <v>2.9832430000000003</v>
      </c>
      <c r="K37" s="16">
        <v>5.1435380000000004</v>
      </c>
      <c r="L37" s="16">
        <v>6.5555669999999973</v>
      </c>
      <c r="M37" s="16">
        <v>3.848320999999999</v>
      </c>
      <c r="N37" s="17">
        <v>7.5404727499999993</v>
      </c>
      <c r="O37" s="17">
        <v>6.2694383333333334</v>
      </c>
      <c r="P37" s="17">
        <v>4.3048419999999998</v>
      </c>
      <c r="Q37" s="17">
        <v>8.1236562499999998</v>
      </c>
      <c r="T37" s="45">
        <v>11</v>
      </c>
      <c r="U37" s="14">
        <f t="shared" si="29"/>
        <v>9.2600333333331619E-2</v>
      </c>
      <c r="V37" s="14">
        <f t="shared" si="29"/>
        <v>1.2016333333333407E-2</v>
      </c>
      <c r="W37" s="14">
        <f t="shared" si="29"/>
        <v>4.9312583333334103E-2</v>
      </c>
      <c r="X37" s="14">
        <f t="shared" si="29"/>
        <v>9.5985166666666455E-2</v>
      </c>
      <c r="Y37" s="15">
        <f t="shared" si="29"/>
        <v>6.2474999999997394E-3</v>
      </c>
      <c r="Z37" s="15">
        <f t="shared" si="28"/>
        <v>0.11404408333333294</v>
      </c>
      <c r="AA37" s="15">
        <f t="shared" si="28"/>
        <v>0</v>
      </c>
      <c r="AB37" s="16">
        <f t="shared" si="28"/>
        <v>0</v>
      </c>
      <c r="AC37" s="16">
        <f t="shared" si="28"/>
        <v>0</v>
      </c>
      <c r="AD37" s="16">
        <f t="shared" si="28"/>
        <v>0</v>
      </c>
      <c r="AE37" s="16">
        <f t="shared" si="28"/>
        <v>8.2034999999995861E-3</v>
      </c>
      <c r="AF37" s="17">
        <f t="shared" si="28"/>
        <v>3.2496166666667214E-2</v>
      </c>
      <c r="AG37" s="17">
        <f t="shared" si="28"/>
        <v>4.4632000000000005E-2</v>
      </c>
      <c r="AH37" s="17">
        <f t="shared" si="28"/>
        <v>5.7920833333333199E-2</v>
      </c>
      <c r="AI37" s="17">
        <f t="shared" si="28"/>
        <v>4.6379499999998686E-2</v>
      </c>
      <c r="AL37" s="52">
        <v>6</v>
      </c>
      <c r="AM37" s="62">
        <f t="shared" si="27"/>
        <v>7.6194635416665379E-3</v>
      </c>
      <c r="AN37" s="63">
        <f t="shared" si="20"/>
        <v>7.9428395833333276E-2</v>
      </c>
      <c r="AO37" s="63">
        <f t="shared" si="21"/>
        <v>1.7340598958333425E-2</v>
      </c>
      <c r="AP37" s="64">
        <f t="shared" si="22"/>
        <v>0.11183265104166679</v>
      </c>
      <c r="AQ37"/>
      <c r="AR37" s="52">
        <v>6</v>
      </c>
      <c r="AS37" s="62">
        <f t="shared" si="23"/>
        <v>4.5951723554666663E-3</v>
      </c>
      <c r="AT37" s="63">
        <f t="shared" si="24"/>
        <v>2.2993093025466396E-2</v>
      </c>
      <c r="AU37" s="63">
        <f t="shared" si="25"/>
        <v>5.6827876625770591E-3</v>
      </c>
      <c r="AV37" s="64">
        <f t="shared" si="26"/>
        <v>1.7076613143157782E-2</v>
      </c>
      <c r="AW37" s="76"/>
      <c r="BD37" s="76"/>
      <c r="BI37" s="76"/>
    </row>
    <row r="38" spans="2:61" x14ac:dyDescent="0.2">
      <c r="B38" s="45">
        <v>12</v>
      </c>
      <c r="C38" s="14">
        <v>4.8302548333333339</v>
      </c>
      <c r="D38" s="14">
        <v>4.4090008333333328</v>
      </c>
      <c r="E38" s="14">
        <v>3.9001989166666657</v>
      </c>
      <c r="F38" s="14">
        <v>2.7077565000000003</v>
      </c>
      <c r="G38" s="15">
        <v>4.8147058333333339</v>
      </c>
      <c r="H38" s="15">
        <v>10.148917499999998</v>
      </c>
      <c r="I38" s="15">
        <v>4.4727469999999991</v>
      </c>
      <c r="J38" s="16">
        <v>2.9832430000000003</v>
      </c>
      <c r="K38" s="16">
        <v>5.1435380000000004</v>
      </c>
      <c r="L38" s="16">
        <v>6.5555669999999973</v>
      </c>
      <c r="M38" s="16">
        <v>3.848320999999999</v>
      </c>
      <c r="N38" s="17">
        <v>7.5604741666666682</v>
      </c>
      <c r="O38" s="17">
        <v>6.3243064166666656</v>
      </c>
      <c r="P38" s="17">
        <v>4.3580570000000005</v>
      </c>
      <c r="Q38" s="17">
        <v>8.1717214166666672</v>
      </c>
      <c r="T38" s="45">
        <v>12</v>
      </c>
      <c r="U38" s="14">
        <f t="shared" si="29"/>
        <v>3.6698500000000855E-2</v>
      </c>
      <c r="V38" s="14">
        <f t="shared" si="29"/>
        <v>1.1083083333332411E-2</v>
      </c>
      <c r="W38" s="14">
        <f t="shared" si="29"/>
        <v>1.1410999999998506E-2</v>
      </c>
      <c r="X38" s="14">
        <f t="shared" si="29"/>
        <v>9.6988666666667278E-2</v>
      </c>
      <c r="Y38" s="15">
        <f t="shared" si="29"/>
        <v>4.4871333333333929E-2</v>
      </c>
      <c r="Z38" s="15">
        <f t="shared" si="28"/>
        <v>0.11084424999999953</v>
      </c>
      <c r="AA38" s="15">
        <f t="shared" si="28"/>
        <v>0</v>
      </c>
      <c r="AB38" s="16">
        <f t="shared" si="28"/>
        <v>0</v>
      </c>
      <c r="AC38" s="16">
        <f t="shared" si="28"/>
        <v>0</v>
      </c>
      <c r="AD38" s="16">
        <f t="shared" si="28"/>
        <v>0</v>
      </c>
      <c r="AE38" s="16">
        <f t="shared" si="28"/>
        <v>0</v>
      </c>
      <c r="AF38" s="17">
        <f t="shared" si="28"/>
        <v>2.0001416666668881E-2</v>
      </c>
      <c r="AG38" s="17">
        <f t="shared" si="28"/>
        <v>5.4868083333332152E-2</v>
      </c>
      <c r="AH38" s="17">
        <f t="shared" si="28"/>
        <v>5.3215000000000678E-2</v>
      </c>
      <c r="AI38" s="17">
        <f t="shared" si="28"/>
        <v>4.806516666666738E-2</v>
      </c>
      <c r="AL38" s="52">
        <v>7</v>
      </c>
      <c r="AM38" s="62">
        <f t="shared" si="27"/>
        <v>9.8871718750002113E-3</v>
      </c>
      <c r="AN38" s="63">
        <f t="shared" si="20"/>
        <v>9.6671888888888724E-2</v>
      </c>
      <c r="AO38" s="63">
        <f t="shared" si="21"/>
        <v>1.8115197916666492E-2</v>
      </c>
      <c r="AP38" s="64">
        <f t="shared" si="22"/>
        <v>9.1775427083333472E-2</v>
      </c>
      <c r="AQ38"/>
      <c r="AR38" s="52">
        <v>7</v>
      </c>
      <c r="AS38" s="62">
        <f t="shared" si="23"/>
        <v>2.6901662011964349E-3</v>
      </c>
      <c r="AT38" s="63">
        <f t="shared" si="24"/>
        <v>3.6309423609551116E-3</v>
      </c>
      <c r="AU38" s="63">
        <f t="shared" si="25"/>
        <v>5.6652165684591008E-3</v>
      </c>
      <c r="AV38" s="64">
        <f t="shared" si="26"/>
        <v>9.6173729436590145E-3</v>
      </c>
      <c r="AW38" s="76"/>
      <c r="BD38" s="76"/>
      <c r="BI38" s="76"/>
    </row>
    <row r="39" spans="2:61" x14ac:dyDescent="0.2">
      <c r="B39" s="45">
        <v>13</v>
      </c>
      <c r="C39" s="14">
        <v>4.8306180000000003</v>
      </c>
      <c r="D39" s="14">
        <v>4.4248174999999996</v>
      </c>
      <c r="E39" s="14">
        <v>3.9184025833333336</v>
      </c>
      <c r="F39" s="14">
        <v>2.8047451666666667</v>
      </c>
      <c r="G39" s="15">
        <v>4.8622314166666669</v>
      </c>
      <c r="H39" s="15">
        <v>10.17118</v>
      </c>
      <c r="I39" s="15">
        <v>4.4738601666666655</v>
      </c>
      <c r="J39" s="16">
        <v>2.9832430000000003</v>
      </c>
      <c r="K39" s="16">
        <v>5.1435380000000004</v>
      </c>
      <c r="L39" s="16">
        <v>6.5555669999999973</v>
      </c>
      <c r="M39" s="16">
        <v>3.848320999999999</v>
      </c>
      <c r="N39" s="17">
        <v>7.6613214999999988</v>
      </c>
      <c r="O39" s="17">
        <v>6.5065617499999995</v>
      </c>
      <c r="P39" s="17">
        <v>4.4112720833333334</v>
      </c>
      <c r="Q39" s="17">
        <v>8.2187601666666641</v>
      </c>
      <c r="T39" s="45">
        <v>13</v>
      </c>
      <c r="U39" s="14">
        <f t="shared" si="29"/>
        <v>3.6316666666635911E-4</v>
      </c>
      <c r="V39" s="14">
        <f t="shared" si="29"/>
        <v>1.5816666666666812E-2</v>
      </c>
      <c r="W39" s="14">
        <f t="shared" si="29"/>
        <v>1.8203666666667839E-2</v>
      </c>
      <c r="X39" s="14">
        <f t="shared" si="29"/>
        <v>9.698866666666639E-2</v>
      </c>
      <c r="Y39" s="15">
        <f t="shared" si="29"/>
        <v>4.752558333333301E-2</v>
      </c>
      <c r="Z39" s="15">
        <f t="shared" si="28"/>
        <v>2.226250000000185E-2</v>
      </c>
      <c r="AA39" s="15">
        <f t="shared" si="28"/>
        <v>1.1131666666663875E-3</v>
      </c>
      <c r="AB39" s="16">
        <f t="shared" si="28"/>
        <v>0</v>
      </c>
      <c r="AC39" s="16">
        <f t="shared" si="28"/>
        <v>0</v>
      </c>
      <c r="AD39" s="16">
        <f t="shared" si="28"/>
        <v>0</v>
      </c>
      <c r="AE39" s="16">
        <f t="shared" si="28"/>
        <v>0</v>
      </c>
      <c r="AF39" s="17">
        <f t="shared" si="28"/>
        <v>0.10084733333333062</v>
      </c>
      <c r="AG39" s="17">
        <f t="shared" si="28"/>
        <v>0.18225533333333388</v>
      </c>
      <c r="AH39" s="17">
        <f t="shared" si="28"/>
        <v>5.3215083333332913E-2</v>
      </c>
      <c r="AI39" s="17">
        <f t="shared" si="28"/>
        <v>4.7038749999996909E-2</v>
      </c>
      <c r="AL39" s="52">
        <v>8</v>
      </c>
      <c r="AM39" s="62">
        <f t="shared" si="27"/>
        <v>1.4753729166666604E-2</v>
      </c>
      <c r="AN39" s="63">
        <f t="shared" si="20"/>
        <v>8.4850868055556194E-2</v>
      </c>
      <c r="AO39" s="63">
        <f t="shared" si="21"/>
        <v>1.9349682291666476E-2</v>
      </c>
      <c r="AP39" s="64">
        <f t="shared" si="22"/>
        <v>9.4321510416666837E-2</v>
      </c>
      <c r="AQ39"/>
      <c r="AR39" s="52">
        <v>8</v>
      </c>
      <c r="AS39" s="62">
        <f t="shared" si="23"/>
        <v>8.3556468669501137E-3</v>
      </c>
      <c r="AT39" s="63">
        <f t="shared" si="24"/>
        <v>2.2626819309860758E-2</v>
      </c>
      <c r="AU39" s="63">
        <f t="shared" si="25"/>
        <v>7.5740018065262107E-3</v>
      </c>
      <c r="AV39" s="64">
        <f t="shared" si="26"/>
        <v>2.7419997901492518E-2</v>
      </c>
      <c r="AW39" s="76"/>
      <c r="BD39" s="76"/>
      <c r="BI39" s="76"/>
    </row>
    <row r="40" spans="2:61" x14ac:dyDescent="0.2">
      <c r="B40" s="45">
        <v>14</v>
      </c>
      <c r="C40" s="14">
        <v>4.8306180000000003</v>
      </c>
      <c r="D40" s="14">
        <v>4.6122718333333328</v>
      </c>
      <c r="E40" s="14">
        <v>3.9750922499999994</v>
      </c>
      <c r="F40" s="14">
        <v>2.9017339166666667</v>
      </c>
      <c r="G40" s="15">
        <v>4.8716900000000001</v>
      </c>
      <c r="H40" s="15">
        <v>10.184505000000001</v>
      </c>
      <c r="I40" s="15">
        <v>4.5040216666666675</v>
      </c>
      <c r="J40" s="16">
        <v>2.9832430000000003</v>
      </c>
      <c r="K40" s="16">
        <v>5.1435380000000004</v>
      </c>
      <c r="L40" s="16">
        <v>6.5555669999999973</v>
      </c>
      <c r="M40" s="16">
        <v>3.848320999999999</v>
      </c>
      <c r="N40" s="17">
        <v>7.7935008333333338</v>
      </c>
      <c r="O40" s="17">
        <v>6.6990667499999992</v>
      </c>
      <c r="P40" s="17">
        <v>4.4644870833333332</v>
      </c>
      <c r="Q40" s="17">
        <v>8.2611038333333351</v>
      </c>
      <c r="T40" s="45">
        <v>14</v>
      </c>
      <c r="U40" s="14">
        <f t="shared" si="29"/>
        <v>0</v>
      </c>
      <c r="V40" s="14">
        <f t="shared" si="29"/>
        <v>0.18745433333333317</v>
      </c>
      <c r="W40" s="14">
        <f t="shared" si="29"/>
        <v>5.6689666666665861E-2</v>
      </c>
      <c r="X40" s="14">
        <f t="shared" si="29"/>
        <v>9.6988749999999957E-2</v>
      </c>
      <c r="Y40" s="15">
        <f t="shared" si="29"/>
        <v>9.4585833333331593E-3</v>
      </c>
      <c r="Z40" s="15">
        <f t="shared" si="28"/>
        <v>1.3325000000001808E-2</v>
      </c>
      <c r="AA40" s="15">
        <f t="shared" si="28"/>
        <v>3.0161500000001951E-2</v>
      </c>
      <c r="AB40" s="16">
        <f t="shared" si="28"/>
        <v>0</v>
      </c>
      <c r="AC40" s="16">
        <f t="shared" si="28"/>
        <v>0</v>
      </c>
      <c r="AD40" s="16">
        <f t="shared" si="28"/>
        <v>0</v>
      </c>
      <c r="AE40" s="16">
        <f t="shared" si="28"/>
        <v>0</v>
      </c>
      <c r="AF40" s="17">
        <f t="shared" si="28"/>
        <v>0.13217933333333498</v>
      </c>
      <c r="AG40" s="17">
        <f t="shared" si="28"/>
        <v>0.1925049999999997</v>
      </c>
      <c r="AH40" s="17">
        <f t="shared" si="28"/>
        <v>5.321499999999979E-2</v>
      </c>
      <c r="AI40" s="17">
        <f t="shared" si="28"/>
        <v>4.2343666666670998E-2</v>
      </c>
      <c r="AL40" s="52">
        <v>9</v>
      </c>
      <c r="AM40" s="62">
        <f t="shared" si="27"/>
        <v>1.7035463541666407E-2</v>
      </c>
      <c r="AN40" s="63">
        <f t="shared" si="20"/>
        <v>7.6903118055555372E-2</v>
      </c>
      <c r="AO40" s="63">
        <f t="shared" si="21"/>
        <v>3.4631916666666623E-2</v>
      </c>
      <c r="AP40" s="64">
        <f t="shared" si="22"/>
        <v>0.11997707291666646</v>
      </c>
      <c r="AQ40"/>
      <c r="AR40" s="52">
        <v>9</v>
      </c>
      <c r="AS40" s="62">
        <f t="shared" si="23"/>
        <v>9.0478862381257914E-3</v>
      </c>
      <c r="AT40" s="63">
        <f t="shared" si="24"/>
        <v>3.2287541862624225E-2</v>
      </c>
      <c r="AU40" s="63">
        <f t="shared" si="25"/>
        <v>1.8518690772866251E-2</v>
      </c>
      <c r="AV40" s="64">
        <f t="shared" si="26"/>
        <v>3.9103451395272756E-2</v>
      </c>
      <c r="AW40" s="76"/>
      <c r="BD40" s="76"/>
      <c r="BI40" s="76"/>
    </row>
    <row r="41" spans="2:61" x14ac:dyDescent="0.2">
      <c r="B41" s="45">
        <v>15</v>
      </c>
      <c r="C41" s="14">
        <v>4.8306180000000003</v>
      </c>
      <c r="D41" s="14">
        <v>4.852597666666667</v>
      </c>
      <c r="E41" s="14">
        <v>4.110488000000001</v>
      </c>
      <c r="F41" s="14">
        <v>3.0033764166666668</v>
      </c>
      <c r="G41" s="15">
        <v>4.8731523333333335</v>
      </c>
      <c r="H41" s="15">
        <v>10.20096</v>
      </c>
      <c r="I41" s="15">
        <v>4.5469369999999998</v>
      </c>
      <c r="J41" s="16">
        <v>3.0327248333333334</v>
      </c>
      <c r="K41" s="16">
        <v>5.1435380000000004</v>
      </c>
      <c r="L41" s="16">
        <v>6.5555669999999973</v>
      </c>
      <c r="M41" s="16">
        <v>3.848320999999999</v>
      </c>
      <c r="N41" s="17">
        <v>7.9256802499999992</v>
      </c>
      <c r="O41" s="17">
        <v>6.7463628333333334</v>
      </c>
      <c r="P41" s="17">
        <v>4.5159781666666676</v>
      </c>
      <c r="Q41" s="17">
        <v>8.2820720000000012</v>
      </c>
      <c r="T41" s="45">
        <v>15</v>
      </c>
      <c r="U41" s="14">
        <f t="shared" si="29"/>
        <v>0</v>
      </c>
      <c r="V41" s="14">
        <f t="shared" si="29"/>
        <v>0.24032583333333424</v>
      </c>
      <c r="W41" s="14">
        <f t="shared" si="29"/>
        <v>0.13539575000000159</v>
      </c>
      <c r="X41" s="14">
        <f t="shared" si="29"/>
        <v>0.10164250000000008</v>
      </c>
      <c r="Y41" s="15">
        <f t="shared" si="29"/>
        <v>1.4623333333334543E-3</v>
      </c>
      <c r="Z41" s="15">
        <f t="shared" si="28"/>
        <v>1.6454999999998776E-2</v>
      </c>
      <c r="AA41" s="15">
        <f t="shared" si="28"/>
        <v>4.2915333333332306E-2</v>
      </c>
      <c r="AB41" s="16">
        <f t="shared" si="28"/>
        <v>4.9481833333333114E-2</v>
      </c>
      <c r="AC41" s="16">
        <f t="shared" si="28"/>
        <v>0</v>
      </c>
      <c r="AD41" s="16">
        <f t="shared" si="28"/>
        <v>0</v>
      </c>
      <c r="AE41" s="16">
        <f t="shared" si="28"/>
        <v>0</v>
      </c>
      <c r="AF41" s="17">
        <f t="shared" si="28"/>
        <v>0.13217941666666544</v>
      </c>
      <c r="AG41" s="17">
        <f t="shared" si="28"/>
        <v>4.7296083333334238E-2</v>
      </c>
      <c r="AH41" s="17">
        <f t="shared" si="28"/>
        <v>5.1491083333334409E-2</v>
      </c>
      <c r="AI41" s="17">
        <f t="shared" si="28"/>
        <v>2.0968166666666122E-2</v>
      </c>
      <c r="AL41" s="52">
        <v>10</v>
      </c>
      <c r="AM41" s="62">
        <f t="shared" si="27"/>
        <v>2.3498838541666803E-2</v>
      </c>
      <c r="AN41" s="63">
        <f t="shared" si="20"/>
        <v>3.3319576388888793E-2</v>
      </c>
      <c r="AO41" s="63">
        <f t="shared" si="21"/>
        <v>2.9074468750000471E-2</v>
      </c>
      <c r="AP41" s="64">
        <f t="shared" si="22"/>
        <v>9.6252197916666504E-2</v>
      </c>
      <c r="AQ41"/>
      <c r="AR41" s="52">
        <v>10</v>
      </c>
      <c r="AS41" s="62">
        <f t="shared" si="23"/>
        <v>7.2715322004813284E-3</v>
      </c>
      <c r="AT41" s="63">
        <f t="shared" si="24"/>
        <v>1.1753272707456739E-2</v>
      </c>
      <c r="AU41" s="63">
        <f t="shared" si="25"/>
        <v>8.5522659966385771E-3</v>
      </c>
      <c r="AV41" s="64">
        <f t="shared" si="26"/>
        <v>2.0959056183553475E-2</v>
      </c>
      <c r="AW41" s="76"/>
      <c r="BD41" s="76"/>
      <c r="BI41" s="76"/>
    </row>
    <row r="42" spans="2:61" x14ac:dyDescent="0.2">
      <c r="B42" s="45">
        <v>16</v>
      </c>
      <c r="C42" s="14">
        <v>4.8306180000000003</v>
      </c>
      <c r="D42" s="14">
        <v>5.0929236666666649</v>
      </c>
      <c r="E42" s="14">
        <v>4.2254194166666661</v>
      </c>
      <c r="F42" s="14">
        <v>3.1535658333333334</v>
      </c>
      <c r="G42" s="15">
        <v>4.888411500000001</v>
      </c>
      <c r="H42" s="15">
        <v>10.2259525</v>
      </c>
      <c r="I42" s="15">
        <v>4.5784294166666664</v>
      </c>
      <c r="J42" s="16">
        <v>3.3176694999999992</v>
      </c>
      <c r="K42" s="16">
        <v>5.1435380000000004</v>
      </c>
      <c r="L42" s="16">
        <v>6.5555669999999973</v>
      </c>
      <c r="M42" s="16">
        <v>3.848320999999999</v>
      </c>
      <c r="N42" s="17">
        <v>8.0292286666666666</v>
      </c>
      <c r="O42" s="17">
        <v>6.79748675</v>
      </c>
      <c r="P42" s="17">
        <v>4.5425074166666661</v>
      </c>
      <c r="Q42" s="17">
        <v>8.3026825833333344</v>
      </c>
      <c r="T42" s="45">
        <v>16</v>
      </c>
      <c r="U42" s="14">
        <f t="shared" si="29"/>
        <v>0</v>
      </c>
      <c r="V42" s="14">
        <f t="shared" si="29"/>
        <v>0.24032599999999782</v>
      </c>
      <c r="W42" s="14">
        <f t="shared" si="29"/>
        <v>0.11493141666666506</v>
      </c>
      <c r="X42" s="14">
        <f t="shared" si="29"/>
        <v>0.15018941666666663</v>
      </c>
      <c r="Y42" s="15">
        <f t="shared" si="29"/>
        <v>1.525916666666749E-2</v>
      </c>
      <c r="Z42" s="15">
        <f t="shared" si="28"/>
        <v>2.4992499999999751E-2</v>
      </c>
      <c r="AA42" s="15">
        <f t="shared" si="28"/>
        <v>3.1492416666666578E-2</v>
      </c>
      <c r="AB42" s="16">
        <f t="shared" si="28"/>
        <v>0.28494466666666574</v>
      </c>
      <c r="AC42" s="16">
        <f t="shared" si="28"/>
        <v>0</v>
      </c>
      <c r="AD42" s="16">
        <f t="shared" si="28"/>
        <v>0</v>
      </c>
      <c r="AE42" s="16">
        <f t="shared" si="28"/>
        <v>0</v>
      </c>
      <c r="AF42" s="17">
        <f t="shared" si="28"/>
        <v>0.10354841666666736</v>
      </c>
      <c r="AG42" s="17">
        <f t="shared" si="28"/>
        <v>5.1123916666666602E-2</v>
      </c>
      <c r="AH42" s="17">
        <f t="shared" si="28"/>
        <v>2.6529249999998505E-2</v>
      </c>
      <c r="AI42" s="17">
        <f t="shared" si="28"/>
        <v>2.061058333333321E-2</v>
      </c>
      <c r="AL42" s="52">
        <v>11</v>
      </c>
      <c r="AM42" s="62">
        <f t="shared" si="27"/>
        <v>2.4263317708333371E-2</v>
      </c>
      <c r="AN42" s="63">
        <f t="shared" si="20"/>
        <v>6.6019673611110816E-2</v>
      </c>
      <c r="AO42" s="63">
        <f t="shared" si="21"/>
        <v>2.1541786458333212E-2</v>
      </c>
      <c r="AP42" s="64">
        <f t="shared" si="22"/>
        <v>5.7873104166666217E-2</v>
      </c>
      <c r="AQ42"/>
      <c r="AR42" s="52">
        <v>11</v>
      </c>
      <c r="AS42" s="62">
        <f t="shared" si="23"/>
        <v>6.9566427958693729E-3</v>
      </c>
      <c r="AT42" s="63">
        <f t="shared" si="24"/>
        <v>6.0844898312840357E-3</v>
      </c>
      <c r="AU42" s="63">
        <f t="shared" si="25"/>
        <v>9.9289087976143879E-3</v>
      </c>
      <c r="AV42" s="64">
        <f t="shared" si="26"/>
        <v>2.2954644279716191E-2</v>
      </c>
      <c r="AW42" s="76"/>
      <c r="BD42" s="76"/>
      <c r="BI42" s="76"/>
    </row>
    <row r="43" spans="2:61" x14ac:dyDescent="0.2">
      <c r="B43" s="45">
        <v>17</v>
      </c>
      <c r="C43" s="14">
        <v>4.8306180000000003</v>
      </c>
      <c r="D43" s="14">
        <v>5.2849195833333331</v>
      </c>
      <c r="E43" s="14">
        <v>4.2910900000000005</v>
      </c>
      <c r="F43" s="14">
        <v>3.314238416666667</v>
      </c>
      <c r="G43" s="15">
        <v>4.9107275000000001</v>
      </c>
      <c r="H43" s="15">
        <v>10.483477500000001</v>
      </c>
      <c r="I43" s="15">
        <v>4.5814846666666673</v>
      </c>
      <c r="J43" s="16">
        <v>3.4378920000000002</v>
      </c>
      <c r="K43" s="16">
        <v>5.1435380000000004</v>
      </c>
      <c r="L43" s="16">
        <v>6.5555669999999973</v>
      </c>
      <c r="M43" s="16">
        <v>3.848320999999999</v>
      </c>
      <c r="N43" s="17">
        <v>8.1135023333333329</v>
      </c>
      <c r="O43" s="17">
        <v>6.8489851666666679</v>
      </c>
      <c r="P43" s="17">
        <v>4.6156509166666666</v>
      </c>
      <c r="Q43" s="17">
        <v>8.4339780833333347</v>
      </c>
      <c r="T43" s="45">
        <v>17</v>
      </c>
      <c r="U43" s="14">
        <f t="shared" si="29"/>
        <v>0</v>
      </c>
      <c r="V43" s="14">
        <f t="shared" si="29"/>
        <v>0.19199591666666826</v>
      </c>
      <c r="W43" s="14">
        <f t="shared" si="29"/>
        <v>6.567058333333442E-2</v>
      </c>
      <c r="X43" s="14">
        <f t="shared" si="29"/>
        <v>0.16067258333333356</v>
      </c>
      <c r="Y43" s="15">
        <f t="shared" si="29"/>
        <v>2.2315999999999114E-2</v>
      </c>
      <c r="Z43" s="15">
        <f t="shared" si="28"/>
        <v>0.25752500000000111</v>
      </c>
      <c r="AA43" s="15">
        <f t="shared" si="28"/>
        <v>3.055250000000953E-3</v>
      </c>
      <c r="AB43" s="16">
        <f t="shared" si="28"/>
        <v>0.12022250000000101</v>
      </c>
      <c r="AC43" s="16">
        <f t="shared" si="28"/>
        <v>0</v>
      </c>
      <c r="AD43" s="16">
        <f t="shared" si="28"/>
        <v>0</v>
      </c>
      <c r="AE43" s="16">
        <f t="shared" si="28"/>
        <v>0</v>
      </c>
      <c r="AF43" s="17">
        <f t="shared" si="28"/>
        <v>8.4273666666666358E-2</v>
      </c>
      <c r="AG43" s="17">
        <f t="shared" si="28"/>
        <v>5.1498416666667879E-2</v>
      </c>
      <c r="AH43" s="17">
        <f t="shared" si="28"/>
        <v>7.3143500000000472E-2</v>
      </c>
      <c r="AI43" s="17">
        <f t="shared" si="28"/>
        <v>0.13129550000000023</v>
      </c>
      <c r="AL43" s="52">
        <v>12</v>
      </c>
      <c r="AM43" s="62">
        <f t="shared" si="27"/>
        <v>2.0737781250000017E-2</v>
      </c>
      <c r="AN43" s="63">
        <f t="shared" si="20"/>
        <v>6.0614354166666974E-2</v>
      </c>
      <c r="AO43" s="63">
        <f t="shared" si="21"/>
        <v>2.0930786458333295E-2</v>
      </c>
      <c r="AP43" s="64">
        <f t="shared" si="22"/>
        <v>6.1987557291667467E-2</v>
      </c>
      <c r="AQ43"/>
      <c r="AR43" s="52">
        <v>12</v>
      </c>
      <c r="AS43" s="62">
        <f t="shared" si="23"/>
        <v>7.5508600576351314E-3</v>
      </c>
      <c r="AT43" s="63">
        <f t="shared" si="24"/>
        <v>9.249504084311775E-3</v>
      </c>
      <c r="AU43" s="63">
        <f t="shared" si="25"/>
        <v>1.3843079627262144E-2</v>
      </c>
      <c r="AV43" s="64">
        <f t="shared" si="26"/>
        <v>1.6263760516225627E-2</v>
      </c>
      <c r="AW43" s="76"/>
      <c r="BD43" s="76"/>
      <c r="BI43" s="76"/>
    </row>
    <row r="44" spans="2:61" x14ac:dyDescent="0.2">
      <c r="B44" s="45">
        <v>18</v>
      </c>
      <c r="C44" s="14">
        <v>4.8306180000000003</v>
      </c>
      <c r="D44" s="14">
        <v>5.3489032500000002</v>
      </c>
      <c r="E44" s="14">
        <v>4.361471166666667</v>
      </c>
      <c r="F44" s="14">
        <v>3.4297291666666667</v>
      </c>
      <c r="G44" s="15">
        <v>4.933043500000001</v>
      </c>
      <c r="H44" s="15">
        <v>10.7448525</v>
      </c>
      <c r="I44" s="15">
        <v>4.5832014999999995</v>
      </c>
      <c r="J44" s="16">
        <v>3.4378920000000002</v>
      </c>
      <c r="K44" s="16">
        <v>5.1435380000000004</v>
      </c>
      <c r="L44" s="16">
        <v>6.5555669999999973</v>
      </c>
      <c r="M44" s="16">
        <v>3.848320999999999</v>
      </c>
      <c r="N44" s="17">
        <v>8.1785372500000015</v>
      </c>
      <c r="O44" s="17">
        <v>6.900483583333334</v>
      </c>
      <c r="P44" s="17">
        <v>4.6894274999999999</v>
      </c>
      <c r="Q44" s="17">
        <v>8.588473333333333</v>
      </c>
      <c r="T44" s="45">
        <v>18</v>
      </c>
      <c r="U44" s="14">
        <f t="shared" si="29"/>
        <v>0</v>
      </c>
      <c r="V44" s="14">
        <f t="shared" si="29"/>
        <v>6.3983666666667105E-2</v>
      </c>
      <c r="W44" s="14">
        <f t="shared" si="29"/>
        <v>7.0381166666666495E-2</v>
      </c>
      <c r="X44" s="14">
        <f t="shared" si="29"/>
        <v>0.11549074999999975</v>
      </c>
      <c r="Y44" s="15">
        <f t="shared" si="29"/>
        <v>2.2316000000000891E-2</v>
      </c>
      <c r="Z44" s="15">
        <f t="shared" si="28"/>
        <v>0.26137499999999925</v>
      </c>
      <c r="AA44" s="15">
        <f t="shared" si="28"/>
        <v>1.7168333333321684E-3</v>
      </c>
      <c r="AB44" s="16">
        <f t="shared" si="28"/>
        <v>0</v>
      </c>
      <c r="AC44" s="16">
        <f t="shared" si="28"/>
        <v>0</v>
      </c>
      <c r="AD44" s="16">
        <f t="shared" si="28"/>
        <v>0</v>
      </c>
      <c r="AE44" s="16">
        <f t="shared" si="28"/>
        <v>0</v>
      </c>
      <c r="AF44" s="17">
        <f t="shared" si="28"/>
        <v>6.5034916666668607E-2</v>
      </c>
      <c r="AG44" s="17">
        <f t="shared" si="28"/>
        <v>5.1498416666666103E-2</v>
      </c>
      <c r="AH44" s="17">
        <f t="shared" si="28"/>
        <v>7.3776583333333257E-2</v>
      </c>
      <c r="AI44" s="17">
        <f t="shared" si="28"/>
        <v>0.15449524999999831</v>
      </c>
      <c r="AL44" s="52">
        <v>13</v>
      </c>
      <c r="AM44" s="62">
        <f t="shared" si="27"/>
        <v>2.2548682291666775E-2</v>
      </c>
      <c r="AN44" s="63">
        <f t="shared" si="20"/>
        <v>1.7341652777778067E-2</v>
      </c>
      <c r="AO44" s="63">
        <f t="shared" si="21"/>
        <v>2.4943479166666505E-2</v>
      </c>
      <c r="AP44" s="64">
        <f t="shared" si="22"/>
        <v>6.5743604166665692E-2</v>
      </c>
      <c r="AQ44"/>
      <c r="AR44" s="52">
        <v>13</v>
      </c>
      <c r="AS44" s="62">
        <f t="shared" si="23"/>
        <v>7.0048050740569023E-3</v>
      </c>
      <c r="AT44" s="63">
        <f t="shared" si="24"/>
        <v>8.9159631822891099E-3</v>
      </c>
      <c r="AU44" s="63">
        <f t="shared" si="25"/>
        <v>1.1615949834794187E-2</v>
      </c>
      <c r="AV44" s="64">
        <f t="shared" si="26"/>
        <v>1.4535829528482185E-2</v>
      </c>
      <c r="AW44" s="76"/>
      <c r="BD44" s="76"/>
      <c r="BI44" s="76"/>
    </row>
    <row r="45" spans="2:61" x14ac:dyDescent="0.2">
      <c r="B45" s="45">
        <v>19</v>
      </c>
      <c r="C45" s="14">
        <v>4.8306180000000003</v>
      </c>
      <c r="D45" s="14">
        <v>5.4279656666666662</v>
      </c>
      <c r="E45" s="14">
        <v>4.4318523333333317</v>
      </c>
      <c r="F45" s="14">
        <v>3.5215156666666676</v>
      </c>
      <c r="G45" s="15">
        <v>4.9553595000000001</v>
      </c>
      <c r="H45" s="15">
        <v>11.050532500000001</v>
      </c>
      <c r="I45" s="15">
        <v>4.5847950833333337</v>
      </c>
      <c r="J45" s="16">
        <v>3.4378920000000002</v>
      </c>
      <c r="K45" s="16">
        <v>5.1613301666666667</v>
      </c>
      <c r="L45" s="16">
        <v>6.5718934999999981</v>
      </c>
      <c r="M45" s="16">
        <v>3.848320999999999</v>
      </c>
      <c r="N45" s="17">
        <v>8.2472019999999997</v>
      </c>
      <c r="O45" s="17">
        <v>6.9512024166666651</v>
      </c>
      <c r="P45" s="17">
        <v>4.7163185833333321</v>
      </c>
      <c r="Q45" s="17">
        <v>8.7429684999999999</v>
      </c>
      <c r="T45" s="45">
        <v>19</v>
      </c>
      <c r="U45" s="14">
        <f t="shared" si="29"/>
        <v>0</v>
      </c>
      <c r="V45" s="14">
        <f t="shared" si="29"/>
        <v>7.9062416666666024E-2</v>
      </c>
      <c r="W45" s="14">
        <f t="shared" si="29"/>
        <v>7.0381166666664718E-2</v>
      </c>
      <c r="X45" s="14">
        <f t="shared" si="29"/>
        <v>9.1786500000000881E-2</v>
      </c>
      <c r="Y45" s="15">
        <f t="shared" si="29"/>
        <v>2.2315999999999114E-2</v>
      </c>
      <c r="Z45" s="15">
        <f t="shared" si="28"/>
        <v>0.30568000000000062</v>
      </c>
      <c r="AA45" s="15">
        <f t="shared" si="28"/>
        <v>1.5935833333342586E-3</v>
      </c>
      <c r="AB45" s="16">
        <f t="shared" si="28"/>
        <v>0</v>
      </c>
      <c r="AC45" s="16">
        <f t="shared" si="28"/>
        <v>1.7792166666666276E-2</v>
      </c>
      <c r="AD45" s="16">
        <f t="shared" si="28"/>
        <v>1.6326500000000799E-2</v>
      </c>
      <c r="AE45" s="16">
        <f t="shared" si="28"/>
        <v>0</v>
      </c>
      <c r="AF45" s="17">
        <f t="shared" si="28"/>
        <v>6.8664749999998165E-2</v>
      </c>
      <c r="AG45" s="17">
        <f t="shared" si="28"/>
        <v>5.0718833333331048E-2</v>
      </c>
      <c r="AH45" s="17">
        <f t="shared" si="28"/>
        <v>2.6891083333332233E-2</v>
      </c>
      <c r="AI45" s="17">
        <f t="shared" si="28"/>
        <v>0.15449516666666696</v>
      </c>
      <c r="AL45" s="52">
        <v>14</v>
      </c>
      <c r="AM45" s="62">
        <f t="shared" si="27"/>
        <v>4.1221854166666461E-2</v>
      </c>
      <c r="AN45" s="63">
        <f t="shared" si="20"/>
        <v>2.3772118055555198E-2</v>
      </c>
      <c r="AO45" s="63">
        <f t="shared" si="21"/>
        <v>3.6932864583333336E-2</v>
      </c>
      <c r="AP45" s="64">
        <f t="shared" si="22"/>
        <v>6.7261036458333867E-2</v>
      </c>
      <c r="AQ45"/>
      <c r="AR45" s="52">
        <v>14</v>
      </c>
      <c r="AS45" s="62">
        <f t="shared" si="23"/>
        <v>8.2939198162031505E-3</v>
      </c>
      <c r="AT45" s="63">
        <f t="shared" si="24"/>
        <v>7.8239149363186732E-3</v>
      </c>
      <c r="AU45" s="63">
        <f t="shared" si="25"/>
        <v>1.8088461415401911E-2</v>
      </c>
      <c r="AV45" s="64">
        <f t="shared" si="26"/>
        <v>1.2621682667352826E-2</v>
      </c>
      <c r="AW45" s="76"/>
      <c r="BD45" s="76"/>
      <c r="BI45" s="76"/>
    </row>
    <row r="46" spans="2:61" x14ac:dyDescent="0.2">
      <c r="B46" s="45">
        <v>20</v>
      </c>
      <c r="C46" s="14">
        <v>4.8329026666666666</v>
      </c>
      <c r="D46" s="14">
        <v>5.5378289166666663</v>
      </c>
      <c r="E46" s="14">
        <v>4.5022335</v>
      </c>
      <c r="F46" s="14">
        <v>3.5643892500000001</v>
      </c>
      <c r="G46" s="15">
        <v>4.9736783333333339</v>
      </c>
      <c r="H46" s="15">
        <v>11.3117375</v>
      </c>
      <c r="I46" s="15">
        <v>4.5851240000000004</v>
      </c>
      <c r="J46" s="16">
        <v>3.4380369166666669</v>
      </c>
      <c r="K46" s="16">
        <v>5.323639833333333</v>
      </c>
      <c r="L46" s="16">
        <v>6.7659082499999998</v>
      </c>
      <c r="M46" s="16">
        <v>3.848320999999999</v>
      </c>
      <c r="N46" s="17">
        <v>8.3062630000000013</v>
      </c>
      <c r="O46" s="17">
        <v>6.9844403333333345</v>
      </c>
      <c r="P46" s="17">
        <v>4.7184129999999991</v>
      </c>
      <c r="Q46" s="17">
        <v>8.8975124166666664</v>
      </c>
      <c r="T46" s="45">
        <v>20</v>
      </c>
      <c r="U46" s="14">
        <f t="shared" si="29"/>
        <v>2.2846666666662685E-3</v>
      </c>
      <c r="V46" s="14">
        <f t="shared" si="29"/>
        <v>0.10986325000000008</v>
      </c>
      <c r="W46" s="14">
        <f t="shared" si="29"/>
        <v>7.0381166666668271E-2</v>
      </c>
      <c r="X46" s="14">
        <f t="shared" si="29"/>
        <v>4.2873583333332466E-2</v>
      </c>
      <c r="Y46" s="15">
        <f t="shared" si="29"/>
        <v>1.8318833333333728E-2</v>
      </c>
      <c r="Z46" s="15">
        <f t="shared" si="28"/>
        <v>0.26120499999999858</v>
      </c>
      <c r="AA46" s="15">
        <f t="shared" si="28"/>
        <v>3.2891666666667874E-4</v>
      </c>
      <c r="AB46" s="16">
        <f t="shared" si="28"/>
        <v>1.4491666666671676E-4</v>
      </c>
      <c r="AC46" s="16">
        <f t="shared" si="28"/>
        <v>0.16230966666666635</v>
      </c>
      <c r="AD46" s="16">
        <f t="shared" si="28"/>
        <v>0.19401475000000179</v>
      </c>
      <c r="AE46" s="16">
        <f t="shared" si="28"/>
        <v>0</v>
      </c>
      <c r="AF46" s="17">
        <f t="shared" si="28"/>
        <v>5.9061000000001584E-2</v>
      </c>
      <c r="AG46" s="17">
        <f t="shared" si="28"/>
        <v>3.323791666666942E-2</v>
      </c>
      <c r="AH46" s="17">
        <f t="shared" si="28"/>
        <v>2.0944166666669872E-3</v>
      </c>
      <c r="AI46" s="17">
        <f t="shared" si="28"/>
        <v>0.15454391666666645</v>
      </c>
      <c r="AL46" s="52">
        <v>15</v>
      </c>
      <c r="AM46" s="62">
        <f t="shared" si="27"/>
        <v>8.2873838541666744E-2</v>
      </c>
      <c r="AN46" s="63">
        <f t="shared" si="20"/>
        <v>4.756054861111092E-2</v>
      </c>
      <c r="AO46" s="63">
        <f t="shared" si="21"/>
        <v>5.2732812500000115E-2</v>
      </c>
      <c r="AP46" s="64">
        <f t="shared" si="22"/>
        <v>6.0260343749999945E-2</v>
      </c>
      <c r="AQ46"/>
      <c r="AR46" s="52">
        <v>15</v>
      </c>
      <c r="AS46" s="62">
        <f t="shared" si="23"/>
        <v>3.3553698770507616E-2</v>
      </c>
      <c r="AT46" s="63">
        <f t="shared" si="24"/>
        <v>2.2099747068414437E-2</v>
      </c>
      <c r="AU46" s="63">
        <f t="shared" si="25"/>
        <v>3.927642073342736E-2</v>
      </c>
      <c r="AV46" s="64">
        <f t="shared" si="26"/>
        <v>1.6251617274409786E-2</v>
      </c>
      <c r="AW46" s="76"/>
      <c r="BD46" s="76"/>
      <c r="BI46" s="76"/>
    </row>
    <row r="47" spans="2:61" x14ac:dyDescent="0.2">
      <c r="B47" s="45">
        <v>21</v>
      </c>
      <c r="C47" s="14">
        <v>4.8704956666666668</v>
      </c>
      <c r="D47" s="14">
        <v>5.6107355000000014</v>
      </c>
      <c r="E47" s="14">
        <v>4.5596989166666679</v>
      </c>
      <c r="F47" s="14">
        <v>3.6534829166666669</v>
      </c>
      <c r="G47" s="15">
        <v>4.9910256666666672</v>
      </c>
      <c r="H47" s="15">
        <v>11.479541666666668</v>
      </c>
      <c r="I47" s="15">
        <v>4.636486333333333</v>
      </c>
      <c r="J47" s="16">
        <v>3.5651578333333327</v>
      </c>
      <c r="K47" s="16">
        <v>5.5176172499999998</v>
      </c>
      <c r="L47" s="16">
        <v>7.0079508333333331</v>
      </c>
      <c r="M47" s="16">
        <v>3.848320999999999</v>
      </c>
      <c r="N47" s="17">
        <v>8.3138260000000024</v>
      </c>
      <c r="O47" s="17">
        <v>7.011906166666666</v>
      </c>
      <c r="P47" s="17">
        <v>4.7184549999999987</v>
      </c>
      <c r="Q47" s="17">
        <v>8.9705410833333357</v>
      </c>
      <c r="T47" s="45">
        <v>21</v>
      </c>
      <c r="U47" s="14">
        <f t="shared" si="29"/>
        <v>3.759300000000021E-2</v>
      </c>
      <c r="V47" s="14">
        <f t="shared" si="29"/>
        <v>7.2906583333335107E-2</v>
      </c>
      <c r="W47" s="14">
        <f t="shared" si="29"/>
        <v>5.7465416666667934E-2</v>
      </c>
      <c r="X47" s="14">
        <f t="shared" si="29"/>
        <v>8.9093666666666849E-2</v>
      </c>
      <c r="Y47" s="15">
        <f t="shared" si="29"/>
        <v>1.7347333333333381E-2</v>
      </c>
      <c r="Z47" s="15">
        <f t="shared" si="28"/>
        <v>0.16780416666666831</v>
      </c>
      <c r="AA47" s="15">
        <f t="shared" si="28"/>
        <v>5.1362333333332622E-2</v>
      </c>
      <c r="AB47" s="16">
        <f t="shared" si="28"/>
        <v>0.12712091666666581</v>
      </c>
      <c r="AC47" s="16">
        <f t="shared" si="28"/>
        <v>0.19397741666666679</v>
      </c>
      <c r="AD47" s="16">
        <f t="shared" si="28"/>
        <v>0.24204258333333328</v>
      </c>
      <c r="AE47" s="16">
        <f t="shared" si="28"/>
        <v>0</v>
      </c>
      <c r="AF47" s="17">
        <f t="shared" si="28"/>
        <v>7.5630000000010966E-3</v>
      </c>
      <c r="AG47" s="17">
        <f t="shared" si="28"/>
        <v>2.7465833333331524E-2</v>
      </c>
      <c r="AH47" s="17">
        <f t="shared" si="28"/>
        <v>4.1999999999653426E-5</v>
      </c>
      <c r="AI47" s="17">
        <f t="shared" si="28"/>
        <v>7.3028666666669295E-2</v>
      </c>
      <c r="AL47" s="52">
        <v>16</v>
      </c>
      <c r="AM47" s="62">
        <f t="shared" si="27"/>
        <v>0.11888734375000004</v>
      </c>
      <c r="AN47" s="63">
        <f t="shared" si="20"/>
        <v>3.2317145833333449E-2</v>
      </c>
      <c r="AO47" s="63">
        <f t="shared" si="21"/>
        <v>5.802741666666647E-2</v>
      </c>
      <c r="AP47" s="64">
        <f t="shared" si="22"/>
        <v>6.3520098958333493E-2</v>
      </c>
      <c r="AQ47"/>
      <c r="AR47" s="52">
        <v>16</v>
      </c>
      <c r="AS47" s="62">
        <f t="shared" si="23"/>
        <v>5.921040880092187E-2</v>
      </c>
      <c r="AT47" s="63">
        <f t="shared" si="24"/>
        <v>1.4160786024716885E-2</v>
      </c>
      <c r="AU47" s="63">
        <f t="shared" si="25"/>
        <v>3.1247222441466518E-2</v>
      </c>
      <c r="AV47" s="64">
        <f t="shared" si="26"/>
        <v>1.5887733128833906E-2</v>
      </c>
      <c r="AW47" s="76"/>
      <c r="BD47" s="76"/>
      <c r="BI47" s="76"/>
    </row>
    <row r="48" spans="2:61" x14ac:dyDescent="0.2">
      <c r="B48" s="45">
        <v>22</v>
      </c>
      <c r="C48" s="14">
        <v>5.1012754999999999</v>
      </c>
      <c r="D48" s="14">
        <v>5.6501316666666677</v>
      </c>
      <c r="E48" s="14">
        <v>4.5651360000000007</v>
      </c>
      <c r="F48" s="14">
        <v>3.7247714166666666</v>
      </c>
      <c r="G48" s="15">
        <v>5.0054072499999993</v>
      </c>
      <c r="H48" s="15">
        <v>11.698164999999998</v>
      </c>
      <c r="I48" s="15">
        <v>4.9169677500000004</v>
      </c>
      <c r="J48" s="16">
        <v>3.7969007499999994</v>
      </c>
      <c r="K48" s="16">
        <v>5.7123074166666674</v>
      </c>
      <c r="L48" s="16">
        <v>7.2499932500000002</v>
      </c>
      <c r="M48" s="16">
        <v>3.8599114166666664</v>
      </c>
      <c r="N48" s="17">
        <v>8.3138260000000024</v>
      </c>
      <c r="O48" s="17">
        <v>7.0393719166666662</v>
      </c>
      <c r="P48" s="17">
        <v>4.7319345000000004</v>
      </c>
      <c r="Q48" s="17">
        <v>9.1357489166666674</v>
      </c>
      <c r="T48" s="45">
        <v>22</v>
      </c>
      <c r="U48" s="14">
        <f t="shared" si="29"/>
        <v>0.23077983333333307</v>
      </c>
      <c r="V48" s="14">
        <f t="shared" si="29"/>
        <v>3.9396166666666232E-2</v>
      </c>
      <c r="W48" s="14">
        <f t="shared" si="29"/>
        <v>5.437083333332815E-3</v>
      </c>
      <c r="X48" s="14">
        <f t="shared" si="29"/>
        <v>7.1288499999999644E-2</v>
      </c>
      <c r="Y48" s="15">
        <f t="shared" si="29"/>
        <v>1.438158333333206E-2</v>
      </c>
      <c r="Z48" s="15">
        <f t="shared" si="28"/>
        <v>0.21862333333332984</v>
      </c>
      <c r="AA48" s="15">
        <f t="shared" si="28"/>
        <v>0.28048141666666737</v>
      </c>
      <c r="AB48" s="16">
        <f t="shared" si="28"/>
        <v>0.23174291666666669</v>
      </c>
      <c r="AC48" s="16">
        <f t="shared" si="28"/>
        <v>0.19469016666666761</v>
      </c>
      <c r="AD48" s="16">
        <f t="shared" si="28"/>
        <v>0.24204241666666704</v>
      </c>
      <c r="AE48" s="16">
        <f t="shared" si="28"/>
        <v>1.159041666666738E-2</v>
      </c>
      <c r="AF48" s="17">
        <f t="shared" si="28"/>
        <v>0</v>
      </c>
      <c r="AG48" s="17">
        <f t="shared" si="28"/>
        <v>2.7465750000000178E-2</v>
      </c>
      <c r="AH48" s="17">
        <f t="shared" si="28"/>
        <v>1.3479500000001643E-2</v>
      </c>
      <c r="AI48" s="17">
        <f t="shared" si="28"/>
        <v>0.16520783333333178</v>
      </c>
      <c r="AL48" s="52">
        <v>17</v>
      </c>
      <c r="AM48" s="62">
        <f t="shared" si="27"/>
        <v>8.5737015625000051E-2</v>
      </c>
      <c r="AN48" s="63">
        <f t="shared" si="20"/>
        <v>5.0495152777777975E-2</v>
      </c>
      <c r="AO48" s="63">
        <f t="shared" si="21"/>
        <v>6.5109151041666896E-2</v>
      </c>
      <c r="AP48" s="64">
        <f t="shared" si="22"/>
        <v>5.5886968749999877E-2</v>
      </c>
      <c r="AQ48"/>
      <c r="AR48" s="52">
        <v>17</v>
      </c>
      <c r="AS48" s="62">
        <f t="shared" si="23"/>
        <v>2.8010915525387713E-2</v>
      </c>
      <c r="AT48" s="63">
        <f t="shared" si="24"/>
        <v>4.2278907338032995E-2</v>
      </c>
      <c r="AU48" s="63">
        <f t="shared" si="25"/>
        <v>2.4231866428363214E-2</v>
      </c>
      <c r="AV48" s="64">
        <f t="shared" si="26"/>
        <v>1.2183795156677538E-2</v>
      </c>
      <c r="AW48" s="76"/>
      <c r="BD48" s="76"/>
      <c r="BI48" s="76"/>
    </row>
    <row r="49" spans="2:61" x14ac:dyDescent="0.2">
      <c r="B49" s="45">
        <v>23</v>
      </c>
      <c r="C49" s="14">
        <v>5.3639173333333332</v>
      </c>
      <c r="D49" s="14">
        <v>5.6896138333333335</v>
      </c>
      <c r="E49" s="14">
        <v>4.5651360000000007</v>
      </c>
      <c r="F49" s="14">
        <v>3.7303750000000004</v>
      </c>
      <c r="G49" s="15">
        <v>5.0263542500000007</v>
      </c>
      <c r="H49" s="15">
        <v>12.02576166666667</v>
      </c>
      <c r="I49" s="15">
        <v>4.9948445833333333</v>
      </c>
      <c r="J49" s="16">
        <v>4.0272059166666665</v>
      </c>
      <c r="K49" s="16">
        <v>6.0504837500000006</v>
      </c>
      <c r="L49" s="16">
        <v>7.4320200833333319</v>
      </c>
      <c r="M49" s="16">
        <v>3.8865967500000007</v>
      </c>
      <c r="N49" s="17">
        <v>8.3138260000000024</v>
      </c>
      <c r="O49" s="17">
        <v>7.0674022500000007</v>
      </c>
      <c r="P49" s="17">
        <v>4.7474972499999986</v>
      </c>
      <c r="Q49" s="17">
        <v>9.4104070833333342</v>
      </c>
      <c r="T49" s="45">
        <v>23</v>
      </c>
      <c r="U49" s="14">
        <f t="shared" si="29"/>
        <v>0.26264183333333335</v>
      </c>
      <c r="V49" s="14">
        <f t="shared" si="29"/>
        <v>3.9482166666665819E-2</v>
      </c>
      <c r="W49" s="14">
        <f t="shared" si="29"/>
        <v>0</v>
      </c>
      <c r="X49" s="14">
        <f t="shared" si="29"/>
        <v>5.6035833333338836E-3</v>
      </c>
      <c r="Y49" s="15">
        <f t="shared" si="29"/>
        <v>2.0947000000001381E-2</v>
      </c>
      <c r="Z49" s="15">
        <f t="shared" si="28"/>
        <v>0.32759666666667187</v>
      </c>
      <c r="AA49" s="15">
        <f t="shared" si="28"/>
        <v>7.787683333333284E-2</v>
      </c>
      <c r="AB49" s="16">
        <f t="shared" si="28"/>
        <v>0.23030516666666712</v>
      </c>
      <c r="AC49" s="16">
        <f t="shared" si="28"/>
        <v>0.33817633333333319</v>
      </c>
      <c r="AD49" s="16">
        <f t="shared" si="28"/>
        <v>0.18202683333333169</v>
      </c>
      <c r="AE49" s="16">
        <f t="shared" si="28"/>
        <v>2.6685333333334338E-2</v>
      </c>
      <c r="AF49" s="17">
        <f t="shared" si="28"/>
        <v>0</v>
      </c>
      <c r="AG49" s="17">
        <f t="shared" si="28"/>
        <v>2.803033333333449E-2</v>
      </c>
      <c r="AH49" s="17">
        <f t="shared" si="28"/>
        <v>1.5562749999998182E-2</v>
      </c>
      <c r="AI49" s="17">
        <f t="shared" si="28"/>
        <v>0.27465816666666676</v>
      </c>
      <c r="AL49" s="52">
        <v>18</v>
      </c>
      <c r="AM49" s="62">
        <f t="shared" si="27"/>
        <v>8.7375979166666812E-2</v>
      </c>
      <c r="AN49" s="63">
        <f t="shared" si="20"/>
        <v>5.2690291666666979E-2</v>
      </c>
      <c r="AO49" s="63">
        <f t="shared" si="21"/>
        <v>9.7594286458333568E-2</v>
      </c>
      <c r="AP49" s="64">
        <f t="shared" si="22"/>
        <v>4.9044130208333148E-2</v>
      </c>
      <c r="AQ49"/>
      <c r="AR49" s="52">
        <v>18</v>
      </c>
      <c r="AS49" s="62">
        <f t="shared" si="23"/>
        <v>2.0550655310719961E-2</v>
      </c>
      <c r="AT49" s="63">
        <f t="shared" si="24"/>
        <v>4.4600473658915001E-2</v>
      </c>
      <c r="AU49" s="63">
        <f t="shared" si="25"/>
        <v>1.690251952224148E-2</v>
      </c>
      <c r="AV49" s="64">
        <f t="shared" si="26"/>
        <v>1.5418920638750477E-2</v>
      </c>
      <c r="AW49" s="76"/>
      <c r="BD49" s="76"/>
      <c r="BI49" s="76"/>
    </row>
    <row r="50" spans="2:61" x14ac:dyDescent="0.2">
      <c r="B50" s="9">
        <v>0</v>
      </c>
      <c r="C50" s="14">
        <v>5.5439367499999994</v>
      </c>
      <c r="D50" s="14">
        <v>5.7290959166666662</v>
      </c>
      <c r="E50" s="14">
        <v>4.5651360000000007</v>
      </c>
      <c r="F50" s="14">
        <v>3.7303750000000004</v>
      </c>
      <c r="G50" s="15">
        <v>5.0273770000000004</v>
      </c>
      <c r="H50" s="15">
        <v>12.155660833333334</v>
      </c>
      <c r="I50" s="15">
        <v>5.2271843333333337</v>
      </c>
      <c r="J50" s="16">
        <v>4.1176069999999996</v>
      </c>
      <c r="K50" s="16">
        <v>6.3844482499999984</v>
      </c>
      <c r="L50" s="16">
        <v>7.5525655833333341</v>
      </c>
      <c r="M50" s="16">
        <v>3.9149208333333334</v>
      </c>
      <c r="N50" s="17">
        <v>8.3138260000000024</v>
      </c>
      <c r="O50" s="17">
        <v>7.138761333333334</v>
      </c>
      <c r="P50" s="17">
        <v>4.7478059999999989</v>
      </c>
      <c r="Q50" s="17">
        <v>9.6681025833333329</v>
      </c>
      <c r="T50" s="9">
        <v>0</v>
      </c>
      <c r="U50" s="14">
        <f t="shared" si="29"/>
        <v>0.18001941666666621</v>
      </c>
      <c r="V50" s="14">
        <f t="shared" si="29"/>
        <v>3.9482083333332696E-2</v>
      </c>
      <c r="W50" s="14">
        <f t="shared" si="29"/>
        <v>0</v>
      </c>
      <c r="X50" s="14">
        <f t="shared" si="29"/>
        <v>0</v>
      </c>
      <c r="Y50" s="15">
        <f t="shared" si="29"/>
        <v>1.0227499999997391E-3</v>
      </c>
      <c r="Z50" s="15">
        <f t="shared" si="28"/>
        <v>0.12989916666666446</v>
      </c>
      <c r="AA50" s="15">
        <f t="shared" si="28"/>
        <v>0.2323397500000004</v>
      </c>
      <c r="AB50" s="16">
        <f t="shared" si="28"/>
        <v>9.0401083333333077E-2</v>
      </c>
      <c r="AC50" s="16">
        <f t="shared" si="28"/>
        <v>0.33396449999999778</v>
      </c>
      <c r="AD50" s="16">
        <f t="shared" si="28"/>
        <v>0.12054550000000219</v>
      </c>
      <c r="AE50" s="16">
        <f t="shared" si="28"/>
        <v>2.8324083333332695E-2</v>
      </c>
      <c r="AF50" s="17">
        <f t="shared" si="28"/>
        <v>0</v>
      </c>
      <c r="AG50" s="17">
        <f t="shared" si="28"/>
        <v>7.1359083333333295E-2</v>
      </c>
      <c r="AH50" s="17">
        <f t="shared" si="28"/>
        <v>3.0875000000030184E-4</v>
      </c>
      <c r="AI50" s="17">
        <f t="shared" si="28"/>
        <v>0.25769549999999875</v>
      </c>
      <c r="AL50" s="52">
        <v>19</v>
      </c>
      <c r="AM50" s="62">
        <f t="shared" si="27"/>
        <v>8.1203552083333352E-2</v>
      </c>
      <c r="AN50" s="63">
        <f t="shared" si="20"/>
        <v>5.9074409722221922E-2</v>
      </c>
      <c r="AO50" s="63">
        <f t="shared" si="21"/>
        <v>7.0551442708333245E-2</v>
      </c>
      <c r="AP50" s="64">
        <f t="shared" si="22"/>
        <v>5.3161223958333614E-2</v>
      </c>
      <c r="AQ50"/>
      <c r="AR50" s="52">
        <v>19</v>
      </c>
      <c r="AS50" s="62">
        <f t="shared" si="23"/>
        <v>9.938102599852415E-3</v>
      </c>
      <c r="AT50" s="63">
        <f t="shared" si="24"/>
        <v>4.8841917139463731E-2</v>
      </c>
      <c r="AU50" s="63">
        <f t="shared" si="25"/>
        <v>2.1527460258952174E-2</v>
      </c>
      <c r="AV50" s="64">
        <f t="shared" si="26"/>
        <v>2.5203159236046969E-2</v>
      </c>
      <c r="AW50" s="76"/>
      <c r="BD50" s="76"/>
      <c r="BI50" s="76"/>
    </row>
    <row r="51" spans="2:61" x14ac:dyDescent="0.2">
      <c r="B51" s="45">
        <v>1</v>
      </c>
      <c r="C51" s="14">
        <v>5.5492989999999986</v>
      </c>
      <c r="D51" s="14">
        <v>5.7685780000000006</v>
      </c>
      <c r="E51" s="14">
        <v>4.5651360000000007</v>
      </c>
      <c r="F51" s="14">
        <v>3.7303750000000004</v>
      </c>
      <c r="G51" s="15">
        <v>5.0273770000000004</v>
      </c>
      <c r="H51" s="15">
        <v>12.275455833333332</v>
      </c>
      <c r="I51" s="15">
        <v>5.4230618333333345</v>
      </c>
      <c r="J51" s="16">
        <v>4.1176069999999996</v>
      </c>
      <c r="K51" s="16">
        <v>6.653210666666669</v>
      </c>
      <c r="L51" s="16">
        <v>7.6399510833333322</v>
      </c>
      <c r="M51" s="16">
        <v>3.943244833333333</v>
      </c>
      <c r="N51" s="17">
        <v>8.3138260000000024</v>
      </c>
      <c r="O51" s="17">
        <v>7.4462066666666678</v>
      </c>
      <c r="P51" s="17">
        <v>4.7478059999999989</v>
      </c>
      <c r="Q51" s="17">
        <v>9.7424622500000009</v>
      </c>
      <c r="T51" s="45">
        <v>1</v>
      </c>
      <c r="U51" s="14">
        <f t="shared" si="29"/>
        <v>5.3622499999992357E-3</v>
      </c>
      <c r="V51" s="14">
        <f t="shared" si="29"/>
        <v>3.9482083333334472E-2</v>
      </c>
      <c r="W51" s="14">
        <f t="shared" si="29"/>
        <v>0</v>
      </c>
      <c r="X51" s="14">
        <f t="shared" si="29"/>
        <v>0</v>
      </c>
      <c r="Y51" s="15">
        <f t="shared" si="29"/>
        <v>0</v>
      </c>
      <c r="Z51" s="15">
        <f t="shared" si="28"/>
        <v>0.1197949999999981</v>
      </c>
      <c r="AA51" s="15">
        <f t="shared" si="28"/>
        <v>0.19587750000000081</v>
      </c>
      <c r="AB51" s="16">
        <f t="shared" si="28"/>
        <v>0</v>
      </c>
      <c r="AC51" s="16">
        <f t="shared" si="28"/>
        <v>0.26876241666667067</v>
      </c>
      <c r="AD51" s="16">
        <f t="shared" si="28"/>
        <v>8.7385499999998117E-2</v>
      </c>
      <c r="AE51" s="16">
        <f t="shared" si="28"/>
        <v>2.8323999999999572E-2</v>
      </c>
      <c r="AF51" s="17">
        <f t="shared" si="28"/>
        <v>0</v>
      </c>
      <c r="AG51" s="17">
        <f t="shared" si="28"/>
        <v>0.30744533333333379</v>
      </c>
      <c r="AH51" s="17">
        <f t="shared" si="28"/>
        <v>0</v>
      </c>
      <c r="AI51" s="17">
        <f t="shared" si="28"/>
        <v>7.4359666666667934E-2</v>
      </c>
      <c r="AL51" s="52">
        <v>20</v>
      </c>
      <c r="AM51" s="62">
        <f t="shared" si="27"/>
        <v>9.0992916666666201E-2</v>
      </c>
      <c r="AN51" s="63">
        <f t="shared" si="20"/>
        <v>7.8411763888888888E-2</v>
      </c>
      <c r="AO51" s="63">
        <f t="shared" si="21"/>
        <v>0.11830644270833351</v>
      </c>
      <c r="AP51" s="64">
        <f t="shared" si="22"/>
        <v>5.8719270833333281E-2</v>
      </c>
      <c r="AQ51"/>
      <c r="AR51" s="52">
        <v>20</v>
      </c>
      <c r="AS51" s="62">
        <f t="shared" si="23"/>
        <v>1.0033022747703955E-2</v>
      </c>
      <c r="AT51" s="63">
        <f t="shared" si="24"/>
        <v>6.7614204425818322E-2</v>
      </c>
      <c r="AU51" s="63">
        <f t="shared" si="25"/>
        <v>4.1954829446634138E-2</v>
      </c>
      <c r="AV51" s="64">
        <f t="shared" si="26"/>
        <v>3.1219429843265558E-2</v>
      </c>
      <c r="AW51" s="76"/>
      <c r="BD51" s="76"/>
      <c r="BI51" s="76"/>
    </row>
    <row r="52" spans="2:61" x14ac:dyDescent="0.2">
      <c r="B52" s="45">
        <v>2</v>
      </c>
      <c r="C52" s="14">
        <v>5.5492989999999986</v>
      </c>
      <c r="D52" s="14">
        <v>5.8080601666666665</v>
      </c>
      <c r="E52" s="14">
        <v>4.5651360000000007</v>
      </c>
      <c r="F52" s="14">
        <v>3.7303750000000004</v>
      </c>
      <c r="G52" s="15">
        <v>5.0273770000000004</v>
      </c>
      <c r="H52" s="15">
        <v>12.731358333333333</v>
      </c>
      <c r="I52" s="15">
        <v>5.4380310000000014</v>
      </c>
      <c r="J52" s="16">
        <v>4.1176069999999996</v>
      </c>
      <c r="K52" s="16">
        <v>6.9261521666666654</v>
      </c>
      <c r="L52" s="16">
        <v>7.6436879999999983</v>
      </c>
      <c r="M52" s="16">
        <v>3.9697896666666677</v>
      </c>
      <c r="N52" s="17">
        <v>8.3138260000000024</v>
      </c>
      <c r="O52" s="17">
        <v>7.8031505000000001</v>
      </c>
      <c r="P52" s="17">
        <v>4.7478059999999989</v>
      </c>
      <c r="Q52" s="17">
        <v>10.103794916666667</v>
      </c>
      <c r="T52" s="45">
        <v>2</v>
      </c>
      <c r="U52" s="14">
        <f t="shared" si="29"/>
        <v>0</v>
      </c>
      <c r="V52" s="14">
        <f t="shared" si="29"/>
        <v>3.9482166666665819E-2</v>
      </c>
      <c r="W52" s="14">
        <f t="shared" si="29"/>
        <v>0</v>
      </c>
      <c r="X52" s="14">
        <f t="shared" si="29"/>
        <v>0</v>
      </c>
      <c r="Y52" s="15">
        <f t="shared" si="29"/>
        <v>0</v>
      </c>
      <c r="Z52" s="15">
        <f t="shared" si="28"/>
        <v>0.45590250000000054</v>
      </c>
      <c r="AA52" s="15">
        <f t="shared" si="28"/>
        <v>1.4969166666666922E-2</v>
      </c>
      <c r="AB52" s="16">
        <f t="shared" si="28"/>
        <v>0</v>
      </c>
      <c r="AC52" s="16">
        <f t="shared" si="28"/>
        <v>0.2729414999999964</v>
      </c>
      <c r="AD52" s="16">
        <f t="shared" si="28"/>
        <v>3.7369166666660902E-3</v>
      </c>
      <c r="AE52" s="16">
        <f t="shared" si="28"/>
        <v>2.6544833333334683E-2</v>
      </c>
      <c r="AF52" s="17">
        <f t="shared" si="28"/>
        <v>0</v>
      </c>
      <c r="AG52" s="17">
        <f t="shared" si="28"/>
        <v>0.35694383333333235</v>
      </c>
      <c r="AH52" s="17">
        <f t="shared" si="28"/>
        <v>0</v>
      </c>
      <c r="AI52" s="17">
        <f t="shared" si="28"/>
        <v>0.36133266666666586</v>
      </c>
      <c r="AL52" s="52">
        <v>21</v>
      </c>
      <c r="AM52" s="62">
        <f t="shared" si="27"/>
        <v>9.824895312500076E-2</v>
      </c>
      <c r="AN52" s="63">
        <f t="shared" si="20"/>
        <v>0.12447863888888881</v>
      </c>
      <c r="AO52" s="63">
        <f t="shared" si="21"/>
        <v>0.14045174479166672</v>
      </c>
      <c r="AP52" s="64">
        <f t="shared" si="22"/>
        <v>6.1348067708333731E-2</v>
      </c>
      <c r="AQ52"/>
      <c r="AR52" s="52">
        <v>21</v>
      </c>
      <c r="AS52" s="62">
        <f t="shared" si="23"/>
        <v>8.3183255600121353E-3</v>
      </c>
      <c r="AT52" s="63">
        <f t="shared" si="24"/>
        <v>0.10759185155967217</v>
      </c>
      <c r="AU52" s="63">
        <f t="shared" si="25"/>
        <v>5.9479089839671435E-2</v>
      </c>
      <c r="AV52" s="64">
        <f t="shared" si="26"/>
        <v>2.1827285713109996E-2</v>
      </c>
      <c r="AW52" s="76"/>
      <c r="BD52" s="76"/>
      <c r="BI52" s="76"/>
    </row>
    <row r="53" spans="2:61" x14ac:dyDescent="0.2">
      <c r="B53" s="45">
        <v>3</v>
      </c>
      <c r="C53" s="14">
        <v>5.5492989999999986</v>
      </c>
      <c r="D53" s="14">
        <v>5.8475422500000001</v>
      </c>
      <c r="E53" s="14">
        <v>4.5651360000000007</v>
      </c>
      <c r="F53" s="14">
        <v>3.7303750000000004</v>
      </c>
      <c r="G53" s="15">
        <v>5.0384865833333334</v>
      </c>
      <c r="H53" s="15">
        <v>12.857989999999999</v>
      </c>
      <c r="I53" s="15">
        <v>5.4380310000000014</v>
      </c>
      <c r="J53" s="16">
        <v>4.1176069999999996</v>
      </c>
      <c r="K53" s="16">
        <v>7.1770460000000007</v>
      </c>
      <c r="L53" s="16">
        <v>7.6436879999999983</v>
      </c>
      <c r="M53" s="16">
        <v>3.9756720000000008</v>
      </c>
      <c r="N53" s="17">
        <v>8.3138260000000024</v>
      </c>
      <c r="O53" s="17">
        <v>7.9268531666666666</v>
      </c>
      <c r="P53" s="17">
        <v>4.7478059999999989</v>
      </c>
      <c r="Q53" s="17">
        <v>10.555515833333333</v>
      </c>
      <c r="T53" s="45">
        <v>3</v>
      </c>
      <c r="U53" s="14">
        <f t="shared" si="29"/>
        <v>0</v>
      </c>
      <c r="V53" s="14">
        <f t="shared" si="29"/>
        <v>3.9482083333333584E-2</v>
      </c>
      <c r="W53" s="14">
        <f t="shared" si="29"/>
        <v>0</v>
      </c>
      <c r="X53" s="14">
        <f t="shared" si="29"/>
        <v>0</v>
      </c>
      <c r="Y53" s="15">
        <f t="shared" si="29"/>
        <v>1.1109583333333006E-2</v>
      </c>
      <c r="Z53" s="15">
        <f t="shared" si="28"/>
        <v>0.12663166666666648</v>
      </c>
      <c r="AA53" s="15">
        <f t="shared" si="28"/>
        <v>0</v>
      </c>
      <c r="AB53" s="16">
        <f t="shared" si="28"/>
        <v>0</v>
      </c>
      <c r="AC53" s="16">
        <f t="shared" si="28"/>
        <v>0.25089383333333526</v>
      </c>
      <c r="AD53" s="16">
        <f t="shared" si="28"/>
        <v>0</v>
      </c>
      <c r="AE53" s="16">
        <f t="shared" si="28"/>
        <v>5.8823333333331007E-3</v>
      </c>
      <c r="AF53" s="17">
        <f t="shared" si="28"/>
        <v>0</v>
      </c>
      <c r="AG53" s="17">
        <f t="shared" si="28"/>
        <v>0.12370266666666652</v>
      </c>
      <c r="AH53" s="17">
        <f t="shared" si="28"/>
        <v>0</v>
      </c>
      <c r="AI53" s="17">
        <f t="shared" si="28"/>
        <v>0.45172091666666603</v>
      </c>
      <c r="AL53" s="52">
        <v>22</v>
      </c>
      <c r="AM53" s="62">
        <f t="shared" si="27"/>
        <v>6.9475671874999867E-2</v>
      </c>
      <c r="AN53" s="63">
        <f t="shared" si="20"/>
        <v>0.14268962499999918</v>
      </c>
      <c r="AO53" s="63">
        <f t="shared" si="21"/>
        <v>0.12333165104166666</v>
      </c>
      <c r="AP53" s="64">
        <f t="shared" si="22"/>
        <v>4.2728354166666482E-2</v>
      </c>
      <c r="AQ53"/>
      <c r="AR53" s="52">
        <v>22</v>
      </c>
      <c r="AS53" s="62">
        <f t="shared" si="23"/>
        <v>1.1743185599565831E-2</v>
      </c>
      <c r="AT53" s="63">
        <f t="shared" si="24"/>
        <v>7.7449197689057434E-2</v>
      </c>
      <c r="AU53" s="63">
        <f t="shared" si="25"/>
        <v>3.3348292536977298E-2</v>
      </c>
      <c r="AV53" s="64">
        <f t="shared" si="26"/>
        <v>1.1128199051982781E-2</v>
      </c>
      <c r="AW53" s="76"/>
      <c r="BD53" s="76"/>
      <c r="BI53" s="76"/>
    </row>
    <row r="54" spans="2:61" x14ac:dyDescent="0.2">
      <c r="B54" s="45">
        <v>4</v>
      </c>
      <c r="C54" s="14">
        <v>5.5492989999999986</v>
      </c>
      <c r="D54" s="14">
        <v>5.8870243333333327</v>
      </c>
      <c r="E54" s="14">
        <v>4.5651360000000007</v>
      </c>
      <c r="F54" s="14">
        <v>3.7303750000000004</v>
      </c>
      <c r="G54" s="15">
        <v>5.0967044166666673</v>
      </c>
      <c r="H54" s="15">
        <v>12.857989999999999</v>
      </c>
      <c r="I54" s="15">
        <v>5.4380310000000014</v>
      </c>
      <c r="J54" s="16">
        <v>4.1191561666666665</v>
      </c>
      <c r="K54" s="16">
        <v>7.2881503333333342</v>
      </c>
      <c r="L54" s="16">
        <v>7.6436879999999983</v>
      </c>
      <c r="M54" s="16">
        <v>3.9756720000000008</v>
      </c>
      <c r="N54" s="17">
        <v>8.3138260000000024</v>
      </c>
      <c r="O54" s="17">
        <v>8.1041070000000008</v>
      </c>
      <c r="P54" s="17">
        <v>4.7479655833333334</v>
      </c>
      <c r="Q54" s="17">
        <v>10.638600833333333</v>
      </c>
      <c r="T54" s="45">
        <v>4</v>
      </c>
      <c r="U54" s="14">
        <f t="shared" si="29"/>
        <v>0</v>
      </c>
      <c r="V54" s="14">
        <f t="shared" si="29"/>
        <v>3.9482083333332696E-2</v>
      </c>
      <c r="W54" s="14">
        <f t="shared" si="29"/>
        <v>0</v>
      </c>
      <c r="X54" s="14">
        <f t="shared" si="29"/>
        <v>0</v>
      </c>
      <c r="Y54" s="15">
        <f t="shared" si="29"/>
        <v>5.8217833333333857E-2</v>
      </c>
      <c r="Z54" s="15">
        <f t="shared" si="28"/>
        <v>0</v>
      </c>
      <c r="AA54" s="15">
        <f t="shared" si="28"/>
        <v>0</v>
      </c>
      <c r="AB54" s="16">
        <f t="shared" si="28"/>
        <v>1.5491666666669346E-3</v>
      </c>
      <c r="AC54" s="16">
        <f t="shared" si="28"/>
        <v>0.11110433333333347</v>
      </c>
      <c r="AD54" s="16">
        <f t="shared" si="28"/>
        <v>0</v>
      </c>
      <c r="AE54" s="16">
        <f t="shared" si="28"/>
        <v>0</v>
      </c>
      <c r="AF54" s="17">
        <f t="shared" si="28"/>
        <v>0</v>
      </c>
      <c r="AG54" s="17">
        <f t="shared" si="28"/>
        <v>0.17725383333333422</v>
      </c>
      <c r="AH54" s="17">
        <f t="shared" si="28"/>
        <v>1.5958333333454533E-4</v>
      </c>
      <c r="AI54" s="17">
        <f t="shared" si="28"/>
        <v>8.308500000000052E-2</v>
      </c>
      <c r="AL54" s="52">
        <v>23</v>
      </c>
      <c r="AM54" s="62">
        <f t="shared" si="27"/>
        <v>5.3014687499999949E-2</v>
      </c>
      <c r="AN54" s="63">
        <f t="shared" si="20"/>
        <v>0.11682813194444523</v>
      </c>
      <c r="AO54" s="63">
        <f t="shared" si="21"/>
        <v>0.13019259374999984</v>
      </c>
      <c r="AP54" s="64">
        <f t="shared" si="22"/>
        <v>5.7504333333333157E-2</v>
      </c>
      <c r="AQ54"/>
      <c r="AR54" s="52">
        <v>23</v>
      </c>
      <c r="AS54" s="62">
        <f t="shared" si="23"/>
        <v>5.7674537082275795E-3</v>
      </c>
      <c r="AT54" s="63">
        <f t="shared" si="24"/>
        <v>6.3223624019258781E-2</v>
      </c>
      <c r="AU54" s="63">
        <f t="shared" si="25"/>
        <v>4.8279317381567953E-2</v>
      </c>
      <c r="AV54" s="64">
        <f t="shared" si="26"/>
        <v>1.2388375181694534E-2</v>
      </c>
      <c r="AW54" s="76"/>
      <c r="BD54" s="76"/>
      <c r="BI54" s="76"/>
    </row>
    <row r="55" spans="2:61" x14ac:dyDescent="0.2">
      <c r="B55" s="45">
        <v>5</v>
      </c>
      <c r="C55" s="14">
        <v>5.5492989999999986</v>
      </c>
      <c r="D55" s="14">
        <v>5.9265064999999995</v>
      </c>
      <c r="E55" s="14">
        <v>4.5651360000000007</v>
      </c>
      <c r="F55" s="14">
        <v>3.7303750000000004</v>
      </c>
      <c r="G55" s="15">
        <v>5.1584535833333343</v>
      </c>
      <c r="H55" s="15">
        <v>12.857989999999999</v>
      </c>
      <c r="I55" s="15">
        <v>5.4380310000000014</v>
      </c>
      <c r="J55" s="16">
        <v>4.148479916666667</v>
      </c>
      <c r="K55" s="16">
        <v>7.3431189166666675</v>
      </c>
      <c r="L55" s="16">
        <v>7.6436879999999983</v>
      </c>
      <c r="M55" s="16">
        <v>3.9756720000000008</v>
      </c>
      <c r="N55" s="17">
        <v>8.3138260000000024</v>
      </c>
      <c r="O55" s="17">
        <v>8.2826346666666666</v>
      </c>
      <c r="P55" s="17">
        <v>4.7494776666666665</v>
      </c>
      <c r="Q55" s="17">
        <v>10.642033333333332</v>
      </c>
      <c r="T55" s="45">
        <v>5</v>
      </c>
      <c r="U55" s="14">
        <f t="shared" si="29"/>
        <v>0</v>
      </c>
      <c r="V55" s="14">
        <f t="shared" si="29"/>
        <v>3.9482166666666707E-2</v>
      </c>
      <c r="W55" s="14">
        <f t="shared" si="29"/>
        <v>0</v>
      </c>
      <c r="X55" s="14">
        <f t="shared" si="29"/>
        <v>0</v>
      </c>
      <c r="Y55" s="15">
        <f t="shared" si="29"/>
        <v>6.1749166666666966E-2</v>
      </c>
      <c r="Z55" s="15">
        <f t="shared" si="28"/>
        <v>0</v>
      </c>
      <c r="AA55" s="15">
        <f t="shared" si="28"/>
        <v>0</v>
      </c>
      <c r="AB55" s="16">
        <f t="shared" si="28"/>
        <v>2.9323750000000537E-2</v>
      </c>
      <c r="AC55" s="16">
        <f t="shared" si="28"/>
        <v>5.4968583333333321E-2</v>
      </c>
      <c r="AD55" s="16">
        <f t="shared" si="28"/>
        <v>0</v>
      </c>
      <c r="AE55" s="16">
        <f t="shared" si="28"/>
        <v>0</v>
      </c>
      <c r="AF55" s="17">
        <f t="shared" si="28"/>
        <v>0</v>
      </c>
      <c r="AG55" s="17">
        <f t="shared" si="28"/>
        <v>0.17852766666666575</v>
      </c>
      <c r="AH55" s="17">
        <f t="shared" si="28"/>
        <v>1.5120833333330808E-3</v>
      </c>
      <c r="AI55" s="17">
        <f t="shared" si="28"/>
        <v>3.4324999999988393E-3</v>
      </c>
      <c r="AL55" s="52">
        <v>24</v>
      </c>
      <c r="AM55" s="62">
        <f>AVERAGE(AM26:AP26)</f>
        <v>5.4626833333333236E-2</v>
      </c>
      <c r="AN55" s="63">
        <f t="shared" si="20"/>
        <v>0.12124447222222194</v>
      </c>
      <c r="AO55" s="63">
        <f t="shared" si="21"/>
        <v>0.10331884895833313</v>
      </c>
      <c r="AP55" s="64">
        <f t="shared" si="22"/>
        <v>7.496238541666661E-2</v>
      </c>
      <c r="AQ55"/>
      <c r="AR55" s="52">
        <v>24</v>
      </c>
      <c r="AS55" s="62">
        <f t="shared" si="23"/>
        <v>3.5380961073661057E-3</v>
      </c>
      <c r="AT55" s="63">
        <f t="shared" si="24"/>
        <v>5.507000502733627E-2</v>
      </c>
      <c r="AU55" s="63">
        <f t="shared" si="25"/>
        <v>5.3358497754561342E-2</v>
      </c>
      <c r="AV55" s="64">
        <f t="shared" si="26"/>
        <v>1.6470734927377325E-2</v>
      </c>
      <c r="AW55" s="76"/>
      <c r="BD55" s="76"/>
      <c r="BI55" s="76"/>
    </row>
    <row r="56" spans="2:61" x14ac:dyDescent="0.2">
      <c r="B56" s="45">
        <v>6</v>
      </c>
      <c r="C56" s="14">
        <v>5.5492989999999986</v>
      </c>
      <c r="D56" s="14">
        <v>5.9646658333333322</v>
      </c>
      <c r="E56" s="14">
        <v>4.5651360000000007</v>
      </c>
      <c r="F56" s="14">
        <v>3.7303750000000004</v>
      </c>
      <c r="G56" s="15">
        <v>5.300634416666667</v>
      </c>
      <c r="H56" s="15">
        <v>12.857989999999999</v>
      </c>
      <c r="I56" s="15">
        <v>5.4437030000000002</v>
      </c>
      <c r="J56" s="16">
        <v>4.1879619999999997</v>
      </c>
      <c r="K56" s="16">
        <v>7.3602092500000005</v>
      </c>
      <c r="L56" s="16">
        <v>7.6436879999999983</v>
      </c>
      <c r="M56" s="16">
        <v>3.9900895000000003</v>
      </c>
      <c r="N56" s="17">
        <v>8.3138260000000024</v>
      </c>
      <c r="O56" s="17">
        <v>8.4611626666666666</v>
      </c>
      <c r="P56" s="17">
        <v>4.7555769999999997</v>
      </c>
      <c r="Q56" s="17">
        <v>10.645209166666666</v>
      </c>
      <c r="T56" s="45">
        <v>6</v>
      </c>
      <c r="U56" s="14">
        <f t="shared" si="29"/>
        <v>0</v>
      </c>
      <c r="V56" s="14">
        <f t="shared" si="29"/>
        <v>3.8159333333332768E-2</v>
      </c>
      <c r="W56" s="14">
        <f t="shared" si="29"/>
        <v>0</v>
      </c>
      <c r="X56" s="14">
        <f t="shared" si="29"/>
        <v>0</v>
      </c>
      <c r="Y56" s="15">
        <f t="shared" si="29"/>
        <v>0.14218083333333276</v>
      </c>
      <c r="Z56" s="15">
        <f t="shared" si="28"/>
        <v>0</v>
      </c>
      <c r="AA56" s="15">
        <f t="shared" si="28"/>
        <v>5.6719999999987891E-3</v>
      </c>
      <c r="AB56" s="16">
        <f t="shared" si="28"/>
        <v>3.9482083333332696E-2</v>
      </c>
      <c r="AC56" s="16">
        <f t="shared" si="28"/>
        <v>1.7090333333332985E-2</v>
      </c>
      <c r="AD56" s="16">
        <f t="shared" si="28"/>
        <v>0</v>
      </c>
      <c r="AE56" s="16">
        <f t="shared" si="28"/>
        <v>1.4417499999999528E-2</v>
      </c>
      <c r="AF56" s="17">
        <f t="shared" si="28"/>
        <v>0</v>
      </c>
      <c r="AG56" s="17">
        <f t="shared" si="28"/>
        <v>0.17852800000000002</v>
      </c>
      <c r="AH56" s="17">
        <f t="shared" si="28"/>
        <v>6.0993333333332345E-3</v>
      </c>
      <c r="AI56" s="17">
        <f t="shared" si="28"/>
        <v>3.1758333333335997E-3</v>
      </c>
      <c r="AL56">
        <v>1</v>
      </c>
      <c r="AM56">
        <v>4.0733958333333375E-2</v>
      </c>
      <c r="AN56">
        <v>7.466904861111133E-2</v>
      </c>
      <c r="AO56">
        <v>3.8407114583333485E-2</v>
      </c>
      <c r="AP56">
        <v>9.0793973958333371E-2</v>
      </c>
      <c r="AQ56"/>
      <c r="AR56">
        <v>1</v>
      </c>
      <c r="AS56">
        <v>1.2782150393885772E-2</v>
      </c>
      <c r="AT56">
        <v>3.2621575930800083E-2</v>
      </c>
      <c r="AU56">
        <v>2.0006985190396745E-2</v>
      </c>
      <c r="AV56">
        <v>1.4416957398843695E-2</v>
      </c>
      <c r="AW56" s="76"/>
      <c r="BD56" s="76"/>
      <c r="BI56" s="76"/>
    </row>
    <row r="57" spans="2:61" x14ac:dyDescent="0.2">
      <c r="B57" s="45">
        <v>7</v>
      </c>
      <c r="C57" s="14">
        <v>5.5535394166666672</v>
      </c>
      <c r="D57" s="14">
        <v>5.985932833333333</v>
      </c>
      <c r="E57" s="14">
        <v>4.5651360000000007</v>
      </c>
      <c r="F57" s="14">
        <v>3.7303750000000004</v>
      </c>
      <c r="G57" s="15">
        <v>5.4800482500000003</v>
      </c>
      <c r="H57" s="15">
        <v>12.863222499999999</v>
      </c>
      <c r="I57" s="15">
        <v>5.5207547499999992</v>
      </c>
      <c r="J57" s="16">
        <v>4.2274441666666664</v>
      </c>
      <c r="K57" s="16">
        <v>7.3626945833333339</v>
      </c>
      <c r="L57" s="16">
        <v>7.6436879999999983</v>
      </c>
      <c r="M57" s="16">
        <v>4.0391020833333338</v>
      </c>
      <c r="N57" s="17">
        <v>8.3138260000000024</v>
      </c>
      <c r="O57" s="17">
        <v>8.6351527500000014</v>
      </c>
      <c r="P57" s="17">
        <v>4.7641602499999998</v>
      </c>
      <c r="Q57" s="17">
        <v>10.6595475</v>
      </c>
      <c r="T57" s="45">
        <v>7</v>
      </c>
      <c r="U57" s="14">
        <f t="shared" si="29"/>
        <v>4.2404166666685228E-3</v>
      </c>
      <c r="V57" s="14">
        <f t="shared" si="29"/>
        <v>2.1267000000000813E-2</v>
      </c>
      <c r="W57" s="14">
        <f t="shared" si="29"/>
        <v>0</v>
      </c>
      <c r="X57" s="14">
        <f t="shared" si="29"/>
        <v>0</v>
      </c>
      <c r="Y57" s="15">
        <f t="shared" si="29"/>
        <v>0.17941383333333327</v>
      </c>
      <c r="Z57" s="15">
        <f t="shared" si="28"/>
        <v>5.2324999999999733E-3</v>
      </c>
      <c r="AA57" s="15">
        <f t="shared" si="28"/>
        <v>7.7051749999998975E-2</v>
      </c>
      <c r="AB57" s="16">
        <f t="shared" si="28"/>
        <v>3.9482166666666707E-2</v>
      </c>
      <c r="AC57" s="16">
        <f t="shared" si="28"/>
        <v>2.4853333333334504E-3</v>
      </c>
      <c r="AD57" s="16">
        <f t="shared" si="28"/>
        <v>0</v>
      </c>
      <c r="AE57" s="16">
        <f t="shared" si="28"/>
        <v>4.901258333333347E-2</v>
      </c>
      <c r="AF57" s="17">
        <f t="shared" si="28"/>
        <v>0</v>
      </c>
      <c r="AG57" s="17">
        <f t="shared" si="28"/>
        <v>0.17399008333333477</v>
      </c>
      <c r="AH57" s="17">
        <f t="shared" si="28"/>
        <v>8.5832500000000422E-3</v>
      </c>
      <c r="AI57" s="17">
        <f t="shared" si="28"/>
        <v>1.4338333333334674E-2</v>
      </c>
      <c r="AL57">
        <v>2</v>
      </c>
      <c r="AM57">
        <v>2.1288453125000134E-2</v>
      </c>
      <c r="AN57">
        <v>7.8962493055555583E-2</v>
      </c>
      <c r="AO57">
        <v>3.3850619791666536E-2</v>
      </c>
      <c r="AP57">
        <v>0.11799618749999992</v>
      </c>
      <c r="AQ57"/>
      <c r="AR57">
        <v>2</v>
      </c>
      <c r="AS57">
        <v>4.9658334844846583E-3</v>
      </c>
      <c r="AT57">
        <v>5.3694488259917288E-2</v>
      </c>
      <c r="AU57">
        <v>2.5214427439625934E-2</v>
      </c>
      <c r="AV57">
        <v>4.0331134405069906E-2</v>
      </c>
      <c r="BD57" s="81"/>
      <c r="BI57" s="81"/>
    </row>
    <row r="58" spans="2:61" x14ac:dyDescent="0.2">
      <c r="B58" s="45">
        <v>8</v>
      </c>
      <c r="C58" s="14">
        <v>5.5625339166666663</v>
      </c>
      <c r="D58" s="14">
        <v>5.988993999999999</v>
      </c>
      <c r="E58" s="14">
        <v>4.5651360000000007</v>
      </c>
      <c r="F58" s="14">
        <v>3.7303750000000004</v>
      </c>
      <c r="G58" s="15">
        <v>5.50586325</v>
      </c>
      <c r="H58" s="15">
        <v>12.892156666666667</v>
      </c>
      <c r="I58" s="15">
        <v>5.6973609999999999</v>
      </c>
      <c r="J58" s="16">
        <v>4.3125891666666671</v>
      </c>
      <c r="K58" s="16">
        <v>7.374033166666667</v>
      </c>
      <c r="L58" s="16">
        <v>7.6436879999999983</v>
      </c>
      <c r="M58" s="16">
        <v>4.1019449166666666</v>
      </c>
      <c r="N58" s="17">
        <v>8.3138260000000024</v>
      </c>
      <c r="O58" s="17">
        <v>8.754806499999999</v>
      </c>
      <c r="P58" s="17">
        <v>4.8397223333333335</v>
      </c>
      <c r="Q58" s="17">
        <v>10.729127499999999</v>
      </c>
      <c r="T58" s="45">
        <v>8</v>
      </c>
      <c r="U58" s="14">
        <f t="shared" si="29"/>
        <v>8.9944999999991282E-3</v>
      </c>
      <c r="V58" s="14">
        <f t="shared" si="29"/>
        <v>3.0611666666660042E-3</v>
      </c>
      <c r="W58" s="14">
        <f t="shared" si="29"/>
        <v>0</v>
      </c>
      <c r="X58" s="14">
        <f t="shared" si="29"/>
        <v>0</v>
      </c>
      <c r="Y58" s="15">
        <f t="shared" si="29"/>
        <v>2.5814999999999699E-2</v>
      </c>
      <c r="Z58" s="15">
        <f t="shared" si="28"/>
        <v>2.8934166666667593E-2</v>
      </c>
      <c r="AA58" s="15">
        <f t="shared" si="28"/>
        <v>0.17660625000000074</v>
      </c>
      <c r="AB58" s="16">
        <f t="shared" si="28"/>
        <v>8.5145000000000692E-2</v>
      </c>
      <c r="AC58" s="16">
        <f t="shared" si="28"/>
        <v>1.1338583333333041E-2</v>
      </c>
      <c r="AD58" s="16">
        <f t="shared" si="28"/>
        <v>0</v>
      </c>
      <c r="AE58" s="16">
        <f t="shared" si="28"/>
        <v>6.2842833333332848E-2</v>
      </c>
      <c r="AF58" s="17">
        <f t="shared" si="28"/>
        <v>0</v>
      </c>
      <c r="AG58" s="17">
        <f t="shared" si="28"/>
        <v>0.11965374999999767</v>
      </c>
      <c r="AH58" s="17">
        <f t="shared" si="28"/>
        <v>7.5562083333333696E-2</v>
      </c>
      <c r="AI58" s="17">
        <f t="shared" si="28"/>
        <v>6.9579999999998421E-2</v>
      </c>
      <c r="AL58">
        <v>3</v>
      </c>
      <c r="AM58">
        <v>1.2452630208333232E-2</v>
      </c>
      <c r="AN58">
        <v>6.5526951388888866E-2</v>
      </c>
      <c r="AO58">
        <v>3.1896859374999934E-2</v>
      </c>
      <c r="AP58">
        <v>0.10147771354166674</v>
      </c>
      <c r="AQ58"/>
      <c r="AR58">
        <v>3</v>
      </c>
      <c r="AS58">
        <v>3.3690214262515885E-3</v>
      </c>
      <c r="AT58">
        <v>3.1781691188697149E-2</v>
      </c>
      <c r="AU58">
        <v>2.3249781381201991E-2</v>
      </c>
      <c r="AV58">
        <v>4.3643840397370001E-2</v>
      </c>
      <c r="BD58" s="81"/>
      <c r="BI58" s="81"/>
    </row>
    <row r="59" spans="2:61" x14ac:dyDescent="0.2">
      <c r="B59" s="45">
        <v>9</v>
      </c>
      <c r="C59" s="14">
        <v>5.5694002499999984</v>
      </c>
      <c r="D59" s="14">
        <v>5.988993999999999</v>
      </c>
      <c r="E59" s="14">
        <v>4.5651360000000007</v>
      </c>
      <c r="F59" s="14">
        <v>3.7339814999999987</v>
      </c>
      <c r="G59" s="15">
        <v>5.5179434166666672</v>
      </c>
      <c r="H59" s="15">
        <v>12.898553333333334</v>
      </c>
      <c r="I59" s="15">
        <v>5.8085358333333339</v>
      </c>
      <c r="J59" s="16">
        <v>4.6502935833333332</v>
      </c>
      <c r="K59" s="16">
        <v>7.3772110000000017</v>
      </c>
      <c r="L59" s="16">
        <v>7.6436879999999983</v>
      </c>
      <c r="M59" s="16">
        <v>4.1640934166666659</v>
      </c>
      <c r="N59" s="17">
        <v>8.3139896666666697</v>
      </c>
      <c r="O59" s="17">
        <v>9.0578245833333337</v>
      </c>
      <c r="P59" s="17">
        <v>5.0106247499999998</v>
      </c>
      <c r="Q59" s="17">
        <v>10.804658333333334</v>
      </c>
      <c r="T59" s="45">
        <v>9</v>
      </c>
      <c r="U59" s="14">
        <f t="shared" si="29"/>
        <v>6.8663333333320864E-3</v>
      </c>
      <c r="V59" s="14">
        <f t="shared" si="29"/>
        <v>0</v>
      </c>
      <c r="W59" s="14">
        <f t="shared" si="29"/>
        <v>0</v>
      </c>
      <c r="X59" s="14">
        <f t="shared" si="29"/>
        <v>3.6064999999982916E-3</v>
      </c>
      <c r="Y59" s="15">
        <f t="shared" si="29"/>
        <v>1.2080166666667225E-2</v>
      </c>
      <c r="Z59" s="15">
        <f t="shared" si="28"/>
        <v>6.3966666666672722E-3</v>
      </c>
      <c r="AA59" s="15">
        <f t="shared" si="28"/>
        <v>0.111174833333334</v>
      </c>
      <c r="AB59" s="16">
        <f t="shared" si="28"/>
        <v>0.33770441666666606</v>
      </c>
      <c r="AC59" s="16">
        <f t="shared" si="28"/>
        <v>3.1778333333347675E-3</v>
      </c>
      <c r="AD59" s="16">
        <f t="shared" si="28"/>
        <v>0</v>
      </c>
      <c r="AE59" s="16">
        <f t="shared" si="28"/>
        <v>6.2148499999999274E-2</v>
      </c>
      <c r="AF59" s="17">
        <f t="shared" si="28"/>
        <v>1.636666666673392E-4</v>
      </c>
      <c r="AG59" s="17">
        <f t="shared" si="28"/>
        <v>0.30301808333333469</v>
      </c>
      <c r="AH59" s="17">
        <f t="shared" si="28"/>
        <v>0.17090241666666639</v>
      </c>
      <c r="AI59" s="17">
        <f t="shared" si="28"/>
        <v>7.5530833333335323E-2</v>
      </c>
      <c r="AL59">
        <v>4</v>
      </c>
      <c r="AM59">
        <v>9.3873906249999362E-3</v>
      </c>
      <c r="AN59">
        <v>5.1408409722222083E-2</v>
      </c>
      <c r="AO59">
        <v>1.8692213541666863E-2</v>
      </c>
      <c r="AP59">
        <v>6.9136703125000226E-2</v>
      </c>
      <c r="AQ59"/>
      <c r="AR59">
        <v>4</v>
      </c>
      <c r="AS59">
        <v>5.4309806234301428E-3</v>
      </c>
      <c r="AT59">
        <v>1.8295244195158749E-2</v>
      </c>
      <c r="AU59">
        <v>1.4064986812773902E-2</v>
      </c>
      <c r="AV59">
        <v>1.5487558839370856E-2</v>
      </c>
      <c r="BD59" s="81"/>
      <c r="BI59" s="81"/>
    </row>
    <row r="60" spans="2:61" x14ac:dyDescent="0.2">
      <c r="B60" s="45">
        <v>10</v>
      </c>
      <c r="C60" s="14">
        <v>5.5762667499999994</v>
      </c>
      <c r="D60" s="14">
        <v>5.988993999999999</v>
      </c>
      <c r="E60" s="14">
        <v>4.5651360000000007</v>
      </c>
      <c r="F60" s="14">
        <v>3.7398669999999989</v>
      </c>
      <c r="G60" s="15">
        <v>5.5669947499999992</v>
      </c>
      <c r="H60" s="15">
        <v>12.930500000000002</v>
      </c>
      <c r="I60" s="15">
        <v>5.8279037499999999</v>
      </c>
      <c r="J60" s="16">
        <v>4.8269571666666673</v>
      </c>
      <c r="K60" s="16">
        <v>7.3772110000000017</v>
      </c>
      <c r="L60" s="16">
        <v>7.6478901666666674</v>
      </c>
      <c r="M60" s="16">
        <v>4.2096306666666665</v>
      </c>
      <c r="N60" s="17">
        <v>8.334386499999999</v>
      </c>
      <c r="O60" s="17">
        <v>9.2471781666666661</v>
      </c>
      <c r="P60" s="17">
        <v>5.0927159999999994</v>
      </c>
      <c r="Q60" s="17">
        <v>10.8802</v>
      </c>
      <c r="T60" s="45">
        <v>10</v>
      </c>
      <c r="U60" s="14">
        <f t="shared" si="29"/>
        <v>6.8665000000009968E-3</v>
      </c>
      <c r="V60" s="14">
        <f t="shared" si="29"/>
        <v>0</v>
      </c>
      <c r="W60" s="14">
        <f t="shared" si="29"/>
        <v>0</v>
      </c>
      <c r="X60" s="14">
        <f t="shared" si="29"/>
        <v>5.88550000000021E-3</v>
      </c>
      <c r="Y60" s="15">
        <f t="shared" si="29"/>
        <v>4.9051333333332003E-2</v>
      </c>
      <c r="Z60" s="15">
        <f t="shared" si="28"/>
        <v>3.1946666666668122E-2</v>
      </c>
      <c r="AA60" s="15">
        <f t="shared" si="28"/>
        <v>1.9367916666666041E-2</v>
      </c>
      <c r="AB60" s="16">
        <f t="shared" si="28"/>
        <v>0.1766635833333341</v>
      </c>
      <c r="AC60" s="16">
        <f t="shared" si="28"/>
        <v>0</v>
      </c>
      <c r="AD60" s="16">
        <f t="shared" si="28"/>
        <v>4.2021666666691715E-3</v>
      </c>
      <c r="AE60" s="16">
        <f t="shared" ref="AD60:AI98" si="30">M60-M59</f>
        <v>4.553725000000064E-2</v>
      </c>
      <c r="AF60" s="17">
        <f t="shared" si="30"/>
        <v>2.0396833333329312E-2</v>
      </c>
      <c r="AG60" s="17">
        <f t="shared" si="30"/>
        <v>0.18935358333333241</v>
      </c>
      <c r="AH60" s="17">
        <f t="shared" si="30"/>
        <v>8.2091249999999505E-2</v>
      </c>
      <c r="AI60" s="17">
        <f t="shared" si="30"/>
        <v>7.5541666666666174E-2</v>
      </c>
      <c r="AL60">
        <v>5</v>
      </c>
      <c r="AM60">
        <v>8.501489583333216E-3</v>
      </c>
      <c r="AN60">
        <v>0.10013052777777771</v>
      </c>
      <c r="AO60">
        <v>1.7984489583333346E-2</v>
      </c>
      <c r="AP60">
        <v>9.1052765624999671E-2</v>
      </c>
      <c r="AQ60"/>
      <c r="AR60">
        <v>5</v>
      </c>
      <c r="AS60">
        <v>5.6476816800262201E-3</v>
      </c>
      <c r="AT60">
        <v>3.0065667687584913E-3</v>
      </c>
      <c r="AU60">
        <v>1.1092596732313553E-2</v>
      </c>
      <c r="AV60">
        <v>1.2589448730788416E-2</v>
      </c>
      <c r="BD60" s="81"/>
      <c r="BI60" s="81"/>
    </row>
    <row r="61" spans="2:61" x14ac:dyDescent="0.2">
      <c r="B61" s="45">
        <v>11</v>
      </c>
      <c r="C61" s="14">
        <v>5.5831332500000004</v>
      </c>
      <c r="D61" s="14">
        <v>5.988993999999999</v>
      </c>
      <c r="E61" s="14">
        <v>4.5651360000000007</v>
      </c>
      <c r="F61" s="14">
        <v>3.7398669999999989</v>
      </c>
      <c r="G61" s="15">
        <v>5.6337331666666657</v>
      </c>
      <c r="H61" s="15">
        <v>13.035413333333331</v>
      </c>
      <c r="I61" s="15">
        <v>5.84642675</v>
      </c>
      <c r="J61" s="16">
        <v>4.8593764166666675</v>
      </c>
      <c r="K61" s="16">
        <v>7.3772110000000017</v>
      </c>
      <c r="L61" s="16">
        <v>7.7150154166666667</v>
      </c>
      <c r="M61" s="16">
        <v>4.253423999999999</v>
      </c>
      <c r="N61" s="17">
        <v>8.368719333333333</v>
      </c>
      <c r="O61" s="17">
        <v>9.3597664999999992</v>
      </c>
      <c r="P61" s="17">
        <v>5.1837377499999997</v>
      </c>
      <c r="Q61" s="17">
        <v>10.931041666666665</v>
      </c>
      <c r="T61" s="45">
        <v>11</v>
      </c>
      <c r="U61" s="14">
        <f t="shared" si="29"/>
        <v>6.8665000000009968E-3</v>
      </c>
      <c r="V61" s="14">
        <f t="shared" si="29"/>
        <v>0</v>
      </c>
      <c r="W61" s="14">
        <f t="shared" si="29"/>
        <v>0</v>
      </c>
      <c r="X61" s="14">
        <f t="shared" si="29"/>
        <v>0</v>
      </c>
      <c r="Y61" s="15">
        <f t="shared" si="29"/>
        <v>6.6738416666666467E-2</v>
      </c>
      <c r="Z61" s="15">
        <f t="shared" si="29"/>
        <v>0.10491333333332875</v>
      </c>
      <c r="AA61" s="15">
        <f t="shared" si="29"/>
        <v>1.8523000000000067E-2</v>
      </c>
      <c r="AB61" s="16">
        <f t="shared" si="29"/>
        <v>3.2419250000000233E-2</v>
      </c>
      <c r="AC61" s="16">
        <f t="shared" si="29"/>
        <v>0</v>
      </c>
      <c r="AD61" s="16">
        <f t="shared" si="30"/>
        <v>6.7125249999999248E-2</v>
      </c>
      <c r="AE61" s="16">
        <f t="shared" si="30"/>
        <v>4.3793333333332463E-2</v>
      </c>
      <c r="AF61" s="17">
        <f t="shared" si="30"/>
        <v>3.4332833333333923E-2</v>
      </c>
      <c r="AG61" s="17">
        <f t="shared" si="30"/>
        <v>0.11258833333333307</v>
      </c>
      <c r="AH61" s="17">
        <f t="shared" si="30"/>
        <v>9.1021750000000345E-2</v>
      </c>
      <c r="AI61" s="17">
        <f t="shared" si="30"/>
        <v>5.084166666666512E-2</v>
      </c>
      <c r="AL61">
        <v>6</v>
      </c>
      <c r="AM61">
        <v>7.6194635416665379E-3</v>
      </c>
      <c r="AN61">
        <v>7.9428395833333276E-2</v>
      </c>
      <c r="AO61">
        <v>1.7340598958333425E-2</v>
      </c>
      <c r="AP61">
        <v>0.11183265104166679</v>
      </c>
      <c r="AQ61"/>
      <c r="AR61">
        <v>6</v>
      </c>
      <c r="AS61">
        <v>4.5951723554666663E-3</v>
      </c>
      <c r="AT61">
        <v>2.2993093025466396E-2</v>
      </c>
      <c r="AU61">
        <v>5.6827876625770591E-3</v>
      </c>
      <c r="AV61">
        <v>1.7076613143157782E-2</v>
      </c>
      <c r="BD61" s="81"/>
      <c r="BI61" s="81"/>
    </row>
    <row r="62" spans="2:61" x14ac:dyDescent="0.2">
      <c r="B62" s="45">
        <v>12</v>
      </c>
      <c r="C62" s="14">
        <v>5.5899779166666663</v>
      </c>
      <c r="D62" s="14">
        <v>5.988993999999999</v>
      </c>
      <c r="E62" s="14">
        <v>4.5651360000000007</v>
      </c>
      <c r="F62" s="14">
        <v>3.7451865833333335</v>
      </c>
      <c r="G62" s="15">
        <v>5.65656275</v>
      </c>
      <c r="H62" s="15">
        <v>13.052909999999999</v>
      </c>
      <c r="I62" s="15">
        <v>5.8524960000000013</v>
      </c>
      <c r="J62" s="16">
        <v>4.8648090000000002</v>
      </c>
      <c r="K62" s="16">
        <v>7.3772110000000017</v>
      </c>
      <c r="L62" s="16">
        <v>7.8094291666666669</v>
      </c>
      <c r="M62" s="16">
        <v>4.2611879999999989</v>
      </c>
      <c r="N62" s="17">
        <v>8.4030515000000001</v>
      </c>
      <c r="O62" s="17">
        <v>9.4432282500000007</v>
      </c>
      <c r="P62" s="17">
        <v>5.339541333333333</v>
      </c>
      <c r="Q62" s="17">
        <v>10.978232500000003</v>
      </c>
      <c r="T62" s="45">
        <v>12</v>
      </c>
      <c r="U62" s="14">
        <f t="shared" si="29"/>
        <v>6.8446666666659439E-3</v>
      </c>
      <c r="V62" s="14">
        <f t="shared" si="29"/>
        <v>0</v>
      </c>
      <c r="W62" s="14">
        <f t="shared" si="29"/>
        <v>0</v>
      </c>
      <c r="X62" s="14">
        <f t="shared" si="29"/>
        <v>5.3195833333345988E-3</v>
      </c>
      <c r="Y62" s="15">
        <f t="shared" si="29"/>
        <v>2.2829583333334291E-2</v>
      </c>
      <c r="Z62" s="15">
        <f t="shared" si="29"/>
        <v>1.7496666666668048E-2</v>
      </c>
      <c r="AA62" s="15">
        <f t="shared" si="29"/>
        <v>6.0692500000012473E-3</v>
      </c>
      <c r="AB62" s="16">
        <f t="shared" si="29"/>
        <v>5.4325833333326301E-3</v>
      </c>
      <c r="AC62" s="16">
        <f t="shared" si="29"/>
        <v>0</v>
      </c>
      <c r="AD62" s="16">
        <f t="shared" si="30"/>
        <v>9.4413750000000185E-2</v>
      </c>
      <c r="AE62" s="16">
        <f t="shared" si="30"/>
        <v>7.7639999999998821E-3</v>
      </c>
      <c r="AF62" s="17">
        <f t="shared" si="30"/>
        <v>3.4332166666667163E-2</v>
      </c>
      <c r="AG62" s="17">
        <f t="shared" si="30"/>
        <v>8.3461750000001445E-2</v>
      </c>
      <c r="AH62" s="17">
        <f t="shared" si="30"/>
        <v>0.15580358333333333</v>
      </c>
      <c r="AI62" s="17">
        <f t="shared" si="30"/>
        <v>4.7190833333337068E-2</v>
      </c>
      <c r="AL62">
        <v>7</v>
      </c>
      <c r="AM62">
        <v>9.8871718750002113E-3</v>
      </c>
      <c r="AN62">
        <v>9.6671888888888724E-2</v>
      </c>
      <c r="AO62">
        <v>1.8115197916666492E-2</v>
      </c>
      <c r="AP62">
        <v>9.1775427083333472E-2</v>
      </c>
      <c r="AQ62"/>
      <c r="AR62">
        <v>7</v>
      </c>
      <c r="AS62">
        <v>2.6901662011964349E-3</v>
      </c>
      <c r="AT62">
        <v>3.6309423609551116E-3</v>
      </c>
      <c r="AU62">
        <v>5.6652165684591008E-3</v>
      </c>
      <c r="AV62">
        <v>9.6173729436590145E-3</v>
      </c>
      <c r="BD62" s="81"/>
      <c r="BI62" s="81"/>
    </row>
    <row r="63" spans="2:61" x14ac:dyDescent="0.2">
      <c r="B63" s="45">
        <v>13</v>
      </c>
      <c r="C63" s="14">
        <v>5.5996279166666669</v>
      </c>
      <c r="D63" s="14">
        <v>5.988993999999999</v>
      </c>
      <c r="E63" s="14">
        <v>4.5651360000000007</v>
      </c>
      <c r="F63" s="14">
        <v>3.7642330833333335</v>
      </c>
      <c r="G63" s="15">
        <v>5.6840285833333333</v>
      </c>
      <c r="H63" s="15">
        <v>13.052909999999999</v>
      </c>
      <c r="I63" s="15">
        <v>5.8524960000000013</v>
      </c>
      <c r="J63" s="16">
        <v>4.8648090000000002</v>
      </c>
      <c r="K63" s="16">
        <v>7.4185885833333343</v>
      </c>
      <c r="L63" s="16">
        <v>7.8833952500000022</v>
      </c>
      <c r="M63" s="16">
        <v>4.2611879999999989</v>
      </c>
      <c r="N63" s="17">
        <v>8.4373834999999993</v>
      </c>
      <c r="O63" s="17">
        <v>9.5335555833333334</v>
      </c>
      <c r="P63" s="17">
        <v>5.3878839999999997</v>
      </c>
      <c r="Q63" s="17">
        <v>11.032807499999999</v>
      </c>
      <c r="T63" s="45">
        <v>13</v>
      </c>
      <c r="U63" s="14">
        <f t="shared" si="29"/>
        <v>9.6500000000006025E-3</v>
      </c>
      <c r="V63" s="14">
        <f t="shared" si="29"/>
        <v>0</v>
      </c>
      <c r="W63" s="14">
        <f t="shared" si="29"/>
        <v>0</v>
      </c>
      <c r="X63" s="14">
        <f t="shared" si="29"/>
        <v>1.9046499999999966E-2</v>
      </c>
      <c r="Y63" s="15">
        <f t="shared" si="29"/>
        <v>2.74658333333333E-2</v>
      </c>
      <c r="Z63" s="15">
        <f t="shared" si="29"/>
        <v>0</v>
      </c>
      <c r="AA63" s="15">
        <f t="shared" si="29"/>
        <v>0</v>
      </c>
      <c r="AB63" s="16">
        <f t="shared" si="29"/>
        <v>0</v>
      </c>
      <c r="AC63" s="16">
        <f t="shared" si="29"/>
        <v>4.1377583333332524E-2</v>
      </c>
      <c r="AD63" s="16">
        <f t="shared" si="30"/>
        <v>7.396608333333532E-2</v>
      </c>
      <c r="AE63" s="16">
        <f t="shared" si="30"/>
        <v>0</v>
      </c>
      <c r="AF63" s="17">
        <f t="shared" si="30"/>
        <v>3.4331999999999141E-2</v>
      </c>
      <c r="AG63" s="17">
        <f t="shared" si="30"/>
        <v>9.032733333333276E-2</v>
      </c>
      <c r="AH63" s="17">
        <f t="shared" si="30"/>
        <v>4.8342666666666645E-2</v>
      </c>
      <c r="AI63" s="17">
        <f t="shared" si="30"/>
        <v>5.4574999999996265E-2</v>
      </c>
      <c r="AL63">
        <v>8</v>
      </c>
      <c r="AM63">
        <v>1.4753729166666604E-2</v>
      </c>
      <c r="AN63">
        <v>8.4850868055556194E-2</v>
      </c>
      <c r="AO63">
        <v>1.9349682291666476E-2</v>
      </c>
      <c r="AP63">
        <v>9.4321510416666837E-2</v>
      </c>
      <c r="AQ63"/>
      <c r="AR63">
        <v>8</v>
      </c>
      <c r="AS63">
        <v>8.3556468669501137E-3</v>
      </c>
      <c r="AT63">
        <v>2.2626819309860758E-2</v>
      </c>
      <c r="AU63">
        <v>7.5740018065262107E-3</v>
      </c>
      <c r="AV63">
        <v>2.7419997901492518E-2</v>
      </c>
      <c r="BD63" s="81"/>
      <c r="BI63" s="81"/>
    </row>
    <row r="64" spans="2:61" x14ac:dyDescent="0.2">
      <c r="B64" s="45">
        <v>14</v>
      </c>
      <c r="C64" s="14">
        <v>5.6229105833333337</v>
      </c>
      <c r="D64" s="14">
        <v>5.9955818333333326</v>
      </c>
      <c r="E64" s="14">
        <v>4.5651360000000007</v>
      </c>
      <c r="F64" s="14">
        <v>3.7839741666666669</v>
      </c>
      <c r="G64" s="15">
        <v>5.7010427499999992</v>
      </c>
      <c r="H64" s="15">
        <v>13.079298333333334</v>
      </c>
      <c r="I64" s="15">
        <v>5.8524960000000013</v>
      </c>
      <c r="J64" s="16">
        <v>4.8648090000000002</v>
      </c>
      <c r="K64" s="16">
        <v>7.5525161666666669</v>
      </c>
      <c r="L64" s="16">
        <v>7.8889070000000023</v>
      </c>
      <c r="M64" s="16">
        <v>4.2611879999999989</v>
      </c>
      <c r="N64" s="17">
        <v>8.4717157499999995</v>
      </c>
      <c r="O64" s="17">
        <v>9.5740784999999988</v>
      </c>
      <c r="P64" s="17">
        <v>5.3878839999999997</v>
      </c>
      <c r="Q64" s="17">
        <v>11.133672499999998</v>
      </c>
      <c r="T64" s="45">
        <v>14</v>
      </c>
      <c r="U64" s="14">
        <f t="shared" si="29"/>
        <v>2.3282666666666785E-2</v>
      </c>
      <c r="V64" s="14">
        <f t="shared" si="29"/>
        <v>6.5878333333335704E-3</v>
      </c>
      <c r="W64" s="14">
        <f t="shared" si="29"/>
        <v>0</v>
      </c>
      <c r="X64" s="14">
        <f t="shared" si="29"/>
        <v>1.9741083333333354E-2</v>
      </c>
      <c r="Y64" s="15">
        <f t="shared" si="29"/>
        <v>1.7014166666665886E-2</v>
      </c>
      <c r="Z64" s="15">
        <f t="shared" si="29"/>
        <v>2.6388333333335012E-2</v>
      </c>
      <c r="AA64" s="15">
        <f t="shared" si="29"/>
        <v>0</v>
      </c>
      <c r="AB64" s="16">
        <f t="shared" si="29"/>
        <v>0</v>
      </c>
      <c r="AC64" s="16">
        <f t="shared" si="29"/>
        <v>0.13392758333333266</v>
      </c>
      <c r="AD64" s="16">
        <f t="shared" si="30"/>
        <v>5.5117500000001485E-3</v>
      </c>
      <c r="AE64" s="16">
        <f t="shared" si="30"/>
        <v>0</v>
      </c>
      <c r="AF64" s="17">
        <f t="shared" si="30"/>
        <v>3.4332250000000286E-2</v>
      </c>
      <c r="AG64" s="17">
        <f t="shared" si="30"/>
        <v>4.0522916666665409E-2</v>
      </c>
      <c r="AH64" s="17">
        <f t="shared" si="30"/>
        <v>0</v>
      </c>
      <c r="AI64" s="17">
        <f t="shared" si="30"/>
        <v>0.10086499999999887</v>
      </c>
      <c r="AL64">
        <v>9</v>
      </c>
      <c r="AM64">
        <v>1.7035463541666407E-2</v>
      </c>
      <c r="AN64">
        <v>7.6903118055555372E-2</v>
      </c>
      <c r="AO64">
        <v>3.4631916666666623E-2</v>
      </c>
      <c r="AP64">
        <v>0.11997707291666646</v>
      </c>
      <c r="AQ64"/>
      <c r="AR64">
        <v>9</v>
      </c>
      <c r="AS64">
        <v>9.0478862381257914E-3</v>
      </c>
      <c r="AT64">
        <v>3.2287541862624225E-2</v>
      </c>
      <c r="AU64">
        <v>1.8518690772866251E-2</v>
      </c>
      <c r="AV64">
        <v>3.9103451395272756E-2</v>
      </c>
      <c r="BD64" s="81"/>
      <c r="BI64" s="81"/>
    </row>
    <row r="65" spans="2:61" x14ac:dyDescent="0.2">
      <c r="B65" s="45">
        <v>15</v>
      </c>
      <c r="C65" s="14">
        <v>5.6812231666666664</v>
      </c>
      <c r="D65" s="14">
        <v>6.2458153333333328</v>
      </c>
      <c r="E65" s="14">
        <v>4.5755004999999995</v>
      </c>
      <c r="F65" s="14">
        <v>3.8037152499999998</v>
      </c>
      <c r="G65" s="15">
        <v>5.7154575833333334</v>
      </c>
      <c r="H65" s="15">
        <v>13.138196666666666</v>
      </c>
      <c r="I65" s="15">
        <v>5.8524960000000013</v>
      </c>
      <c r="J65" s="16">
        <v>4.8648090000000002</v>
      </c>
      <c r="K65" s="16">
        <v>7.9018804999999999</v>
      </c>
      <c r="L65" s="16">
        <v>7.8889070000000023</v>
      </c>
      <c r="M65" s="16">
        <v>4.2611879999999989</v>
      </c>
      <c r="N65" s="17">
        <v>8.5239584166666678</v>
      </c>
      <c r="O65" s="17">
        <v>9.5946779166666651</v>
      </c>
      <c r="P65" s="17">
        <v>5.3878839999999997</v>
      </c>
      <c r="Q65" s="17">
        <v>11.240102500000001</v>
      </c>
      <c r="T65" s="45">
        <v>15</v>
      </c>
      <c r="U65" s="14">
        <f t="shared" si="29"/>
        <v>5.8312583333332668E-2</v>
      </c>
      <c r="V65" s="14">
        <f t="shared" si="29"/>
        <v>0.25023350000000022</v>
      </c>
      <c r="W65" s="14">
        <f t="shared" si="29"/>
        <v>1.0364499999998777E-2</v>
      </c>
      <c r="X65" s="14">
        <f t="shared" si="29"/>
        <v>1.9741083333332909E-2</v>
      </c>
      <c r="Y65" s="15">
        <f t="shared" si="29"/>
        <v>1.4414833333334265E-2</v>
      </c>
      <c r="Z65" s="15">
        <f t="shared" si="29"/>
        <v>5.889833333333172E-2</v>
      </c>
      <c r="AA65" s="15">
        <f t="shared" si="29"/>
        <v>0</v>
      </c>
      <c r="AB65" s="16">
        <f t="shared" si="29"/>
        <v>0</v>
      </c>
      <c r="AC65" s="16">
        <f t="shared" si="29"/>
        <v>0.34936433333333294</v>
      </c>
      <c r="AD65" s="16">
        <f t="shared" si="30"/>
        <v>0</v>
      </c>
      <c r="AE65" s="16">
        <f t="shared" si="30"/>
        <v>0</v>
      </c>
      <c r="AF65" s="17">
        <f t="shared" si="30"/>
        <v>5.2242666666668214E-2</v>
      </c>
      <c r="AG65" s="17">
        <f t="shared" si="30"/>
        <v>2.0599416666666315E-2</v>
      </c>
      <c r="AH65" s="17">
        <f t="shared" si="30"/>
        <v>0</v>
      </c>
      <c r="AI65" s="17">
        <f t="shared" si="30"/>
        <v>0.10643000000000313</v>
      </c>
      <c r="AL65">
        <v>10</v>
      </c>
      <c r="AM65">
        <v>2.3498838541666803E-2</v>
      </c>
      <c r="AN65">
        <v>3.3319576388888793E-2</v>
      </c>
      <c r="AO65">
        <v>2.9074468750000471E-2</v>
      </c>
      <c r="AP65">
        <v>9.6252197916666504E-2</v>
      </c>
      <c r="AQ65"/>
      <c r="AR65">
        <v>10</v>
      </c>
      <c r="AS65">
        <v>7.2715322004813284E-3</v>
      </c>
      <c r="AT65">
        <v>1.1753272707456739E-2</v>
      </c>
      <c r="AU65">
        <v>8.5522659966385771E-3</v>
      </c>
      <c r="AV65">
        <v>2.0959056183553475E-2</v>
      </c>
      <c r="BD65" s="81"/>
      <c r="BI65" s="81"/>
    </row>
    <row r="66" spans="2:61" x14ac:dyDescent="0.2">
      <c r="B66" s="45">
        <v>16</v>
      </c>
      <c r="C66" s="14">
        <v>5.7643525000000002</v>
      </c>
      <c r="D66" s="14">
        <v>6.6181739166666667</v>
      </c>
      <c r="E66" s="14">
        <v>4.6193065833333327</v>
      </c>
      <c r="F66" s="14">
        <v>3.8232855833333339</v>
      </c>
      <c r="G66" s="15">
        <v>5.7542495833333343</v>
      </c>
      <c r="H66" s="15">
        <v>13.162275000000001</v>
      </c>
      <c r="I66" s="15">
        <v>5.8524960000000013</v>
      </c>
      <c r="J66" s="16">
        <v>4.8648090000000002</v>
      </c>
      <c r="K66" s="16">
        <v>8.1229264166666635</v>
      </c>
      <c r="L66" s="16">
        <v>7.8895030833333353</v>
      </c>
      <c r="M66" s="16">
        <v>4.2611879999999989</v>
      </c>
      <c r="N66" s="17">
        <v>8.6593900000000019</v>
      </c>
      <c r="O66" s="17">
        <v>9.6152773333333332</v>
      </c>
      <c r="P66" s="17">
        <v>5.4352185000000004</v>
      </c>
      <c r="Q66" s="17">
        <v>11.346532500000002</v>
      </c>
      <c r="T66" s="45">
        <v>16</v>
      </c>
      <c r="U66" s="14">
        <f t="shared" si="29"/>
        <v>8.3129333333333832E-2</v>
      </c>
      <c r="V66" s="14">
        <f t="shared" si="29"/>
        <v>0.37235858333333383</v>
      </c>
      <c r="W66" s="14">
        <f t="shared" si="29"/>
        <v>4.3806083333333135E-2</v>
      </c>
      <c r="X66" s="14">
        <f t="shared" si="29"/>
        <v>1.9570333333334133E-2</v>
      </c>
      <c r="Y66" s="15">
        <f t="shared" si="29"/>
        <v>3.8792000000000826E-2</v>
      </c>
      <c r="Z66" s="15">
        <f t="shared" si="29"/>
        <v>2.4078333333335422E-2</v>
      </c>
      <c r="AA66" s="15">
        <f t="shared" si="29"/>
        <v>0</v>
      </c>
      <c r="AB66" s="16">
        <f t="shared" si="29"/>
        <v>0</v>
      </c>
      <c r="AC66" s="16">
        <f t="shared" si="29"/>
        <v>0.22104591666666362</v>
      </c>
      <c r="AD66" s="16">
        <f t="shared" si="30"/>
        <v>5.9608333333294183E-4</v>
      </c>
      <c r="AE66" s="16">
        <f t="shared" si="30"/>
        <v>0</v>
      </c>
      <c r="AF66" s="17">
        <f t="shared" si="30"/>
        <v>0.13543158333333416</v>
      </c>
      <c r="AG66" s="17">
        <f t="shared" si="30"/>
        <v>2.0599416666668091E-2</v>
      </c>
      <c r="AH66" s="17">
        <f t="shared" si="30"/>
        <v>4.7334500000000723E-2</v>
      </c>
      <c r="AI66" s="17">
        <f t="shared" si="30"/>
        <v>0.10643000000000136</v>
      </c>
      <c r="AL66">
        <v>11</v>
      </c>
      <c r="AM66">
        <v>2.4263317708333371E-2</v>
      </c>
      <c r="AN66">
        <v>6.6019673611110816E-2</v>
      </c>
      <c r="AO66">
        <v>2.1541786458333212E-2</v>
      </c>
      <c r="AP66">
        <v>5.7873104166666217E-2</v>
      </c>
      <c r="AQ66"/>
      <c r="AR66">
        <v>11</v>
      </c>
      <c r="AS66">
        <v>6.9566427958693729E-3</v>
      </c>
      <c r="AT66">
        <v>6.0844898312840357E-3</v>
      </c>
      <c r="AU66">
        <v>9.9289087976143879E-3</v>
      </c>
      <c r="AV66">
        <v>2.2954644279716191E-2</v>
      </c>
      <c r="BD66" s="81"/>
      <c r="BI66" s="81"/>
    </row>
    <row r="67" spans="2:61" x14ac:dyDescent="0.2">
      <c r="B67" s="45">
        <v>17</v>
      </c>
      <c r="C67" s="14">
        <v>5.8484664999999998</v>
      </c>
      <c r="D67" s="14">
        <v>6.8500135000000002</v>
      </c>
      <c r="E67" s="14">
        <v>4.6656550833333332</v>
      </c>
      <c r="F67" s="14">
        <v>3.8563628333333333</v>
      </c>
      <c r="G67" s="15">
        <v>5.7937316666666669</v>
      </c>
      <c r="H67" s="15">
        <v>13.1863075</v>
      </c>
      <c r="I67" s="15">
        <v>5.8524960000000013</v>
      </c>
      <c r="J67" s="16">
        <v>4.8648090000000002</v>
      </c>
      <c r="K67" s="16">
        <v>8.169188916666668</v>
      </c>
      <c r="L67" s="16">
        <v>7.9639003333333322</v>
      </c>
      <c r="M67" s="16">
        <v>4.2955034166666666</v>
      </c>
      <c r="N67" s="17">
        <v>8.6715250000000008</v>
      </c>
      <c r="O67" s="17">
        <v>9.635599083333334</v>
      </c>
      <c r="P67" s="17">
        <v>5.5347818333333327</v>
      </c>
      <c r="Q67" s="17">
        <v>11.4529625</v>
      </c>
      <c r="T67" s="45">
        <v>17</v>
      </c>
      <c r="U67" s="14">
        <f t="shared" si="29"/>
        <v>8.4113999999999578E-2</v>
      </c>
      <c r="V67" s="14">
        <f t="shared" si="29"/>
        <v>0.23183958333333354</v>
      </c>
      <c r="W67" s="14">
        <f t="shared" si="29"/>
        <v>4.634850000000057E-2</v>
      </c>
      <c r="X67" s="14">
        <f t="shared" si="29"/>
        <v>3.3077249999999392E-2</v>
      </c>
      <c r="Y67" s="15">
        <f t="shared" si="29"/>
        <v>3.9482083333332696E-2</v>
      </c>
      <c r="Z67" s="15">
        <f t="shared" si="29"/>
        <v>2.4032499999998791E-2</v>
      </c>
      <c r="AA67" s="15">
        <f t="shared" si="29"/>
        <v>0</v>
      </c>
      <c r="AB67" s="16">
        <f t="shared" si="29"/>
        <v>0</v>
      </c>
      <c r="AC67" s="16">
        <f t="shared" si="29"/>
        <v>4.6262500000004536E-2</v>
      </c>
      <c r="AD67" s="16">
        <f t="shared" si="30"/>
        <v>7.4397249999996973E-2</v>
      </c>
      <c r="AE67" s="16">
        <f t="shared" si="30"/>
        <v>3.4315416666667709E-2</v>
      </c>
      <c r="AF67" s="17">
        <f t="shared" si="30"/>
        <v>1.2134999999998897E-2</v>
      </c>
      <c r="AG67" s="17">
        <f t="shared" si="30"/>
        <v>2.0321750000000804E-2</v>
      </c>
      <c r="AH67" s="17">
        <f t="shared" si="30"/>
        <v>9.9563333333332338E-2</v>
      </c>
      <c r="AI67" s="17">
        <f t="shared" si="30"/>
        <v>0.1064299999999978</v>
      </c>
      <c r="AL67">
        <v>12</v>
      </c>
      <c r="AM67">
        <v>2.0737781250000017E-2</v>
      </c>
      <c r="AN67">
        <v>6.0614354166666974E-2</v>
      </c>
      <c r="AO67">
        <v>2.0930786458333295E-2</v>
      </c>
      <c r="AP67">
        <v>6.1987557291667467E-2</v>
      </c>
      <c r="AQ67"/>
      <c r="AR67">
        <v>12</v>
      </c>
      <c r="AS67">
        <v>7.5508600576351314E-3</v>
      </c>
      <c r="AT67">
        <v>9.249504084311775E-3</v>
      </c>
      <c r="AU67">
        <v>1.3843079627262144E-2</v>
      </c>
      <c r="AV67">
        <v>1.6263760516225627E-2</v>
      </c>
      <c r="BD67" s="81"/>
      <c r="BI67" s="81"/>
    </row>
    <row r="68" spans="2:61" x14ac:dyDescent="0.2">
      <c r="B68" s="45">
        <v>18</v>
      </c>
      <c r="C68" s="14">
        <v>5.9233206666666662</v>
      </c>
      <c r="D68" s="14">
        <v>6.9856264166666664</v>
      </c>
      <c r="E68" s="14">
        <v>4.7120037499999992</v>
      </c>
      <c r="F68" s="14">
        <v>3.9915570833333334</v>
      </c>
      <c r="G68" s="15">
        <v>5.8332138333333345</v>
      </c>
      <c r="H68" s="15">
        <v>13.210340833333333</v>
      </c>
      <c r="I68" s="15">
        <v>5.8542744166666667</v>
      </c>
      <c r="J68" s="16">
        <v>4.8648090000000002</v>
      </c>
      <c r="K68" s="16">
        <v>8.1717830000000014</v>
      </c>
      <c r="L68" s="16">
        <v>8.0880279166666664</v>
      </c>
      <c r="M68" s="16">
        <v>4.5654240000000001</v>
      </c>
      <c r="N68" s="17">
        <v>8.6715250000000008</v>
      </c>
      <c r="O68" s="17">
        <v>9.6550340833333319</v>
      </c>
      <c r="P68" s="17">
        <v>5.6343454999999993</v>
      </c>
      <c r="Q68" s="17">
        <v>11.559393333333333</v>
      </c>
      <c r="T68" s="45">
        <v>18</v>
      </c>
      <c r="U68" s="14">
        <f t="shared" si="29"/>
        <v>7.4854166666666444E-2</v>
      </c>
      <c r="V68" s="14">
        <f t="shared" si="29"/>
        <v>0.13561291666666619</v>
      </c>
      <c r="W68" s="14">
        <f t="shared" si="29"/>
        <v>4.6348666666665927E-2</v>
      </c>
      <c r="X68" s="14">
        <f t="shared" si="29"/>
        <v>0.13519425000000007</v>
      </c>
      <c r="Y68" s="15">
        <f t="shared" si="29"/>
        <v>3.9482166666667595E-2</v>
      </c>
      <c r="Z68" s="15">
        <f t="shared" si="29"/>
        <v>2.4033333333333573E-2</v>
      </c>
      <c r="AA68" s="15">
        <f t="shared" si="29"/>
        <v>1.77841666666545E-3</v>
      </c>
      <c r="AB68" s="16">
        <f t="shared" si="29"/>
        <v>0</v>
      </c>
      <c r="AC68" s="16">
        <f t="shared" si="29"/>
        <v>2.5940833333333302E-3</v>
      </c>
      <c r="AD68" s="16">
        <f t="shared" si="30"/>
        <v>0.12412758333333418</v>
      </c>
      <c r="AE68" s="16">
        <f t="shared" si="30"/>
        <v>0.26992058333333357</v>
      </c>
      <c r="AF68" s="17">
        <f t="shared" si="30"/>
        <v>0</v>
      </c>
      <c r="AG68" s="17">
        <f t="shared" si="30"/>
        <v>1.9434999999997871E-2</v>
      </c>
      <c r="AH68" s="17">
        <f t="shared" si="30"/>
        <v>9.9563666666666606E-2</v>
      </c>
      <c r="AI68" s="17">
        <f t="shared" si="30"/>
        <v>0.10643083333333259</v>
      </c>
      <c r="AL68">
        <v>13</v>
      </c>
      <c r="AM68">
        <v>2.2548682291666775E-2</v>
      </c>
      <c r="AN68">
        <v>1.7341652777778067E-2</v>
      </c>
      <c r="AO68">
        <v>2.4943479166666505E-2</v>
      </c>
      <c r="AP68">
        <v>6.5743604166665692E-2</v>
      </c>
      <c r="AQ68"/>
      <c r="AR68">
        <v>13</v>
      </c>
      <c r="AS68">
        <v>7.0048050740569023E-3</v>
      </c>
      <c r="AT68">
        <v>8.9159631822891099E-3</v>
      </c>
      <c r="AU68">
        <v>1.1615949834794187E-2</v>
      </c>
      <c r="AV68">
        <v>1.4535829528482185E-2</v>
      </c>
      <c r="BD68" s="81"/>
      <c r="BI68" s="81"/>
    </row>
    <row r="69" spans="2:61" x14ac:dyDescent="0.2">
      <c r="B69" s="45">
        <v>19</v>
      </c>
      <c r="C69" s="14">
        <v>5.9786643333333336</v>
      </c>
      <c r="D69" s="14">
        <v>7.0682860833333336</v>
      </c>
      <c r="E69" s="14">
        <v>4.7583522500000006</v>
      </c>
      <c r="F69" s="14">
        <v>4.2640485000000004</v>
      </c>
      <c r="G69" s="15">
        <v>5.8726959166666672</v>
      </c>
      <c r="H69" s="15">
        <v>13.234396666666667</v>
      </c>
      <c r="I69" s="15">
        <v>5.8663525833333336</v>
      </c>
      <c r="J69" s="16">
        <v>4.8648090000000002</v>
      </c>
      <c r="K69" s="16">
        <v>8.1717830000000014</v>
      </c>
      <c r="L69" s="16">
        <v>8.2116241666666667</v>
      </c>
      <c r="M69" s="16">
        <v>4.8795642499999996</v>
      </c>
      <c r="N69" s="17">
        <v>8.6715250000000008</v>
      </c>
      <c r="O69" s="17">
        <v>9.6780554166666679</v>
      </c>
      <c r="P69" s="17">
        <v>5.733909333333334</v>
      </c>
      <c r="Q69" s="17">
        <v>11.665823333333334</v>
      </c>
      <c r="T69" s="45">
        <v>19</v>
      </c>
      <c r="U69" s="14">
        <f t="shared" si="29"/>
        <v>5.5343666666667346E-2</v>
      </c>
      <c r="V69" s="14">
        <f t="shared" si="29"/>
        <v>8.2659666666667242E-2</v>
      </c>
      <c r="W69" s="14">
        <f t="shared" si="29"/>
        <v>4.6348500000001458E-2</v>
      </c>
      <c r="X69" s="14">
        <f t="shared" si="29"/>
        <v>0.27249141666666699</v>
      </c>
      <c r="Y69" s="15">
        <f t="shared" si="29"/>
        <v>3.9482083333332696E-2</v>
      </c>
      <c r="Z69" s="15">
        <f t="shared" si="29"/>
        <v>2.4055833333333609E-2</v>
      </c>
      <c r="AA69" s="15">
        <f t="shared" si="29"/>
        <v>1.2078166666666945E-2</v>
      </c>
      <c r="AB69" s="16">
        <f t="shared" si="29"/>
        <v>0</v>
      </c>
      <c r="AC69" s="16">
        <f t="shared" si="29"/>
        <v>0</v>
      </c>
      <c r="AD69" s="16">
        <f t="shared" si="30"/>
        <v>0.1235962500000003</v>
      </c>
      <c r="AE69" s="16">
        <f t="shared" si="30"/>
        <v>0.31414024999999945</v>
      </c>
      <c r="AF69" s="17">
        <f t="shared" si="30"/>
        <v>0</v>
      </c>
      <c r="AG69" s="17">
        <f t="shared" si="30"/>
        <v>2.3021333333336003E-2</v>
      </c>
      <c r="AH69" s="17">
        <f t="shared" si="30"/>
        <v>9.9563833333334628E-2</v>
      </c>
      <c r="AI69" s="17">
        <f t="shared" si="30"/>
        <v>0.10643000000000136</v>
      </c>
      <c r="AL69">
        <v>14</v>
      </c>
      <c r="AM69">
        <v>4.1221854166666461E-2</v>
      </c>
      <c r="AN69">
        <v>2.3772118055555198E-2</v>
      </c>
      <c r="AO69">
        <v>3.6932864583333336E-2</v>
      </c>
      <c r="AP69">
        <v>6.7261036458333867E-2</v>
      </c>
      <c r="AQ69"/>
      <c r="AR69">
        <v>14</v>
      </c>
      <c r="AS69">
        <v>8.2939198162031505E-3</v>
      </c>
      <c r="AT69">
        <v>7.8239149363186732E-3</v>
      </c>
      <c r="AU69">
        <v>1.8088461415401911E-2</v>
      </c>
      <c r="AV69">
        <v>1.2621682667352826E-2</v>
      </c>
      <c r="BD69" s="81"/>
      <c r="BI69" s="81"/>
    </row>
    <row r="70" spans="2:61" x14ac:dyDescent="0.2">
      <c r="B70" s="45">
        <v>20</v>
      </c>
      <c r="C70" s="14">
        <v>6.0322379166666655</v>
      </c>
      <c r="D70" s="14">
        <v>7.0878551666666665</v>
      </c>
      <c r="E70" s="14">
        <v>4.8232101666666667</v>
      </c>
      <c r="F70" s="14">
        <v>4.5404234166666662</v>
      </c>
      <c r="G70" s="15">
        <v>5.9121779999999999</v>
      </c>
      <c r="H70" s="15">
        <v>13.360859166666669</v>
      </c>
      <c r="I70" s="15">
        <v>5.8800854166666658</v>
      </c>
      <c r="J70" s="16">
        <v>4.8648090000000002</v>
      </c>
      <c r="K70" s="16">
        <v>8.1717830000000014</v>
      </c>
      <c r="L70" s="16">
        <v>8.3234289999999991</v>
      </c>
      <c r="M70" s="16">
        <v>5.1672644166666659</v>
      </c>
      <c r="N70" s="17">
        <v>8.6804085000000004</v>
      </c>
      <c r="O70" s="17">
        <v>9.7087325833333331</v>
      </c>
      <c r="P70" s="17">
        <v>5.8334724999999992</v>
      </c>
      <c r="Q70" s="17">
        <v>11.772253333333337</v>
      </c>
      <c r="T70" s="45">
        <v>20</v>
      </c>
      <c r="U70" s="14">
        <f t="shared" si="29"/>
        <v>5.3573583333331953E-2</v>
      </c>
      <c r="V70" s="14">
        <f t="shared" si="29"/>
        <v>1.9569083333332848E-2</v>
      </c>
      <c r="W70" s="14">
        <f t="shared" si="29"/>
        <v>6.4857916666666071E-2</v>
      </c>
      <c r="X70" s="14">
        <f t="shared" si="29"/>
        <v>0.2763749166666658</v>
      </c>
      <c r="Y70" s="15">
        <f t="shared" si="29"/>
        <v>3.9482083333332696E-2</v>
      </c>
      <c r="Z70" s="15">
        <f t="shared" si="29"/>
        <v>0.12646250000000236</v>
      </c>
      <c r="AA70" s="15">
        <f t="shared" si="29"/>
        <v>1.3732833333332195E-2</v>
      </c>
      <c r="AB70" s="16">
        <f t="shared" si="29"/>
        <v>0</v>
      </c>
      <c r="AC70" s="16">
        <f t="shared" si="29"/>
        <v>0</v>
      </c>
      <c r="AD70" s="16">
        <f t="shared" si="30"/>
        <v>0.11180483333333235</v>
      </c>
      <c r="AE70" s="16">
        <f t="shared" si="30"/>
        <v>0.28770016666666631</v>
      </c>
      <c r="AF70" s="17">
        <f t="shared" si="30"/>
        <v>8.8834999999996E-3</v>
      </c>
      <c r="AG70" s="17">
        <f t="shared" si="30"/>
        <v>3.0677166666665201E-2</v>
      </c>
      <c r="AH70" s="17">
        <f t="shared" si="30"/>
        <v>9.9563166666665204E-2</v>
      </c>
      <c r="AI70" s="17">
        <f t="shared" si="30"/>
        <v>0.10643000000000313</v>
      </c>
      <c r="AL70">
        <v>15</v>
      </c>
      <c r="AM70">
        <v>8.2873838541666744E-2</v>
      </c>
      <c r="AN70">
        <v>4.756054861111092E-2</v>
      </c>
      <c r="AO70">
        <v>5.2732812500000115E-2</v>
      </c>
      <c r="AP70">
        <v>6.0260343749999945E-2</v>
      </c>
      <c r="AQ70"/>
      <c r="AR70">
        <v>15</v>
      </c>
      <c r="AS70">
        <v>3.3553698770507616E-2</v>
      </c>
      <c r="AT70">
        <v>2.2099747068414437E-2</v>
      </c>
      <c r="AU70">
        <v>3.927642073342736E-2</v>
      </c>
      <c r="AV70">
        <v>1.6251617274409786E-2</v>
      </c>
      <c r="BD70" s="81"/>
      <c r="BI70" s="81"/>
    </row>
    <row r="71" spans="2:61" x14ac:dyDescent="0.2">
      <c r="B71" s="45">
        <v>21</v>
      </c>
      <c r="C71" s="14">
        <v>6.0487630000000001</v>
      </c>
      <c r="D71" s="14">
        <v>7.0879489999999992</v>
      </c>
      <c r="E71" s="14">
        <v>4.9490604166666667</v>
      </c>
      <c r="F71" s="14">
        <v>4.8167982499999997</v>
      </c>
      <c r="G71" s="15">
        <v>5.9516601666666666</v>
      </c>
      <c r="H71" s="15">
        <v>13.790995833333335</v>
      </c>
      <c r="I71" s="15">
        <v>5.8916697499999984</v>
      </c>
      <c r="J71" s="16">
        <v>4.8648090000000002</v>
      </c>
      <c r="K71" s="16">
        <v>8.1717830000000014</v>
      </c>
      <c r="L71" s="16">
        <v>8.5872605000000011</v>
      </c>
      <c r="M71" s="16">
        <v>5.2532517500000004</v>
      </c>
      <c r="N71" s="17">
        <v>8.7585057499999994</v>
      </c>
      <c r="O71" s="17">
        <v>9.739631666666666</v>
      </c>
      <c r="P71" s="17">
        <v>5.9330364999999992</v>
      </c>
      <c r="Q71" s="17">
        <v>11.869297500000002</v>
      </c>
      <c r="T71" s="45">
        <v>21</v>
      </c>
      <c r="U71" s="14">
        <f t="shared" si="29"/>
        <v>1.6525083333334578E-2</v>
      </c>
      <c r="V71" s="14">
        <f t="shared" si="29"/>
        <v>9.38333333326824E-5</v>
      </c>
      <c r="W71" s="14">
        <f t="shared" si="29"/>
        <v>0.12585025000000005</v>
      </c>
      <c r="X71" s="14">
        <f t="shared" si="29"/>
        <v>0.27637483333333357</v>
      </c>
      <c r="Y71" s="15">
        <f t="shared" si="29"/>
        <v>3.9482166666666707E-2</v>
      </c>
      <c r="Z71" s="15">
        <f t="shared" si="29"/>
        <v>0.43013666666666595</v>
      </c>
      <c r="AA71" s="15">
        <f t="shared" si="29"/>
        <v>1.158433333333253E-2</v>
      </c>
      <c r="AB71" s="16">
        <f t="shared" si="29"/>
        <v>0</v>
      </c>
      <c r="AC71" s="16">
        <f t="shared" si="29"/>
        <v>0</v>
      </c>
      <c r="AD71" s="16">
        <f t="shared" si="30"/>
        <v>0.26383150000000199</v>
      </c>
      <c r="AE71" s="16">
        <f t="shared" si="30"/>
        <v>8.5987333333334526E-2</v>
      </c>
      <c r="AF71" s="17">
        <f t="shared" si="30"/>
        <v>7.8097249999999008E-2</v>
      </c>
      <c r="AG71" s="17">
        <f t="shared" si="30"/>
        <v>3.0899083333332911E-2</v>
      </c>
      <c r="AH71" s="17">
        <f t="shared" si="30"/>
        <v>9.9563999999999986E-2</v>
      </c>
      <c r="AI71" s="17">
        <f t="shared" si="30"/>
        <v>9.7044166666664822E-2</v>
      </c>
      <c r="AL71">
        <v>16</v>
      </c>
      <c r="AM71">
        <v>0.11888734375000004</v>
      </c>
      <c r="AN71">
        <v>3.2317145833333449E-2</v>
      </c>
      <c r="AO71">
        <v>5.802741666666647E-2</v>
      </c>
      <c r="AP71">
        <v>6.3520098958333493E-2</v>
      </c>
      <c r="AQ71"/>
      <c r="AR71">
        <v>16</v>
      </c>
      <c r="AS71">
        <v>5.921040880092187E-2</v>
      </c>
      <c r="AT71">
        <v>1.4160786024716885E-2</v>
      </c>
      <c r="AU71">
        <v>3.1247222441466518E-2</v>
      </c>
      <c r="AV71">
        <v>1.5887733128833906E-2</v>
      </c>
      <c r="BD71" s="81"/>
      <c r="BI71" s="81"/>
    </row>
    <row r="72" spans="2:61" x14ac:dyDescent="0.2">
      <c r="B72" s="45">
        <v>22</v>
      </c>
      <c r="C72" s="14">
        <v>6.0487630000000001</v>
      </c>
      <c r="D72" s="14">
        <v>7.0879489999999992</v>
      </c>
      <c r="E72" s="14">
        <v>5.079523083333334</v>
      </c>
      <c r="F72" s="14">
        <v>4.9514489999999993</v>
      </c>
      <c r="G72" s="15">
        <v>5.9911422499999993</v>
      </c>
      <c r="H72" s="15">
        <v>14.275299999999996</v>
      </c>
      <c r="I72" s="15">
        <v>5.8929959999999992</v>
      </c>
      <c r="J72" s="16">
        <v>4.8648090000000002</v>
      </c>
      <c r="K72" s="16">
        <v>8.1717830000000014</v>
      </c>
      <c r="L72" s="16">
        <v>8.901258416666666</v>
      </c>
      <c r="M72" s="16">
        <v>5.2552880000000002</v>
      </c>
      <c r="N72" s="17">
        <v>8.8238736666666657</v>
      </c>
      <c r="O72" s="17">
        <v>9.7669213333333325</v>
      </c>
      <c r="P72" s="17">
        <v>6.0325998333333333</v>
      </c>
      <c r="Q72" s="17">
        <v>11.887200000000002</v>
      </c>
      <c r="T72" s="45">
        <v>22</v>
      </c>
      <c r="U72" s="14">
        <f t="shared" si="29"/>
        <v>0</v>
      </c>
      <c r="V72" s="14">
        <f t="shared" si="29"/>
        <v>0</v>
      </c>
      <c r="W72" s="14">
        <f t="shared" si="29"/>
        <v>0.13046266666666728</v>
      </c>
      <c r="X72" s="14">
        <f t="shared" si="29"/>
        <v>0.1346507499999996</v>
      </c>
      <c r="Y72" s="15">
        <f t="shared" si="29"/>
        <v>3.9482083333332696E-2</v>
      </c>
      <c r="Z72" s="15">
        <f t="shared" si="29"/>
        <v>0.48430416666666076</v>
      </c>
      <c r="AA72" s="15">
        <f t="shared" si="29"/>
        <v>1.3262500000008615E-3</v>
      </c>
      <c r="AB72" s="16">
        <f t="shared" si="29"/>
        <v>0</v>
      </c>
      <c r="AC72" s="16">
        <f t="shared" si="29"/>
        <v>0</v>
      </c>
      <c r="AD72" s="16">
        <f t="shared" si="30"/>
        <v>0.31399791666666488</v>
      </c>
      <c r="AE72" s="16">
        <f t="shared" si="30"/>
        <v>2.0362499999997397E-3</v>
      </c>
      <c r="AF72" s="17">
        <f t="shared" si="30"/>
        <v>6.5367916666666304E-2</v>
      </c>
      <c r="AG72" s="17">
        <f t="shared" si="30"/>
        <v>2.7289666666666434E-2</v>
      </c>
      <c r="AH72" s="17">
        <f t="shared" si="30"/>
        <v>9.9563333333334114E-2</v>
      </c>
      <c r="AI72" s="17">
        <f t="shared" si="30"/>
        <v>1.7902499999999932E-2</v>
      </c>
      <c r="AL72">
        <v>17</v>
      </c>
      <c r="AM72">
        <v>8.5737015625000051E-2</v>
      </c>
      <c r="AN72">
        <v>5.0495152777777975E-2</v>
      </c>
      <c r="AO72">
        <v>6.5109151041666896E-2</v>
      </c>
      <c r="AP72">
        <v>5.5886968749999877E-2</v>
      </c>
      <c r="AQ72"/>
      <c r="AR72">
        <v>17</v>
      </c>
      <c r="AS72">
        <v>2.8010915525387713E-2</v>
      </c>
      <c r="AT72">
        <v>4.2278907338032995E-2</v>
      </c>
      <c r="AU72">
        <v>2.4231866428363214E-2</v>
      </c>
      <c r="AV72">
        <v>1.2183795156677538E-2</v>
      </c>
      <c r="BD72" s="81"/>
      <c r="BI72" s="81"/>
    </row>
    <row r="73" spans="2:61" x14ac:dyDescent="0.2">
      <c r="B73" s="45">
        <v>23</v>
      </c>
      <c r="C73" s="14">
        <v>6.0487630000000001</v>
      </c>
      <c r="D73" s="14">
        <v>7.0879489999999992</v>
      </c>
      <c r="E73" s="14">
        <v>5.1913799166666665</v>
      </c>
      <c r="F73" s="14">
        <v>4.96288675</v>
      </c>
      <c r="G73" s="15">
        <v>6.0306243333333329</v>
      </c>
      <c r="H73" s="15">
        <v>14.489333333333329</v>
      </c>
      <c r="I73" s="15">
        <v>5.8929959999999992</v>
      </c>
      <c r="J73" s="16">
        <v>4.8648090000000002</v>
      </c>
      <c r="K73" s="16">
        <v>8.1717830000000014</v>
      </c>
      <c r="L73" s="16">
        <v>9.1870738333333328</v>
      </c>
      <c r="M73" s="16">
        <v>5.2552880000000002</v>
      </c>
      <c r="N73" s="17">
        <v>8.8380480000000006</v>
      </c>
      <c r="O73" s="17">
        <v>9.7797503333333324</v>
      </c>
      <c r="P73" s="17">
        <v>6.1321634999999999</v>
      </c>
      <c r="Q73" s="17">
        <v>11.932227499999998</v>
      </c>
      <c r="T73" s="45">
        <v>23</v>
      </c>
      <c r="U73" s="14">
        <f t="shared" si="29"/>
        <v>0</v>
      </c>
      <c r="V73" s="14">
        <f t="shared" si="29"/>
        <v>0</v>
      </c>
      <c r="W73" s="14">
        <f t="shared" si="29"/>
        <v>0.11185683333333252</v>
      </c>
      <c r="X73" s="14">
        <f t="shared" si="29"/>
        <v>1.143775000000069E-2</v>
      </c>
      <c r="Y73" s="15">
        <f t="shared" si="29"/>
        <v>3.9482083333333584E-2</v>
      </c>
      <c r="Z73" s="15">
        <f t="shared" si="29"/>
        <v>0.21403333333333308</v>
      </c>
      <c r="AA73" s="15">
        <f t="shared" si="29"/>
        <v>0</v>
      </c>
      <c r="AB73" s="16">
        <f t="shared" si="29"/>
        <v>0</v>
      </c>
      <c r="AC73" s="16">
        <f t="shared" si="29"/>
        <v>0</v>
      </c>
      <c r="AD73" s="16">
        <f t="shared" si="30"/>
        <v>0.28581541666666688</v>
      </c>
      <c r="AE73" s="16">
        <f t="shared" si="30"/>
        <v>0</v>
      </c>
      <c r="AF73" s="17">
        <f t="shared" si="30"/>
        <v>1.4174333333334843E-2</v>
      </c>
      <c r="AG73" s="17">
        <f t="shared" si="30"/>
        <v>1.2828999999999979E-2</v>
      </c>
      <c r="AH73" s="17">
        <f t="shared" si="30"/>
        <v>9.9563666666666606E-2</v>
      </c>
      <c r="AI73" s="17">
        <f t="shared" si="30"/>
        <v>4.5027499999996223E-2</v>
      </c>
      <c r="AL73">
        <v>18</v>
      </c>
      <c r="AM73">
        <v>8.7375979166666812E-2</v>
      </c>
      <c r="AN73">
        <v>5.2690291666666979E-2</v>
      </c>
      <c r="AO73">
        <v>9.7594286458333568E-2</v>
      </c>
      <c r="AP73">
        <v>4.9044130208333148E-2</v>
      </c>
      <c r="AQ73"/>
      <c r="AR73">
        <v>18</v>
      </c>
      <c r="AS73">
        <v>2.0550655310719961E-2</v>
      </c>
      <c r="AT73">
        <v>4.4600473658915001E-2</v>
      </c>
      <c r="AU73">
        <v>1.690251952224148E-2</v>
      </c>
      <c r="AV73">
        <v>1.5418920638750477E-2</v>
      </c>
      <c r="BD73" s="81"/>
      <c r="BI73" s="81"/>
    </row>
    <row r="74" spans="2:61" x14ac:dyDescent="0.2">
      <c r="B74" s="11">
        <v>0</v>
      </c>
      <c r="C74" s="14">
        <v>6.0487630000000001</v>
      </c>
      <c r="D74" s="14">
        <v>7.0879489999999992</v>
      </c>
      <c r="E74" s="14">
        <v>5.2443934166666653</v>
      </c>
      <c r="F74" s="14">
        <v>4.9817695833333335</v>
      </c>
      <c r="G74" s="15">
        <v>6.0701064999999987</v>
      </c>
      <c r="H74" s="15">
        <v>14.5223125</v>
      </c>
      <c r="I74" s="15">
        <v>5.8929959999999992</v>
      </c>
      <c r="J74" s="16">
        <v>4.8701951666666661</v>
      </c>
      <c r="K74" s="16">
        <v>8.1746823333333332</v>
      </c>
      <c r="L74" s="16">
        <v>9.2710790833333334</v>
      </c>
      <c r="M74" s="16">
        <v>5.2552880000000002</v>
      </c>
      <c r="N74" s="17">
        <v>8.8380480000000006</v>
      </c>
      <c r="O74" s="17">
        <v>9.7799009999999988</v>
      </c>
      <c r="P74" s="17">
        <v>6.2026357499999998</v>
      </c>
      <c r="Q74" s="17">
        <v>12.082420000000001</v>
      </c>
      <c r="T74" s="11">
        <v>0</v>
      </c>
      <c r="U74" s="14">
        <f t="shared" si="29"/>
        <v>0</v>
      </c>
      <c r="V74" s="14">
        <f t="shared" si="29"/>
        <v>0</v>
      </c>
      <c r="W74" s="14">
        <f t="shared" si="29"/>
        <v>5.3013499999998714E-2</v>
      </c>
      <c r="X74" s="14">
        <f t="shared" si="29"/>
        <v>1.8882833333333515E-2</v>
      </c>
      <c r="Y74" s="15">
        <f t="shared" si="29"/>
        <v>3.9482166666665819E-2</v>
      </c>
      <c r="Z74" s="15">
        <f t="shared" si="29"/>
        <v>3.2979166666670778E-2</v>
      </c>
      <c r="AA74" s="15">
        <f t="shared" si="29"/>
        <v>0</v>
      </c>
      <c r="AB74" s="16">
        <f t="shared" si="29"/>
        <v>5.3861666666659147E-3</v>
      </c>
      <c r="AC74" s="16">
        <f t="shared" si="29"/>
        <v>2.8993333333318105E-3</v>
      </c>
      <c r="AD74" s="16">
        <f t="shared" si="30"/>
        <v>8.4005250000000586E-2</v>
      </c>
      <c r="AE74" s="16">
        <f t="shared" si="30"/>
        <v>0</v>
      </c>
      <c r="AF74" s="17">
        <f t="shared" si="30"/>
        <v>0</v>
      </c>
      <c r="AG74" s="17">
        <f t="shared" si="30"/>
        <v>1.5066666666641026E-4</v>
      </c>
      <c r="AH74" s="17">
        <f t="shared" si="30"/>
        <v>7.0472249999999903E-2</v>
      </c>
      <c r="AI74" s="17">
        <f t="shared" si="30"/>
        <v>0.15019250000000284</v>
      </c>
      <c r="AL74">
        <v>19</v>
      </c>
      <c r="AM74">
        <v>8.1203552083333352E-2</v>
      </c>
      <c r="AN74">
        <v>5.9074409722221922E-2</v>
      </c>
      <c r="AO74">
        <v>7.0551442708333245E-2</v>
      </c>
      <c r="AP74">
        <v>5.3161223958333614E-2</v>
      </c>
      <c r="AQ74"/>
      <c r="AR74">
        <v>19</v>
      </c>
      <c r="AS74">
        <v>9.938102599852415E-3</v>
      </c>
      <c r="AT74">
        <v>4.8841917139463731E-2</v>
      </c>
      <c r="AU74">
        <v>2.1527460258952174E-2</v>
      </c>
      <c r="AV74">
        <v>2.5203159236046969E-2</v>
      </c>
      <c r="BD74" s="81"/>
      <c r="BI74" s="81"/>
    </row>
    <row r="75" spans="2:61" x14ac:dyDescent="0.2">
      <c r="B75" s="45">
        <v>1</v>
      </c>
      <c r="C75" s="14">
        <v>6.0487630000000001</v>
      </c>
      <c r="D75" s="14">
        <v>7.0879489999999992</v>
      </c>
      <c r="E75" s="14">
        <v>5.27357575</v>
      </c>
      <c r="F75" s="14">
        <v>5.0006523333333339</v>
      </c>
      <c r="G75" s="15">
        <v>6.1095886666666672</v>
      </c>
      <c r="H75" s="15">
        <v>14.523040000000002</v>
      </c>
      <c r="I75" s="15">
        <v>5.8929959999999992</v>
      </c>
      <c r="J75" s="16">
        <v>4.8785609999999995</v>
      </c>
      <c r="K75" s="16">
        <v>8.2372594166666673</v>
      </c>
      <c r="L75" s="16">
        <v>9.3038043333333338</v>
      </c>
      <c r="M75" s="16">
        <v>5.2552880000000002</v>
      </c>
      <c r="N75" s="17">
        <v>8.8380480000000006</v>
      </c>
      <c r="O75" s="17">
        <v>9.7799009999999988</v>
      </c>
      <c r="P75" s="17">
        <v>6.2053839999999996</v>
      </c>
      <c r="Q75" s="17">
        <v>12.236914166666665</v>
      </c>
      <c r="T75" s="45">
        <v>1</v>
      </c>
      <c r="U75" s="14">
        <f t="shared" si="29"/>
        <v>0</v>
      </c>
      <c r="V75" s="14">
        <f t="shared" si="29"/>
        <v>0</v>
      </c>
      <c r="W75" s="14">
        <f t="shared" si="29"/>
        <v>2.9182333333334753E-2</v>
      </c>
      <c r="X75" s="14">
        <f t="shared" si="29"/>
        <v>1.8882750000000392E-2</v>
      </c>
      <c r="Y75" s="15">
        <f t="shared" ref="Y75:AF98" si="31">G75-G74</f>
        <v>3.9482166666668483E-2</v>
      </c>
      <c r="Z75" s="15">
        <f t="shared" si="31"/>
        <v>7.275000000017684E-4</v>
      </c>
      <c r="AA75" s="15">
        <f t="shared" si="31"/>
        <v>0</v>
      </c>
      <c r="AB75" s="16">
        <f t="shared" si="31"/>
        <v>8.3658333333334056E-3</v>
      </c>
      <c r="AC75" s="16">
        <f t="shared" si="31"/>
        <v>6.2577083333334116E-2</v>
      </c>
      <c r="AD75" s="16">
        <f t="shared" si="30"/>
        <v>3.2725250000000372E-2</v>
      </c>
      <c r="AE75" s="16">
        <f t="shared" si="30"/>
        <v>0</v>
      </c>
      <c r="AF75" s="17">
        <f t="shared" si="30"/>
        <v>0</v>
      </c>
      <c r="AG75" s="17">
        <f t="shared" si="30"/>
        <v>0</v>
      </c>
      <c r="AH75" s="17">
        <f t="shared" si="30"/>
        <v>2.7482499999997856E-3</v>
      </c>
      <c r="AI75" s="17">
        <f t="shared" si="30"/>
        <v>0.15449416666666416</v>
      </c>
      <c r="AL75">
        <v>20</v>
      </c>
      <c r="AM75">
        <v>9.0992916666666201E-2</v>
      </c>
      <c r="AN75">
        <v>7.8411763888888888E-2</v>
      </c>
      <c r="AO75">
        <v>0.11830644270833351</v>
      </c>
      <c r="AP75">
        <v>5.8719270833333281E-2</v>
      </c>
      <c r="AQ75"/>
      <c r="AR75">
        <v>20</v>
      </c>
      <c r="AS75">
        <v>1.0033022747703955E-2</v>
      </c>
      <c r="AT75">
        <v>6.7614204425818322E-2</v>
      </c>
      <c r="AU75">
        <v>4.1954829446634138E-2</v>
      </c>
      <c r="AV75">
        <v>3.1219429843265558E-2</v>
      </c>
      <c r="BD75" s="81"/>
      <c r="BI75" s="81"/>
    </row>
    <row r="76" spans="2:61" x14ac:dyDescent="0.2">
      <c r="B76" s="45">
        <v>2</v>
      </c>
      <c r="C76" s="14">
        <v>6.0491403333333338</v>
      </c>
      <c r="D76" s="14">
        <v>7.0879489999999992</v>
      </c>
      <c r="E76" s="14">
        <v>5.302758250000001</v>
      </c>
      <c r="F76" s="14">
        <v>5.0195350833333334</v>
      </c>
      <c r="G76" s="15">
        <v>6.1490707500000026</v>
      </c>
      <c r="H76" s="15">
        <v>14.523040000000002</v>
      </c>
      <c r="I76" s="15">
        <v>5.8929959999999992</v>
      </c>
      <c r="J76" s="16">
        <v>4.8785609999999995</v>
      </c>
      <c r="K76" s="16">
        <v>8.3515687500000002</v>
      </c>
      <c r="L76" s="16">
        <v>9.3484363333333338</v>
      </c>
      <c r="M76" s="16">
        <v>5.2552880000000002</v>
      </c>
      <c r="N76" s="17">
        <v>8.8380480000000006</v>
      </c>
      <c r="O76" s="17">
        <v>9.7799009999999988</v>
      </c>
      <c r="P76" s="17">
        <v>6.2053839999999996</v>
      </c>
      <c r="Q76" s="17">
        <v>12.39141</v>
      </c>
      <c r="T76" s="45">
        <v>2</v>
      </c>
      <c r="U76" s="14">
        <f t="shared" ref="U76:X98" si="32">C76-C75</f>
        <v>3.7733333333367369E-4</v>
      </c>
      <c r="V76" s="14">
        <f t="shared" si="32"/>
        <v>0</v>
      </c>
      <c r="W76" s="14">
        <f t="shared" si="32"/>
        <v>2.9182500000000999E-2</v>
      </c>
      <c r="X76" s="14">
        <f t="shared" si="32"/>
        <v>1.8882749999999504E-2</v>
      </c>
      <c r="Y76" s="15">
        <f t="shared" si="31"/>
        <v>3.948208333333536E-2</v>
      </c>
      <c r="Z76" s="15">
        <f t="shared" si="31"/>
        <v>0</v>
      </c>
      <c r="AA76" s="15">
        <f t="shared" si="31"/>
        <v>0</v>
      </c>
      <c r="AB76" s="16">
        <f t="shared" si="31"/>
        <v>0</v>
      </c>
      <c r="AC76" s="16">
        <f t="shared" si="31"/>
        <v>0.11430933333333293</v>
      </c>
      <c r="AD76" s="16">
        <f t="shared" si="30"/>
        <v>4.4632000000000005E-2</v>
      </c>
      <c r="AE76" s="16">
        <f t="shared" si="30"/>
        <v>0</v>
      </c>
      <c r="AF76" s="17">
        <f t="shared" si="30"/>
        <v>0</v>
      </c>
      <c r="AG76" s="17">
        <f t="shared" si="30"/>
        <v>0</v>
      </c>
      <c r="AH76" s="17">
        <f t="shared" si="30"/>
        <v>0</v>
      </c>
      <c r="AI76" s="17">
        <f t="shared" si="30"/>
        <v>0.1544958333333355</v>
      </c>
      <c r="AL76">
        <v>21</v>
      </c>
      <c r="AM76">
        <v>9.824895312500076E-2</v>
      </c>
      <c r="AN76">
        <v>0.12447863888888881</v>
      </c>
      <c r="AO76">
        <v>0.14045174479166672</v>
      </c>
      <c r="AP76">
        <v>6.1348067708333731E-2</v>
      </c>
      <c r="AQ76"/>
      <c r="AR76">
        <v>21</v>
      </c>
      <c r="AS76">
        <v>8.3183255600121353E-3</v>
      </c>
      <c r="AT76">
        <v>0.10759185155967217</v>
      </c>
      <c r="AU76">
        <v>5.9479089839671435E-2</v>
      </c>
      <c r="AV76">
        <v>2.1827285713109996E-2</v>
      </c>
      <c r="BD76" s="81"/>
      <c r="BI76" s="81"/>
    </row>
    <row r="77" spans="2:61" x14ac:dyDescent="0.2">
      <c r="B77" s="45">
        <v>3</v>
      </c>
      <c r="C77" s="14">
        <v>6.0518749999999999</v>
      </c>
      <c r="D77" s="14">
        <v>7.0879489999999992</v>
      </c>
      <c r="E77" s="14">
        <v>5.3301695833333325</v>
      </c>
      <c r="F77" s="14">
        <v>5.037723333333334</v>
      </c>
      <c r="G77" s="15">
        <v>6.1809934166666674</v>
      </c>
      <c r="H77" s="15">
        <v>14.523040000000002</v>
      </c>
      <c r="I77" s="15">
        <v>5.8929959999999992</v>
      </c>
      <c r="J77" s="16">
        <v>4.8785609999999995</v>
      </c>
      <c r="K77" s="16">
        <v>8.464845583333334</v>
      </c>
      <c r="L77" s="16">
        <v>9.393068333333332</v>
      </c>
      <c r="M77" s="16">
        <v>5.2552880000000002</v>
      </c>
      <c r="N77" s="17">
        <v>8.8380480000000006</v>
      </c>
      <c r="O77" s="17">
        <v>9.7799009999999988</v>
      </c>
      <c r="P77" s="17">
        <v>6.2053839999999996</v>
      </c>
      <c r="Q77" s="17">
        <v>12.545904999999999</v>
      </c>
      <c r="T77" s="45">
        <v>3</v>
      </c>
      <c r="U77" s="14">
        <f t="shared" si="32"/>
        <v>2.7346666666661079E-3</v>
      </c>
      <c r="V77" s="14">
        <f t="shared" si="32"/>
        <v>0</v>
      </c>
      <c r="W77" s="14">
        <f t="shared" si="32"/>
        <v>2.7411333333331456E-2</v>
      </c>
      <c r="X77" s="14">
        <f t="shared" si="32"/>
        <v>1.8188250000000572E-2</v>
      </c>
      <c r="Y77" s="15">
        <f t="shared" si="31"/>
        <v>3.1922666666664767E-2</v>
      </c>
      <c r="Z77" s="15">
        <f t="shared" si="31"/>
        <v>0</v>
      </c>
      <c r="AA77" s="15">
        <f t="shared" si="31"/>
        <v>0</v>
      </c>
      <c r="AB77" s="16">
        <f t="shared" si="31"/>
        <v>0</v>
      </c>
      <c r="AC77" s="16">
        <f t="shared" si="31"/>
        <v>0.11327683333333383</v>
      </c>
      <c r="AD77" s="16">
        <f t="shared" si="30"/>
        <v>4.4631999999998229E-2</v>
      </c>
      <c r="AE77" s="16">
        <f t="shared" si="30"/>
        <v>0</v>
      </c>
      <c r="AF77" s="17">
        <f t="shared" si="30"/>
        <v>0</v>
      </c>
      <c r="AG77" s="17">
        <f t="shared" si="30"/>
        <v>0</v>
      </c>
      <c r="AH77" s="17">
        <f t="shared" si="30"/>
        <v>0</v>
      </c>
      <c r="AI77" s="17">
        <f t="shared" si="30"/>
        <v>0.15449499999999894</v>
      </c>
      <c r="AL77">
        <v>22</v>
      </c>
      <c r="AM77">
        <v>6.9475671874999867E-2</v>
      </c>
      <c r="AN77">
        <v>0.14268962499999918</v>
      </c>
      <c r="AO77">
        <v>0.12333165104166666</v>
      </c>
      <c r="AP77">
        <v>4.2728354166666482E-2</v>
      </c>
      <c r="AQ77"/>
      <c r="AR77">
        <v>22</v>
      </c>
      <c r="AS77">
        <v>1.1743185599565831E-2</v>
      </c>
      <c r="AT77">
        <v>7.7449197689057434E-2</v>
      </c>
      <c r="AU77">
        <v>3.3348292536977298E-2</v>
      </c>
      <c r="AV77">
        <v>1.1128199051982781E-2</v>
      </c>
      <c r="BD77" s="81"/>
      <c r="BI77" s="81"/>
    </row>
    <row r="78" spans="2:61" x14ac:dyDescent="0.2">
      <c r="B78" s="45">
        <v>4</v>
      </c>
      <c r="C78" s="14">
        <v>6.0518749999999999</v>
      </c>
      <c r="D78" s="14">
        <v>7.0880322500000004</v>
      </c>
      <c r="E78" s="14">
        <v>5.3363549999999984</v>
      </c>
      <c r="F78" s="14">
        <v>5.0427210000000002</v>
      </c>
      <c r="G78" s="15">
        <v>6.1837980000000003</v>
      </c>
      <c r="H78" s="15">
        <v>14.650498333333333</v>
      </c>
      <c r="I78" s="15">
        <v>5.8929959999999992</v>
      </c>
      <c r="J78" s="16">
        <v>4.8785609999999995</v>
      </c>
      <c r="K78" s="16">
        <v>8.5781421666666677</v>
      </c>
      <c r="L78" s="16">
        <v>9.4252830833333316</v>
      </c>
      <c r="M78" s="16">
        <v>5.2580222500000007</v>
      </c>
      <c r="N78" s="17">
        <v>8.8380480000000006</v>
      </c>
      <c r="O78" s="17">
        <v>9.8078453333333329</v>
      </c>
      <c r="P78" s="17">
        <v>6.2053839999999996</v>
      </c>
      <c r="Q78" s="17">
        <v>12.7004</v>
      </c>
      <c r="T78" s="45">
        <v>4</v>
      </c>
      <c r="U78" s="14">
        <f t="shared" si="32"/>
        <v>0</v>
      </c>
      <c r="V78" s="14">
        <f t="shared" si="32"/>
        <v>8.3250000001200419E-5</v>
      </c>
      <c r="W78" s="14">
        <f t="shared" si="32"/>
        <v>6.1854166666659438E-3</v>
      </c>
      <c r="X78" s="14">
        <f t="shared" si="32"/>
        <v>4.9976666666662339E-3</v>
      </c>
      <c r="Y78" s="15">
        <f t="shared" si="31"/>
        <v>2.8045833333329995E-3</v>
      </c>
      <c r="Z78" s="15">
        <f t="shared" si="31"/>
        <v>0.12745833333333145</v>
      </c>
      <c r="AA78" s="15">
        <f t="shared" si="31"/>
        <v>0</v>
      </c>
      <c r="AB78" s="16">
        <f t="shared" si="31"/>
        <v>0</v>
      </c>
      <c r="AC78" s="16">
        <f t="shared" si="31"/>
        <v>0.1132965833333337</v>
      </c>
      <c r="AD78" s="16">
        <f t="shared" si="30"/>
        <v>3.2214749999999626E-2</v>
      </c>
      <c r="AE78" s="16">
        <f t="shared" si="30"/>
        <v>2.7342500000004932E-3</v>
      </c>
      <c r="AF78" s="17">
        <f t="shared" si="30"/>
        <v>0</v>
      </c>
      <c r="AG78" s="17">
        <f t="shared" si="30"/>
        <v>2.7944333333334015E-2</v>
      </c>
      <c r="AH78" s="17">
        <f t="shared" si="30"/>
        <v>0</v>
      </c>
      <c r="AI78" s="17">
        <f t="shared" si="30"/>
        <v>0.15449500000000072</v>
      </c>
      <c r="AL78">
        <v>23</v>
      </c>
      <c r="AM78">
        <v>5.3014687499999949E-2</v>
      </c>
      <c r="AN78">
        <v>0.11682813194444523</v>
      </c>
      <c r="AO78">
        <v>0.13019259374999984</v>
      </c>
      <c r="AP78">
        <v>5.7504333333333157E-2</v>
      </c>
      <c r="AQ78"/>
      <c r="AR78">
        <v>23</v>
      </c>
      <c r="AS78">
        <v>5.7674537082275795E-3</v>
      </c>
      <c r="AT78">
        <v>6.3223624019258781E-2</v>
      </c>
      <c r="AU78">
        <v>4.8279317381567953E-2</v>
      </c>
      <c r="AV78">
        <v>1.2388375181694534E-2</v>
      </c>
      <c r="BD78" s="81"/>
      <c r="BI78" s="81"/>
    </row>
    <row r="79" spans="2:61" x14ac:dyDescent="0.2">
      <c r="B79" s="45">
        <v>5</v>
      </c>
      <c r="C79" s="14">
        <v>6.0518749999999999</v>
      </c>
      <c r="D79" s="14">
        <v>7.0930324166666656</v>
      </c>
      <c r="E79" s="14">
        <v>5.3363549999999984</v>
      </c>
      <c r="F79" s="14">
        <v>5.0427210000000002</v>
      </c>
      <c r="G79" s="15">
        <v>6.1837980000000003</v>
      </c>
      <c r="H79" s="15">
        <v>14.945415833333334</v>
      </c>
      <c r="I79" s="15">
        <v>5.8970865833333335</v>
      </c>
      <c r="J79" s="16">
        <v>4.8785609999999995</v>
      </c>
      <c r="K79" s="16">
        <v>8.6914385833333334</v>
      </c>
      <c r="L79" s="16">
        <v>9.4267229999999991</v>
      </c>
      <c r="M79" s="16">
        <v>5.2739086666666664</v>
      </c>
      <c r="N79" s="17">
        <v>8.8380480000000006</v>
      </c>
      <c r="O79" s="17">
        <v>9.9528329166666669</v>
      </c>
      <c r="P79" s="17">
        <v>6.2062537499999992</v>
      </c>
      <c r="Q79" s="17">
        <v>12.821106666666665</v>
      </c>
      <c r="T79" s="45">
        <v>5</v>
      </c>
      <c r="U79" s="14">
        <f t="shared" si="32"/>
        <v>0</v>
      </c>
      <c r="V79" s="14">
        <f t="shared" si="32"/>
        <v>5.0001666666652511E-3</v>
      </c>
      <c r="W79" s="14">
        <f t="shared" si="32"/>
        <v>0</v>
      </c>
      <c r="X79" s="14">
        <f t="shared" si="32"/>
        <v>0</v>
      </c>
      <c r="Y79" s="15">
        <f t="shared" si="31"/>
        <v>0</v>
      </c>
      <c r="Z79" s="15">
        <f t="shared" si="31"/>
        <v>0.29491750000000039</v>
      </c>
      <c r="AA79" s="15">
        <f t="shared" si="31"/>
        <v>4.0905833333342301E-3</v>
      </c>
      <c r="AB79" s="16">
        <f t="shared" si="31"/>
        <v>0</v>
      </c>
      <c r="AC79" s="16">
        <f t="shared" si="31"/>
        <v>0.11329641666666568</v>
      </c>
      <c r="AD79" s="16">
        <f t="shared" si="30"/>
        <v>1.439916666667429E-3</v>
      </c>
      <c r="AE79" s="16">
        <f t="shared" si="30"/>
        <v>1.5886416666665681E-2</v>
      </c>
      <c r="AF79" s="17">
        <f t="shared" si="30"/>
        <v>0</v>
      </c>
      <c r="AG79" s="17">
        <f t="shared" si="30"/>
        <v>0.14498758333333406</v>
      </c>
      <c r="AH79" s="17">
        <f t="shared" si="30"/>
        <v>8.697499999996694E-4</v>
      </c>
      <c r="AI79" s="17">
        <f t="shared" si="30"/>
        <v>0.12070666666666519</v>
      </c>
      <c r="AL79">
        <v>24</v>
      </c>
      <c r="AM79">
        <v>5.4626833333333236E-2</v>
      </c>
      <c r="AN79">
        <v>0.12124447222222194</v>
      </c>
      <c r="AO79">
        <v>0.10331884895833313</v>
      </c>
      <c r="AP79">
        <v>7.496238541666661E-2</v>
      </c>
      <c r="AQ79"/>
      <c r="AR79">
        <v>24</v>
      </c>
      <c r="AS79">
        <v>3.5380961073661057E-3</v>
      </c>
      <c r="AT79">
        <v>5.507000502733627E-2</v>
      </c>
      <c r="AU79">
        <v>5.3358497754561342E-2</v>
      </c>
      <c r="AV79">
        <v>1.6470734927377325E-2</v>
      </c>
      <c r="BD79" s="81"/>
      <c r="BI79" s="81"/>
    </row>
    <row r="80" spans="2:61" x14ac:dyDescent="0.2">
      <c r="B80" s="45">
        <v>6</v>
      </c>
      <c r="C80" s="14">
        <v>6.0518749999999999</v>
      </c>
      <c r="D80" s="14">
        <v>7.1026785833333337</v>
      </c>
      <c r="E80" s="14">
        <v>5.3363549999999984</v>
      </c>
      <c r="F80" s="14">
        <v>5.0427210000000002</v>
      </c>
      <c r="G80" s="15">
        <v>6.1995509166666674</v>
      </c>
      <c r="H80" s="15">
        <v>15.140926666666665</v>
      </c>
      <c r="I80" s="15">
        <v>5.9793834166666668</v>
      </c>
      <c r="J80" s="16">
        <v>4.8785609999999995</v>
      </c>
      <c r="K80" s="16">
        <v>8.8047351666666671</v>
      </c>
      <c r="L80" s="16">
        <v>9.4267229999999991</v>
      </c>
      <c r="M80" s="16">
        <v>5.2920526666666676</v>
      </c>
      <c r="N80" s="17">
        <v>8.885136833333334</v>
      </c>
      <c r="O80" s="17">
        <v>10.110759999999999</v>
      </c>
      <c r="P80" s="17">
        <v>6.2147487499999992</v>
      </c>
      <c r="Q80" s="17">
        <v>13.114704999999999</v>
      </c>
      <c r="T80" s="45">
        <v>6</v>
      </c>
      <c r="U80" s="14">
        <f t="shared" si="32"/>
        <v>0</v>
      </c>
      <c r="V80" s="14">
        <f t="shared" si="32"/>
        <v>9.6461666666680657E-3</v>
      </c>
      <c r="W80" s="14">
        <f t="shared" si="32"/>
        <v>0</v>
      </c>
      <c r="X80" s="14">
        <f t="shared" si="32"/>
        <v>0</v>
      </c>
      <c r="Y80" s="15">
        <f t="shared" si="31"/>
        <v>1.5752916666667005E-2</v>
      </c>
      <c r="Z80" s="15">
        <f t="shared" si="31"/>
        <v>0.19551083333333175</v>
      </c>
      <c r="AA80" s="15">
        <f t="shared" si="31"/>
        <v>8.2296833333333375E-2</v>
      </c>
      <c r="AB80" s="16">
        <f t="shared" si="31"/>
        <v>0</v>
      </c>
      <c r="AC80" s="16">
        <f t="shared" si="31"/>
        <v>0.1132965833333337</v>
      </c>
      <c r="AD80" s="16">
        <f t="shared" si="30"/>
        <v>0</v>
      </c>
      <c r="AE80" s="16">
        <f t="shared" si="30"/>
        <v>1.814400000000127E-2</v>
      </c>
      <c r="AF80" s="17">
        <f t="shared" si="30"/>
        <v>4.7088833333333469E-2</v>
      </c>
      <c r="AG80" s="17">
        <f t="shared" si="30"/>
        <v>0.15792708333333216</v>
      </c>
      <c r="AH80" s="17">
        <f t="shared" si="30"/>
        <v>8.4949999999999193E-3</v>
      </c>
      <c r="AI80" s="17">
        <f t="shared" si="30"/>
        <v>0.29359833333333363</v>
      </c>
      <c r="BD80" s="81"/>
      <c r="BI80" s="81"/>
    </row>
    <row r="81" spans="2:35" x14ac:dyDescent="0.2">
      <c r="B81" s="45">
        <v>7</v>
      </c>
      <c r="C81" s="14">
        <v>6.0518749999999999</v>
      </c>
      <c r="D81" s="14">
        <v>7.1254249166666659</v>
      </c>
      <c r="E81" s="14">
        <v>5.3363549999999984</v>
      </c>
      <c r="F81" s="14">
        <v>5.0427210000000002</v>
      </c>
      <c r="G81" s="15">
        <v>6.2058066666666667</v>
      </c>
      <c r="H81" s="15">
        <v>15.340055</v>
      </c>
      <c r="I81" s="15">
        <v>6.1754040833333326</v>
      </c>
      <c r="J81" s="16">
        <v>4.8785609999999995</v>
      </c>
      <c r="K81" s="16">
        <v>8.8976231666666674</v>
      </c>
      <c r="L81" s="16">
        <v>9.4267229999999991</v>
      </c>
      <c r="M81" s="16">
        <v>5.3262155</v>
      </c>
      <c r="N81" s="17">
        <v>8.9942682499999993</v>
      </c>
      <c r="O81" s="17">
        <v>10.278258333333335</v>
      </c>
      <c r="P81" s="17">
        <v>6.2232228333333337</v>
      </c>
      <c r="Q81" s="17">
        <v>13.464894999999999</v>
      </c>
      <c r="T81" s="45">
        <v>7</v>
      </c>
      <c r="U81" s="14">
        <f t="shared" si="32"/>
        <v>0</v>
      </c>
      <c r="V81" s="14">
        <f t="shared" si="32"/>
        <v>2.2746333333332203E-2</v>
      </c>
      <c r="W81" s="14">
        <f t="shared" si="32"/>
        <v>0</v>
      </c>
      <c r="X81" s="14">
        <f t="shared" si="32"/>
        <v>0</v>
      </c>
      <c r="Y81" s="15">
        <f t="shared" si="31"/>
        <v>6.2557499999993382E-3</v>
      </c>
      <c r="Z81" s="15">
        <f t="shared" si="31"/>
        <v>0.19912833333333424</v>
      </c>
      <c r="AA81" s="15">
        <f t="shared" si="31"/>
        <v>0.19602066666666573</v>
      </c>
      <c r="AB81" s="16">
        <f t="shared" si="31"/>
        <v>0</v>
      </c>
      <c r="AC81" s="16">
        <f t="shared" si="31"/>
        <v>9.2888000000000304E-2</v>
      </c>
      <c r="AD81" s="16">
        <f t="shared" si="30"/>
        <v>0</v>
      </c>
      <c r="AE81" s="16">
        <f t="shared" si="30"/>
        <v>3.4162833333332365E-2</v>
      </c>
      <c r="AF81" s="17">
        <f t="shared" si="30"/>
        <v>0.10913141666666526</v>
      </c>
      <c r="AG81" s="17">
        <f t="shared" si="30"/>
        <v>0.16749833333333619</v>
      </c>
      <c r="AH81" s="17">
        <f t="shared" si="30"/>
        <v>8.4740833333345478E-3</v>
      </c>
      <c r="AI81" s="17">
        <f t="shared" si="30"/>
        <v>0.35018999999999956</v>
      </c>
    </row>
    <row r="82" spans="2:35" x14ac:dyDescent="0.2">
      <c r="B82" s="45">
        <v>8</v>
      </c>
      <c r="C82" s="14">
        <v>6.0518749999999999</v>
      </c>
      <c r="D82" s="14">
        <v>7.1316098333333349</v>
      </c>
      <c r="E82" s="14">
        <v>5.3363549999999984</v>
      </c>
      <c r="F82" s="14">
        <v>5.0427210000000002</v>
      </c>
      <c r="G82" s="15">
        <v>6.2165136666666667</v>
      </c>
      <c r="H82" s="15">
        <v>15.53918166666667</v>
      </c>
      <c r="I82" s="15">
        <v>6.2454254166666674</v>
      </c>
      <c r="J82" s="16">
        <v>4.8785609999999995</v>
      </c>
      <c r="K82" s="16">
        <v>8.9347525000000001</v>
      </c>
      <c r="L82" s="16">
        <v>9.4267229999999991</v>
      </c>
      <c r="M82" s="16">
        <v>5.3510667500000011</v>
      </c>
      <c r="N82" s="17">
        <v>9.1124107500000004</v>
      </c>
      <c r="O82" s="17">
        <v>10.750730000000003</v>
      </c>
      <c r="P82" s="17">
        <v>6.2323160000000009</v>
      </c>
      <c r="Q82" s="17">
        <v>13.694378333333335</v>
      </c>
      <c r="T82" s="45">
        <v>8</v>
      </c>
      <c r="U82" s="14">
        <f t="shared" si="32"/>
        <v>0</v>
      </c>
      <c r="V82" s="14">
        <f t="shared" si="32"/>
        <v>6.1849166666689825E-3</v>
      </c>
      <c r="W82" s="14">
        <f t="shared" si="32"/>
        <v>0</v>
      </c>
      <c r="X82" s="14">
        <f t="shared" si="32"/>
        <v>0</v>
      </c>
      <c r="Y82" s="15">
        <f t="shared" si="31"/>
        <v>1.0707000000000022E-2</v>
      </c>
      <c r="Z82" s="15">
        <f t="shared" si="31"/>
        <v>0.19912666666667</v>
      </c>
      <c r="AA82" s="15">
        <f t="shared" si="31"/>
        <v>7.0021333333334823E-2</v>
      </c>
      <c r="AB82" s="16">
        <f t="shared" si="31"/>
        <v>0</v>
      </c>
      <c r="AC82" s="16">
        <f t="shared" si="31"/>
        <v>3.7129333333332681E-2</v>
      </c>
      <c r="AD82" s="16">
        <f t="shared" si="30"/>
        <v>0</v>
      </c>
      <c r="AE82" s="16">
        <f t="shared" si="30"/>
        <v>2.4851250000001102E-2</v>
      </c>
      <c r="AF82" s="17">
        <f t="shared" si="30"/>
        <v>0.11814250000000115</v>
      </c>
      <c r="AG82" s="17">
        <f t="shared" si="30"/>
        <v>0.47247166666666729</v>
      </c>
      <c r="AH82" s="17">
        <f t="shared" si="30"/>
        <v>9.0931666666671518E-3</v>
      </c>
      <c r="AI82" s="17">
        <f t="shared" si="30"/>
        <v>0.22948333333333615</v>
      </c>
    </row>
    <row r="83" spans="2:35" x14ac:dyDescent="0.2">
      <c r="B83" s="45">
        <v>9</v>
      </c>
      <c r="C83" s="14">
        <v>6.0518749999999999</v>
      </c>
      <c r="D83" s="14">
        <v>7.135752666666666</v>
      </c>
      <c r="E83" s="14">
        <v>5.3363549999999984</v>
      </c>
      <c r="F83" s="14">
        <v>5.0427210000000002</v>
      </c>
      <c r="G83" s="15">
        <v>6.2285299166666661</v>
      </c>
      <c r="H83" s="15">
        <v>15.734296666666667</v>
      </c>
      <c r="I83" s="15">
        <v>6.271482333333334</v>
      </c>
      <c r="J83" s="16">
        <v>4.8785609999999995</v>
      </c>
      <c r="K83" s="16">
        <v>8.9690666666666647</v>
      </c>
      <c r="L83" s="16">
        <v>9.4267229999999991</v>
      </c>
      <c r="M83" s="16">
        <v>5.3521980000000005</v>
      </c>
      <c r="N83" s="17">
        <v>9.3069969999999973</v>
      </c>
      <c r="O83" s="17">
        <v>11.27869416666667</v>
      </c>
      <c r="P83" s="17">
        <v>6.2408827499999999</v>
      </c>
      <c r="Q83" s="17">
        <v>13.699420000000002</v>
      </c>
      <c r="T83" s="45">
        <v>9</v>
      </c>
      <c r="U83" s="14">
        <f t="shared" si="32"/>
        <v>0</v>
      </c>
      <c r="V83" s="14">
        <f t="shared" si="32"/>
        <v>4.1428333333310974E-3</v>
      </c>
      <c r="W83" s="14">
        <f t="shared" si="32"/>
        <v>0</v>
      </c>
      <c r="X83" s="14">
        <f t="shared" si="32"/>
        <v>0</v>
      </c>
      <c r="Y83" s="15">
        <f t="shared" si="31"/>
        <v>1.2016249999999395E-2</v>
      </c>
      <c r="Z83" s="15">
        <f t="shared" si="31"/>
        <v>0.19511499999999771</v>
      </c>
      <c r="AA83" s="15">
        <f t="shared" si="31"/>
        <v>2.6056916666666652E-2</v>
      </c>
      <c r="AB83" s="16">
        <f t="shared" si="31"/>
        <v>0</v>
      </c>
      <c r="AC83" s="16">
        <f t="shared" si="31"/>
        <v>3.4314166666664647E-2</v>
      </c>
      <c r="AD83" s="16">
        <f t="shared" si="31"/>
        <v>0</v>
      </c>
      <c r="AE83" s="16">
        <f t="shared" si="31"/>
        <v>1.1312499999993619E-3</v>
      </c>
      <c r="AF83" s="17">
        <f t="shared" si="31"/>
        <v>0.19458624999999685</v>
      </c>
      <c r="AG83" s="17">
        <f t="shared" si="30"/>
        <v>0.52796416666666701</v>
      </c>
      <c r="AH83" s="17">
        <f t="shared" si="30"/>
        <v>8.5667499999990682E-3</v>
      </c>
      <c r="AI83" s="17">
        <f t="shared" si="30"/>
        <v>5.0416666666670551E-3</v>
      </c>
    </row>
    <row r="84" spans="2:35" x14ac:dyDescent="0.2">
      <c r="B84" s="45">
        <v>10</v>
      </c>
      <c r="C84" s="14">
        <v>6.0518749999999999</v>
      </c>
      <c r="D84" s="14">
        <v>7.1402244999999986</v>
      </c>
      <c r="E84" s="14">
        <v>5.3363549999999984</v>
      </c>
      <c r="F84" s="14">
        <v>5.0427210000000002</v>
      </c>
      <c r="G84" s="15">
        <v>6.240012666666666</v>
      </c>
      <c r="H84" s="15">
        <v>15.796940000000005</v>
      </c>
      <c r="I84" s="15">
        <v>6.282438</v>
      </c>
      <c r="J84" s="16">
        <v>4.8785609999999995</v>
      </c>
      <c r="K84" s="16">
        <v>8.9925278333333356</v>
      </c>
      <c r="L84" s="16">
        <v>9.4267229999999991</v>
      </c>
      <c r="M84" s="16">
        <v>5.3521980000000005</v>
      </c>
      <c r="N84" s="17">
        <v>9.3481429999999985</v>
      </c>
      <c r="O84" s="17">
        <v>11.340590000000004</v>
      </c>
      <c r="P84" s="17">
        <v>6.2448076666666674</v>
      </c>
      <c r="Q84" s="17">
        <v>13.699420000000002</v>
      </c>
      <c r="T84" s="45">
        <v>10</v>
      </c>
      <c r="U84" s="14">
        <f t="shared" si="32"/>
        <v>0</v>
      </c>
      <c r="V84" s="14">
        <f t="shared" si="32"/>
        <v>4.4718333333326754E-3</v>
      </c>
      <c r="W84" s="14">
        <f t="shared" si="32"/>
        <v>0</v>
      </c>
      <c r="X84" s="14">
        <f t="shared" si="32"/>
        <v>0</v>
      </c>
      <c r="Y84" s="15">
        <f t="shared" si="31"/>
        <v>1.1482749999999875E-2</v>
      </c>
      <c r="Z84" s="15">
        <f t="shared" si="31"/>
        <v>6.2643333333337381E-2</v>
      </c>
      <c r="AA84" s="15">
        <f t="shared" si="31"/>
        <v>1.095566666666592E-2</v>
      </c>
      <c r="AB84" s="16">
        <f t="shared" si="31"/>
        <v>0</v>
      </c>
      <c r="AC84" s="16">
        <f t="shared" si="31"/>
        <v>2.3461166666670863E-2</v>
      </c>
      <c r="AD84" s="16">
        <f t="shared" si="31"/>
        <v>0</v>
      </c>
      <c r="AE84" s="16">
        <f t="shared" si="31"/>
        <v>0</v>
      </c>
      <c r="AF84" s="17">
        <f t="shared" si="31"/>
        <v>4.1146000000001237E-2</v>
      </c>
      <c r="AG84" s="17">
        <f t="shared" si="30"/>
        <v>6.1895833333334593E-2</v>
      </c>
      <c r="AH84" s="17">
        <f t="shared" si="30"/>
        <v>3.9249166666674995E-3</v>
      </c>
      <c r="AI84" s="17">
        <f t="shared" si="30"/>
        <v>0</v>
      </c>
    </row>
    <row r="85" spans="2:35" x14ac:dyDescent="0.2">
      <c r="B85" s="45">
        <v>11</v>
      </c>
      <c r="C85" s="14">
        <v>6.0678269166666672</v>
      </c>
      <c r="D85" s="14">
        <v>7.140833999999999</v>
      </c>
      <c r="E85" s="14">
        <v>5.3363549999999984</v>
      </c>
      <c r="F85" s="14">
        <v>5.0427210000000002</v>
      </c>
      <c r="G85" s="15">
        <v>6.2451892500000001</v>
      </c>
      <c r="H85" s="15">
        <v>15.796940000000005</v>
      </c>
      <c r="I85" s="15">
        <v>6.282438</v>
      </c>
      <c r="J85" s="16">
        <v>4.8785609999999995</v>
      </c>
      <c r="K85" s="16">
        <v>9.0015234999999993</v>
      </c>
      <c r="L85" s="16">
        <v>9.440586500000002</v>
      </c>
      <c r="M85" s="16">
        <v>5.3521980000000005</v>
      </c>
      <c r="N85" s="17">
        <v>9.3481429999999985</v>
      </c>
      <c r="O85" s="17">
        <v>11.364300833333333</v>
      </c>
      <c r="P85" s="17">
        <v>6.2606210000000004</v>
      </c>
      <c r="Q85" s="17">
        <v>13.699420000000002</v>
      </c>
      <c r="T85" s="45">
        <v>11</v>
      </c>
      <c r="U85" s="14">
        <f t="shared" si="32"/>
        <v>1.5951916666667287E-2</v>
      </c>
      <c r="V85" s="14">
        <f t="shared" si="32"/>
        <v>6.0950000000037363E-4</v>
      </c>
      <c r="W85" s="14">
        <f t="shared" si="32"/>
        <v>0</v>
      </c>
      <c r="X85" s="14">
        <f t="shared" si="32"/>
        <v>0</v>
      </c>
      <c r="Y85" s="15">
        <f t="shared" si="31"/>
        <v>5.1765833333341504E-3</v>
      </c>
      <c r="Z85" s="15">
        <f t="shared" si="31"/>
        <v>0</v>
      </c>
      <c r="AA85" s="15">
        <f t="shared" si="31"/>
        <v>0</v>
      </c>
      <c r="AB85" s="16">
        <f t="shared" si="31"/>
        <v>0</v>
      </c>
      <c r="AC85" s="16">
        <f t="shared" si="31"/>
        <v>8.9956666666637375E-3</v>
      </c>
      <c r="AD85" s="16">
        <f t="shared" si="31"/>
        <v>1.3863500000002915E-2</v>
      </c>
      <c r="AE85" s="16">
        <f t="shared" si="31"/>
        <v>0</v>
      </c>
      <c r="AF85" s="17">
        <f t="shared" si="31"/>
        <v>0</v>
      </c>
      <c r="AG85" s="17">
        <f t="shared" si="30"/>
        <v>2.3710833333328907E-2</v>
      </c>
      <c r="AH85" s="17">
        <f t="shared" si="30"/>
        <v>1.5813333333333013E-2</v>
      </c>
      <c r="AI85" s="17">
        <f t="shared" si="30"/>
        <v>0</v>
      </c>
    </row>
    <row r="86" spans="2:35" x14ac:dyDescent="0.2">
      <c r="B86" s="45">
        <v>12</v>
      </c>
      <c r="C86" s="14">
        <v>6.1373147499999989</v>
      </c>
      <c r="D86" s="14">
        <v>7.1537015833333335</v>
      </c>
      <c r="E86" s="14">
        <v>5.3363549999999984</v>
      </c>
      <c r="F86" s="14">
        <v>5.0427210000000002</v>
      </c>
      <c r="G86" s="15">
        <v>6.2486224166666666</v>
      </c>
      <c r="H86" s="15">
        <v>15.796940000000005</v>
      </c>
      <c r="I86" s="15">
        <v>6.282438</v>
      </c>
      <c r="J86" s="16">
        <v>4.8785609999999995</v>
      </c>
      <c r="K86" s="16">
        <v>9.004169000000001</v>
      </c>
      <c r="L86" s="16">
        <v>9.5130024166666676</v>
      </c>
      <c r="M86" s="16">
        <v>5.3521980000000005</v>
      </c>
      <c r="N86" s="17">
        <v>9.3513401666666685</v>
      </c>
      <c r="O86" s="17">
        <v>11.418583333333332</v>
      </c>
      <c r="P86" s="17">
        <v>6.2746710000000006</v>
      </c>
      <c r="Q86" s="17">
        <v>13.727375833333333</v>
      </c>
      <c r="T86" s="45">
        <v>12</v>
      </c>
      <c r="U86" s="14">
        <f t="shared" si="32"/>
        <v>6.948783333333175E-2</v>
      </c>
      <c r="V86" s="14">
        <f t="shared" si="32"/>
        <v>1.2867583333334487E-2</v>
      </c>
      <c r="W86" s="14">
        <f t="shared" si="32"/>
        <v>0</v>
      </c>
      <c r="X86" s="14">
        <f t="shared" si="32"/>
        <v>0</v>
      </c>
      <c r="Y86" s="15">
        <f t="shared" si="31"/>
        <v>3.4331666666664873E-3</v>
      </c>
      <c r="Z86" s="15">
        <f t="shared" si="31"/>
        <v>0</v>
      </c>
      <c r="AA86" s="15">
        <f t="shared" si="31"/>
        <v>0</v>
      </c>
      <c r="AB86" s="16">
        <f t="shared" si="31"/>
        <v>0</v>
      </c>
      <c r="AC86" s="16">
        <f t="shared" si="31"/>
        <v>2.6455000000016327E-3</v>
      </c>
      <c r="AD86" s="16">
        <f t="shared" si="31"/>
        <v>7.2415916666665581E-2</v>
      </c>
      <c r="AE86" s="16">
        <f t="shared" si="31"/>
        <v>0</v>
      </c>
      <c r="AF86" s="17">
        <f t="shared" si="31"/>
        <v>3.197166666669915E-3</v>
      </c>
      <c r="AG86" s="17">
        <f t="shared" si="30"/>
        <v>5.4282499999999345E-2</v>
      </c>
      <c r="AH86" s="17">
        <f t="shared" si="30"/>
        <v>1.4050000000000118E-2</v>
      </c>
      <c r="AI86" s="17">
        <f t="shared" si="30"/>
        <v>2.7955833333331626E-2</v>
      </c>
    </row>
    <row r="87" spans="2:35" x14ac:dyDescent="0.2">
      <c r="B87" s="45">
        <v>13</v>
      </c>
      <c r="C87" s="14">
        <v>6.2053845000000001</v>
      </c>
      <c r="D87" s="14">
        <v>7.2130641666666664</v>
      </c>
      <c r="E87" s="14">
        <v>5.3363549999999984</v>
      </c>
      <c r="F87" s="14">
        <v>5.0502362500000002</v>
      </c>
      <c r="G87" s="15">
        <v>6.2520555833333331</v>
      </c>
      <c r="H87" s="15">
        <v>15.796940000000005</v>
      </c>
      <c r="I87" s="15">
        <v>6.282438</v>
      </c>
      <c r="J87" s="16">
        <v>4.8785609999999995</v>
      </c>
      <c r="K87" s="16">
        <v>9.0557821666666651</v>
      </c>
      <c r="L87" s="16">
        <v>9.591505333333334</v>
      </c>
      <c r="M87" s="16">
        <v>5.3521980000000005</v>
      </c>
      <c r="N87" s="17">
        <v>9.3777026666666661</v>
      </c>
      <c r="O87" s="17">
        <v>11.463443333333332</v>
      </c>
      <c r="P87" s="17">
        <v>6.2788461666666668</v>
      </c>
      <c r="Q87" s="17">
        <v>13.747579999999999</v>
      </c>
      <c r="T87" s="45">
        <v>13</v>
      </c>
      <c r="U87" s="14">
        <f t="shared" si="32"/>
        <v>6.806975000000115E-2</v>
      </c>
      <c r="V87" s="14">
        <f t="shared" si="32"/>
        <v>5.9362583333332886E-2</v>
      </c>
      <c r="W87" s="14">
        <f t="shared" si="32"/>
        <v>0</v>
      </c>
      <c r="X87" s="14">
        <f t="shared" si="32"/>
        <v>7.5152499999999733E-3</v>
      </c>
      <c r="Y87" s="15">
        <f t="shared" si="31"/>
        <v>3.4331666666664873E-3</v>
      </c>
      <c r="Z87" s="15">
        <f t="shared" si="31"/>
        <v>0</v>
      </c>
      <c r="AA87" s="15">
        <f t="shared" si="31"/>
        <v>0</v>
      </c>
      <c r="AB87" s="16">
        <f t="shared" si="31"/>
        <v>0</v>
      </c>
      <c r="AC87" s="16">
        <f t="shared" si="31"/>
        <v>5.1613166666664156E-2</v>
      </c>
      <c r="AD87" s="16">
        <f t="shared" si="31"/>
        <v>7.8502916666666422E-2</v>
      </c>
      <c r="AE87" s="16">
        <f t="shared" si="31"/>
        <v>0</v>
      </c>
      <c r="AF87" s="17">
        <f t="shared" si="31"/>
        <v>2.6362499999997624E-2</v>
      </c>
      <c r="AG87" s="17">
        <f t="shared" si="30"/>
        <v>4.48599999999999E-2</v>
      </c>
      <c r="AH87" s="17">
        <f t="shared" si="30"/>
        <v>4.1751666666662857E-3</v>
      </c>
      <c r="AI87" s="17">
        <f t="shared" si="30"/>
        <v>2.0204166666665913E-2</v>
      </c>
    </row>
    <row r="88" spans="2:35" x14ac:dyDescent="0.2">
      <c r="B88" s="45">
        <v>14</v>
      </c>
      <c r="C88" s="14">
        <v>6.2892094999999992</v>
      </c>
      <c r="D88" s="14">
        <v>7.2765789166666659</v>
      </c>
      <c r="E88" s="14">
        <v>5.3363549999999984</v>
      </c>
      <c r="F88" s="14">
        <v>5.0712630833333323</v>
      </c>
      <c r="G88" s="15">
        <v>6.2543029999999993</v>
      </c>
      <c r="H88" s="15">
        <v>15.818646666666664</v>
      </c>
      <c r="I88" s="15">
        <v>6.282438</v>
      </c>
      <c r="J88" s="16">
        <v>4.8785609999999995</v>
      </c>
      <c r="K88" s="16">
        <v>9.2322025833333328</v>
      </c>
      <c r="L88" s="16">
        <v>9.687521499999999</v>
      </c>
      <c r="M88" s="16">
        <v>5.3521980000000005</v>
      </c>
      <c r="N88" s="17">
        <v>9.4086017500000008</v>
      </c>
      <c r="O88" s="17">
        <v>11.484765000000001</v>
      </c>
      <c r="P88" s="17">
        <v>6.3341150000000006</v>
      </c>
      <c r="Q88" s="17">
        <v>13.757879166666669</v>
      </c>
      <c r="T88" s="45">
        <v>14</v>
      </c>
      <c r="U88" s="14">
        <f t="shared" si="32"/>
        <v>8.382499999999915E-2</v>
      </c>
      <c r="V88" s="14">
        <f t="shared" si="32"/>
        <v>6.3514749999999509E-2</v>
      </c>
      <c r="W88" s="14">
        <f t="shared" si="32"/>
        <v>0</v>
      </c>
      <c r="X88" s="14">
        <f t="shared" si="32"/>
        <v>2.1026833333332107E-2</v>
      </c>
      <c r="Y88" s="15">
        <f t="shared" si="31"/>
        <v>2.2474166666661688E-3</v>
      </c>
      <c r="Z88" s="15">
        <f t="shared" si="31"/>
        <v>2.1706666666659657E-2</v>
      </c>
      <c r="AA88" s="15">
        <f t="shared" si="31"/>
        <v>0</v>
      </c>
      <c r="AB88" s="16">
        <f t="shared" si="31"/>
        <v>0</v>
      </c>
      <c r="AC88" s="16">
        <f t="shared" si="31"/>
        <v>0.17642041666666763</v>
      </c>
      <c r="AD88" s="16">
        <f t="shared" si="31"/>
        <v>9.6016166666665015E-2</v>
      </c>
      <c r="AE88" s="16">
        <f t="shared" si="31"/>
        <v>0</v>
      </c>
      <c r="AF88" s="17">
        <f t="shared" si="31"/>
        <v>3.0899083333334687E-2</v>
      </c>
      <c r="AG88" s="17">
        <f t="shared" si="30"/>
        <v>2.1321666666668904E-2</v>
      </c>
      <c r="AH88" s="17">
        <f t="shared" si="30"/>
        <v>5.5268833333333767E-2</v>
      </c>
      <c r="AI88" s="17">
        <f t="shared" si="30"/>
        <v>1.0299166666669635E-2</v>
      </c>
    </row>
    <row r="89" spans="2:35" x14ac:dyDescent="0.2">
      <c r="B89" s="45">
        <v>15</v>
      </c>
      <c r="C89" s="14">
        <v>6.4643702499999991</v>
      </c>
      <c r="D89" s="14">
        <v>7.3400936666666672</v>
      </c>
      <c r="E89" s="14">
        <v>5.3475626666666658</v>
      </c>
      <c r="F89" s="14">
        <v>5.0751739999999987</v>
      </c>
      <c r="G89" s="15">
        <v>6.2543519999999981</v>
      </c>
      <c r="H89" s="15">
        <v>15.847865833333332</v>
      </c>
      <c r="I89" s="15">
        <v>6.282438</v>
      </c>
      <c r="J89" s="16">
        <v>4.8785609999999995</v>
      </c>
      <c r="K89" s="16">
        <v>9.4141635833333339</v>
      </c>
      <c r="L89" s="16">
        <v>9.6973559999999992</v>
      </c>
      <c r="M89" s="16">
        <v>5.3521980000000005</v>
      </c>
      <c r="N89" s="17">
        <v>9.4395008333333354</v>
      </c>
      <c r="O89" s="17">
        <v>11.505364999999999</v>
      </c>
      <c r="P89" s="17">
        <v>6.4044961666666653</v>
      </c>
      <c r="Q89" s="17">
        <v>13.772589999999999</v>
      </c>
      <c r="T89" s="45">
        <v>15</v>
      </c>
      <c r="U89" s="14">
        <f t="shared" si="32"/>
        <v>0.17516074999999987</v>
      </c>
      <c r="V89" s="14">
        <f t="shared" si="32"/>
        <v>6.3514750000001285E-2</v>
      </c>
      <c r="W89" s="14">
        <f t="shared" si="32"/>
        <v>1.1207666666667393E-2</v>
      </c>
      <c r="X89" s="14">
        <f t="shared" si="32"/>
        <v>3.9109166666664308E-3</v>
      </c>
      <c r="Y89" s="15">
        <f t="shared" si="31"/>
        <v>4.8999999998855515E-5</v>
      </c>
      <c r="Z89" s="15">
        <f t="shared" si="31"/>
        <v>2.9219166666667462E-2</v>
      </c>
      <c r="AA89" s="15">
        <f t="shared" si="31"/>
        <v>0</v>
      </c>
      <c r="AB89" s="16">
        <f t="shared" si="31"/>
        <v>0</v>
      </c>
      <c r="AC89" s="16">
        <f t="shared" si="31"/>
        <v>0.18196100000000115</v>
      </c>
      <c r="AD89" s="16">
        <f t="shared" si="31"/>
        <v>9.8345000000001903E-3</v>
      </c>
      <c r="AE89" s="16">
        <f t="shared" si="31"/>
        <v>0</v>
      </c>
      <c r="AF89" s="17">
        <f t="shared" si="31"/>
        <v>3.0899083333334687E-2</v>
      </c>
      <c r="AG89" s="17">
        <f t="shared" si="30"/>
        <v>2.0599999999998175E-2</v>
      </c>
      <c r="AH89" s="17">
        <f t="shared" si="30"/>
        <v>7.0381166666664718E-2</v>
      </c>
      <c r="AI89" s="17">
        <f t="shared" si="30"/>
        <v>1.4710833333330342E-2</v>
      </c>
    </row>
    <row r="90" spans="2:35" x14ac:dyDescent="0.2">
      <c r="B90" s="45">
        <v>16</v>
      </c>
      <c r="C90" s="14">
        <v>6.6531977499999995</v>
      </c>
      <c r="D90" s="14">
        <v>7.4036082500000013</v>
      </c>
      <c r="E90" s="14">
        <v>5.3920459999999997</v>
      </c>
      <c r="F90" s="14">
        <v>5.0751739999999987</v>
      </c>
      <c r="G90" s="15">
        <v>6.2543519999999981</v>
      </c>
      <c r="H90" s="15">
        <v>15.918113333333332</v>
      </c>
      <c r="I90" s="15">
        <v>6.282438</v>
      </c>
      <c r="J90" s="16">
        <v>4.8785609999999995</v>
      </c>
      <c r="K90" s="16">
        <v>9.5961246666666682</v>
      </c>
      <c r="L90" s="16">
        <v>9.6973559999999992</v>
      </c>
      <c r="M90" s="16">
        <v>5.3521980000000005</v>
      </c>
      <c r="N90" s="17">
        <v>9.4703998333333335</v>
      </c>
      <c r="O90" s="17">
        <v>11.533007499999998</v>
      </c>
      <c r="P90" s="17">
        <v>6.4748773333333327</v>
      </c>
      <c r="Q90" s="17">
        <v>13.790489166666667</v>
      </c>
      <c r="T90" s="45">
        <v>16</v>
      </c>
      <c r="U90" s="14">
        <f t="shared" si="32"/>
        <v>0.18882750000000037</v>
      </c>
      <c r="V90" s="14">
        <f t="shared" si="32"/>
        <v>6.3514583333334151E-2</v>
      </c>
      <c r="W90" s="14">
        <f t="shared" si="32"/>
        <v>4.4483333333333874E-2</v>
      </c>
      <c r="X90" s="14">
        <f t="shared" si="32"/>
        <v>0</v>
      </c>
      <c r="Y90" s="15">
        <f t="shared" si="31"/>
        <v>0</v>
      </c>
      <c r="Z90" s="15">
        <f t="shared" si="31"/>
        <v>7.0247500000000684E-2</v>
      </c>
      <c r="AA90" s="15">
        <f t="shared" si="31"/>
        <v>0</v>
      </c>
      <c r="AB90" s="16">
        <f t="shared" si="31"/>
        <v>0</v>
      </c>
      <c r="AC90" s="16">
        <f t="shared" si="31"/>
        <v>0.18196108333333427</v>
      </c>
      <c r="AD90" s="16">
        <f t="shared" si="31"/>
        <v>0</v>
      </c>
      <c r="AE90" s="16">
        <f t="shared" si="31"/>
        <v>0</v>
      </c>
      <c r="AF90" s="17">
        <f t="shared" si="31"/>
        <v>3.0898999999998011E-2</v>
      </c>
      <c r="AG90" s="17">
        <f t="shared" si="30"/>
        <v>2.7642499999998904E-2</v>
      </c>
      <c r="AH90" s="17">
        <f t="shared" si="30"/>
        <v>7.0381166666667383E-2</v>
      </c>
      <c r="AI90" s="17">
        <f t="shared" si="30"/>
        <v>1.7899166666667909E-2</v>
      </c>
    </row>
    <row r="91" spans="2:35" x14ac:dyDescent="0.2">
      <c r="B91" s="45">
        <v>17</v>
      </c>
      <c r="C91" s="14">
        <v>6.8420252499999998</v>
      </c>
      <c r="D91" s="14">
        <v>7.5138239166666665</v>
      </c>
      <c r="E91" s="14">
        <v>5.4378950000000001</v>
      </c>
      <c r="F91" s="14">
        <v>5.0751739999999987</v>
      </c>
      <c r="G91" s="15">
        <v>6.2543519999999981</v>
      </c>
      <c r="H91" s="15">
        <v>16.030371666666667</v>
      </c>
      <c r="I91" s="15">
        <v>6.282438</v>
      </c>
      <c r="J91" s="16">
        <v>4.8785609999999995</v>
      </c>
      <c r="K91" s="16">
        <v>9.7706756666666674</v>
      </c>
      <c r="L91" s="16">
        <v>9.6973559999999992</v>
      </c>
      <c r="M91" s="16">
        <v>5.3521980000000005</v>
      </c>
      <c r="N91" s="17">
        <v>9.5012989166666664</v>
      </c>
      <c r="O91" s="17">
        <v>11.608125833333334</v>
      </c>
      <c r="P91" s="17">
        <v>6.5250016666666646</v>
      </c>
      <c r="Q91" s="17">
        <v>13.818599999999998</v>
      </c>
      <c r="T91" s="45">
        <v>17</v>
      </c>
      <c r="U91" s="14">
        <f t="shared" si="32"/>
        <v>0.18882750000000037</v>
      </c>
      <c r="V91" s="14">
        <f t="shared" si="32"/>
        <v>0.11021566666666516</v>
      </c>
      <c r="W91" s="14">
        <f t="shared" si="32"/>
        <v>4.5849000000000473E-2</v>
      </c>
      <c r="X91" s="14">
        <f t="shared" si="32"/>
        <v>0</v>
      </c>
      <c r="Y91" s="15">
        <f t="shared" si="31"/>
        <v>0</v>
      </c>
      <c r="Z91" s="15">
        <f t="shared" si="31"/>
        <v>0.1122583333333349</v>
      </c>
      <c r="AA91" s="15">
        <f t="shared" si="31"/>
        <v>0</v>
      </c>
      <c r="AB91" s="16">
        <f t="shared" si="31"/>
        <v>0</v>
      </c>
      <c r="AC91" s="16">
        <f t="shared" si="31"/>
        <v>0.17455099999999923</v>
      </c>
      <c r="AD91" s="16">
        <f t="shared" si="31"/>
        <v>0</v>
      </c>
      <c r="AE91" s="16">
        <f t="shared" si="31"/>
        <v>0</v>
      </c>
      <c r="AF91" s="17">
        <f t="shared" si="31"/>
        <v>3.0899083333332911E-2</v>
      </c>
      <c r="AG91" s="17">
        <f t="shared" si="30"/>
        <v>7.5118333333335841E-2</v>
      </c>
      <c r="AH91" s="17">
        <f t="shared" si="30"/>
        <v>5.0124333333331883E-2</v>
      </c>
      <c r="AI91" s="17">
        <f t="shared" si="30"/>
        <v>2.8110833333331087E-2</v>
      </c>
    </row>
    <row r="92" spans="2:35" x14ac:dyDescent="0.2">
      <c r="B92" s="45">
        <v>18</v>
      </c>
      <c r="C92" s="14">
        <v>7.015519666666667</v>
      </c>
      <c r="D92" s="14">
        <v>7.7478480000000021</v>
      </c>
      <c r="E92" s="14">
        <v>5.4876241666666665</v>
      </c>
      <c r="F92" s="14">
        <v>5.0751739999999987</v>
      </c>
      <c r="G92" s="15">
        <v>6.2544699999999986</v>
      </c>
      <c r="H92" s="15">
        <v>16.134053333333338</v>
      </c>
      <c r="I92" s="15">
        <v>6.282438</v>
      </c>
      <c r="J92" s="16">
        <v>4.8785609999999995</v>
      </c>
      <c r="K92" s="16">
        <v>10.11727066666667</v>
      </c>
      <c r="L92" s="16">
        <v>9.8065584999999995</v>
      </c>
      <c r="M92" s="16">
        <v>5.3521980000000005</v>
      </c>
      <c r="N92" s="17">
        <v>9.5321979166666679</v>
      </c>
      <c r="O92" s="17">
        <v>11.647806666666668</v>
      </c>
      <c r="P92" s="17">
        <v>6.5270469999999969</v>
      </c>
      <c r="Q92" s="17">
        <v>13.925451666666666</v>
      </c>
      <c r="T92" s="45">
        <v>18</v>
      </c>
      <c r="U92" s="14">
        <f t="shared" si="32"/>
        <v>0.17349441666666721</v>
      </c>
      <c r="V92" s="14">
        <f t="shared" si="32"/>
        <v>0.23402408333333558</v>
      </c>
      <c r="W92" s="14">
        <f t="shared" si="32"/>
        <v>4.972916666666638E-2</v>
      </c>
      <c r="X92" s="14">
        <f t="shared" si="32"/>
        <v>0</v>
      </c>
      <c r="Y92" s="15">
        <f t="shared" si="31"/>
        <v>1.1800000000050659E-4</v>
      </c>
      <c r="Z92" s="15">
        <f t="shared" si="31"/>
        <v>0.10368166666667022</v>
      </c>
      <c r="AA92" s="15">
        <f t="shared" si="31"/>
        <v>0</v>
      </c>
      <c r="AB92" s="16">
        <f t="shared" si="31"/>
        <v>0</v>
      </c>
      <c r="AC92" s="16">
        <f t="shared" si="31"/>
        <v>0.34659500000000243</v>
      </c>
      <c r="AD92" s="16">
        <f t="shared" si="31"/>
        <v>0.10920250000000031</v>
      </c>
      <c r="AE92" s="16">
        <f t="shared" si="31"/>
        <v>0</v>
      </c>
      <c r="AF92" s="17">
        <f t="shared" si="31"/>
        <v>3.0899000000001564E-2</v>
      </c>
      <c r="AG92" s="17">
        <f t="shared" si="30"/>
        <v>3.9680833333333609E-2</v>
      </c>
      <c r="AH92" s="17">
        <f t="shared" si="30"/>
        <v>2.0453333333323442E-3</v>
      </c>
      <c r="AI92" s="17">
        <f t="shared" si="30"/>
        <v>0.10685166666666746</v>
      </c>
    </row>
    <row r="93" spans="2:35" x14ac:dyDescent="0.2">
      <c r="B93" s="45">
        <v>19</v>
      </c>
      <c r="C93" s="14">
        <v>7.1532796666666663</v>
      </c>
      <c r="D93" s="14">
        <v>7.7526540000000024</v>
      </c>
      <c r="E93" s="14">
        <v>5.5408391666666672</v>
      </c>
      <c r="F93" s="14">
        <v>5.0751739999999987</v>
      </c>
      <c r="G93" s="15">
        <v>6.2610678333333318</v>
      </c>
      <c r="H93" s="15">
        <v>16.251920000000002</v>
      </c>
      <c r="I93" s="15">
        <v>6.282438</v>
      </c>
      <c r="J93" s="16">
        <v>4.8785609999999995</v>
      </c>
      <c r="K93" s="16">
        <v>10.201220000000001</v>
      </c>
      <c r="L93" s="16">
        <v>10.073120333333334</v>
      </c>
      <c r="M93" s="16">
        <v>5.3521980000000005</v>
      </c>
      <c r="N93" s="17">
        <v>9.5630970000000008</v>
      </c>
      <c r="O93" s="17">
        <v>11.668015000000002</v>
      </c>
      <c r="P93" s="17">
        <v>6.5270469999999969</v>
      </c>
      <c r="Q93" s="17">
        <v>14.076514166666668</v>
      </c>
      <c r="T93" s="45">
        <v>19</v>
      </c>
      <c r="U93" s="14">
        <f t="shared" si="32"/>
        <v>0.13775999999999922</v>
      </c>
      <c r="V93" s="14">
        <f t="shared" si="32"/>
        <v>4.80600000000031E-3</v>
      </c>
      <c r="W93" s="14">
        <f t="shared" si="32"/>
        <v>5.3215000000000678E-2</v>
      </c>
      <c r="X93" s="14">
        <f t="shared" si="32"/>
        <v>0</v>
      </c>
      <c r="Y93" s="15">
        <f t="shared" si="31"/>
        <v>6.5978333333331918E-3</v>
      </c>
      <c r="Z93" s="15">
        <f t="shared" si="31"/>
        <v>0.11786666666666434</v>
      </c>
      <c r="AA93" s="15">
        <f t="shared" si="31"/>
        <v>0</v>
      </c>
      <c r="AB93" s="16">
        <f t="shared" si="31"/>
        <v>0</v>
      </c>
      <c r="AC93" s="16">
        <f t="shared" si="31"/>
        <v>8.3949333333331211E-2</v>
      </c>
      <c r="AD93" s="16">
        <f t="shared" si="31"/>
        <v>0.26656183333333416</v>
      </c>
      <c r="AE93" s="16">
        <f t="shared" si="31"/>
        <v>0</v>
      </c>
      <c r="AF93" s="17">
        <f t="shared" si="31"/>
        <v>3.0899083333332911E-2</v>
      </c>
      <c r="AG93" s="17">
        <f t="shared" si="30"/>
        <v>2.0208333333334494E-2</v>
      </c>
      <c r="AH93" s="17">
        <f t="shared" si="30"/>
        <v>0</v>
      </c>
      <c r="AI93" s="17">
        <f t="shared" si="30"/>
        <v>0.15106250000000188</v>
      </c>
    </row>
    <row r="94" spans="2:35" x14ac:dyDescent="0.2">
      <c r="B94" s="45">
        <v>20</v>
      </c>
      <c r="C94" s="14">
        <v>7.3613442499999993</v>
      </c>
      <c r="D94" s="14">
        <v>7.8461894166666655</v>
      </c>
      <c r="E94" s="14">
        <v>5.5954827499999995</v>
      </c>
      <c r="F94" s="14">
        <v>5.0751739999999987</v>
      </c>
      <c r="G94" s="15">
        <v>6.2713675000000002</v>
      </c>
      <c r="H94" s="15">
        <v>16.548792500000001</v>
      </c>
      <c r="I94" s="15">
        <v>6.282438</v>
      </c>
      <c r="J94" s="16">
        <v>5.0374075000000005</v>
      </c>
      <c r="K94" s="16">
        <v>10.201220000000001</v>
      </c>
      <c r="L94" s="16">
        <v>10.340911666666669</v>
      </c>
      <c r="M94" s="16">
        <v>5.3521980000000005</v>
      </c>
      <c r="N94" s="17">
        <v>9.593996083333332</v>
      </c>
      <c r="O94" s="17">
        <v>11.676849166666665</v>
      </c>
      <c r="P94" s="17">
        <v>6.529921916666666</v>
      </c>
      <c r="Q94" s="17">
        <v>14.227576666666666</v>
      </c>
      <c r="T94" s="45">
        <v>20</v>
      </c>
      <c r="U94" s="14">
        <f t="shared" si="32"/>
        <v>0.208064583333333</v>
      </c>
      <c r="V94" s="14">
        <f t="shared" si="32"/>
        <v>9.3535416666663096E-2</v>
      </c>
      <c r="W94" s="14">
        <f t="shared" si="32"/>
        <v>5.4643583333332302E-2</v>
      </c>
      <c r="X94" s="14">
        <f t="shared" si="32"/>
        <v>0</v>
      </c>
      <c r="Y94" s="15">
        <f t="shared" si="31"/>
        <v>1.0299666666668372E-2</v>
      </c>
      <c r="Z94" s="15">
        <f t="shared" si="31"/>
        <v>0.29687249999999921</v>
      </c>
      <c r="AA94" s="15">
        <f t="shared" si="31"/>
        <v>0</v>
      </c>
      <c r="AB94" s="16">
        <f t="shared" si="31"/>
        <v>0.158846500000001</v>
      </c>
      <c r="AC94" s="16">
        <f t="shared" si="31"/>
        <v>0</v>
      </c>
      <c r="AD94" s="16">
        <f t="shared" si="31"/>
        <v>0.26779133333333505</v>
      </c>
      <c r="AE94" s="16">
        <f t="shared" si="31"/>
        <v>0</v>
      </c>
      <c r="AF94" s="17">
        <f t="shared" si="31"/>
        <v>3.0899083333331134E-2</v>
      </c>
      <c r="AG94" s="17">
        <f t="shared" si="30"/>
        <v>8.8341666666629237E-3</v>
      </c>
      <c r="AH94" s="17">
        <f t="shared" si="30"/>
        <v>2.8749166666690584E-3</v>
      </c>
      <c r="AI94" s="17">
        <f t="shared" si="30"/>
        <v>0.15106249999999832</v>
      </c>
    </row>
    <row r="95" spans="2:35" x14ac:dyDescent="0.2">
      <c r="B95" s="45">
        <v>21</v>
      </c>
      <c r="C95" s="14">
        <v>7.5076650833333352</v>
      </c>
      <c r="D95" s="14">
        <v>8.130090749999999</v>
      </c>
      <c r="E95" s="14">
        <v>5.6824444166666668</v>
      </c>
      <c r="F95" s="14">
        <v>5.0894744166666674</v>
      </c>
      <c r="G95" s="15">
        <v>6.2816672500000008</v>
      </c>
      <c r="H95" s="15">
        <v>17.154465000000002</v>
      </c>
      <c r="I95" s="15">
        <v>6.282438</v>
      </c>
      <c r="J95" s="16">
        <v>5.3060012500000004</v>
      </c>
      <c r="K95" s="16">
        <v>10.201220000000001</v>
      </c>
      <c r="L95" s="16">
        <v>10.575733333333334</v>
      </c>
      <c r="M95" s="16">
        <v>5.3521980000000005</v>
      </c>
      <c r="N95" s="17">
        <v>9.6248950833333335</v>
      </c>
      <c r="O95" s="17">
        <v>11.692066666666667</v>
      </c>
      <c r="P95" s="17">
        <v>6.5495338333333342</v>
      </c>
      <c r="Q95" s="17">
        <v>14.378639166666666</v>
      </c>
      <c r="T95" s="45">
        <v>21</v>
      </c>
      <c r="U95" s="14">
        <f t="shared" si="32"/>
        <v>0.1463208333333359</v>
      </c>
      <c r="V95" s="14">
        <f t="shared" si="32"/>
        <v>0.28390133333333356</v>
      </c>
      <c r="W95" s="14">
        <f t="shared" si="32"/>
        <v>8.696166666666727E-2</v>
      </c>
      <c r="X95" s="14">
        <f t="shared" si="32"/>
        <v>1.4300416666668703E-2</v>
      </c>
      <c r="Y95" s="15">
        <f t="shared" si="31"/>
        <v>1.0299750000000607E-2</v>
      </c>
      <c r="Z95" s="15">
        <f t="shared" si="31"/>
        <v>0.60567250000000072</v>
      </c>
      <c r="AA95" s="15">
        <f t="shared" si="31"/>
        <v>0</v>
      </c>
      <c r="AB95" s="16">
        <f t="shared" si="31"/>
        <v>0.26859374999999996</v>
      </c>
      <c r="AC95" s="16">
        <f t="shared" si="31"/>
        <v>0</v>
      </c>
      <c r="AD95" s="16">
        <f t="shared" si="31"/>
        <v>0.23482166666666515</v>
      </c>
      <c r="AE95" s="16">
        <f t="shared" si="31"/>
        <v>0</v>
      </c>
      <c r="AF95" s="17">
        <f t="shared" si="31"/>
        <v>3.0899000000001564E-2</v>
      </c>
      <c r="AG95" s="17">
        <f t="shared" si="30"/>
        <v>1.5217500000002104E-2</v>
      </c>
      <c r="AH95" s="17">
        <f t="shared" si="30"/>
        <v>1.9611916666668172E-2</v>
      </c>
      <c r="AI95" s="17">
        <f t="shared" si="30"/>
        <v>0.1510625000000001</v>
      </c>
    </row>
    <row r="96" spans="2:35" x14ac:dyDescent="0.2">
      <c r="B96" s="45">
        <v>22</v>
      </c>
      <c r="C96" s="14">
        <v>7.5358860000000005</v>
      </c>
      <c r="D96" s="14">
        <v>8.2839775000000007</v>
      </c>
      <c r="E96" s="14">
        <v>5.7986739999999992</v>
      </c>
      <c r="F96" s="14">
        <v>5.100625</v>
      </c>
      <c r="G96" s="15">
        <v>6.2919669166666674</v>
      </c>
      <c r="H96" s="15">
        <v>17.479958333333332</v>
      </c>
      <c r="I96" s="15">
        <v>6.2848759999999997</v>
      </c>
      <c r="J96" s="16">
        <v>5.5065765000000004</v>
      </c>
      <c r="K96" s="16">
        <v>10.201220000000001</v>
      </c>
      <c r="L96" s="16">
        <v>10.709938333333334</v>
      </c>
      <c r="M96" s="16">
        <v>5.3521980000000005</v>
      </c>
      <c r="N96" s="17">
        <v>9.6557941666666682</v>
      </c>
      <c r="O96" s="17">
        <v>11.726311666666666</v>
      </c>
      <c r="P96" s="17">
        <v>6.5718498333333342</v>
      </c>
      <c r="Q96" s="17">
        <v>14.485314999999998</v>
      </c>
      <c r="T96" s="45">
        <v>22</v>
      </c>
      <c r="U96" s="14">
        <f t="shared" si="32"/>
        <v>2.8220916666665374E-2</v>
      </c>
      <c r="V96" s="14">
        <f t="shared" si="32"/>
        <v>0.15388675000000163</v>
      </c>
      <c r="W96" s="14">
        <f t="shared" si="32"/>
        <v>0.11622958333333244</v>
      </c>
      <c r="X96" s="14">
        <f t="shared" si="32"/>
        <v>1.115058333333252E-2</v>
      </c>
      <c r="Y96" s="15">
        <f t="shared" si="31"/>
        <v>1.0299666666666596E-2</v>
      </c>
      <c r="Z96" s="15">
        <f t="shared" si="31"/>
        <v>0.32549333333333053</v>
      </c>
      <c r="AA96" s="15">
        <f t="shared" si="31"/>
        <v>2.4379999999997182E-3</v>
      </c>
      <c r="AB96" s="16">
        <f t="shared" si="31"/>
        <v>0.20057524999999998</v>
      </c>
      <c r="AC96" s="16">
        <f t="shared" si="31"/>
        <v>0</v>
      </c>
      <c r="AD96" s="16">
        <f t="shared" si="31"/>
        <v>0.13420499999999969</v>
      </c>
      <c r="AE96" s="16">
        <f t="shared" si="31"/>
        <v>0</v>
      </c>
      <c r="AF96" s="17">
        <f t="shared" si="31"/>
        <v>3.0899083333334687E-2</v>
      </c>
      <c r="AG96" s="17">
        <f t="shared" si="30"/>
        <v>3.4244999999998527E-2</v>
      </c>
      <c r="AH96" s="17">
        <f t="shared" si="30"/>
        <v>2.2316000000000003E-2</v>
      </c>
      <c r="AI96" s="17">
        <f t="shared" si="30"/>
        <v>0.10667583333333219</v>
      </c>
    </row>
    <row r="97" spans="2:35" x14ac:dyDescent="0.2">
      <c r="B97" s="45">
        <v>23</v>
      </c>
      <c r="C97" s="14">
        <v>7.5358860000000005</v>
      </c>
      <c r="D97" s="14">
        <v>8.4138604166666671</v>
      </c>
      <c r="E97" s="14">
        <v>5.9145960833333326</v>
      </c>
      <c r="F97" s="14">
        <v>5.100625</v>
      </c>
      <c r="G97" s="15">
        <v>6.3017764999999999</v>
      </c>
      <c r="H97" s="15">
        <v>17.732489166666667</v>
      </c>
      <c r="I97" s="15">
        <v>6.3053121666666669</v>
      </c>
      <c r="J97" s="16">
        <v>5.7000980000000006</v>
      </c>
      <c r="K97" s="16">
        <v>10.203019166666667</v>
      </c>
      <c r="L97" s="16">
        <v>10.98706</v>
      </c>
      <c r="M97" s="16">
        <v>5.3521980000000005</v>
      </c>
      <c r="N97" s="17">
        <v>9.6866931666666662</v>
      </c>
      <c r="O97" s="17">
        <v>11.856530833333336</v>
      </c>
      <c r="P97" s="17">
        <v>6.5941658333333342</v>
      </c>
      <c r="Q97" s="17">
        <v>14.534642499999997</v>
      </c>
      <c r="T97" s="45">
        <v>23</v>
      </c>
      <c r="U97" s="14">
        <f t="shared" si="32"/>
        <v>0</v>
      </c>
      <c r="V97" s="14">
        <f t="shared" si="32"/>
        <v>0.1298829166666664</v>
      </c>
      <c r="W97" s="14">
        <f t="shared" si="32"/>
        <v>0.11592208333333343</v>
      </c>
      <c r="X97" s="14">
        <f t="shared" si="32"/>
        <v>0</v>
      </c>
      <c r="Y97" s="15">
        <f t="shared" si="31"/>
        <v>9.8095833333324833E-3</v>
      </c>
      <c r="Z97" s="15">
        <f t="shared" si="31"/>
        <v>0.25253083333333493</v>
      </c>
      <c r="AA97" s="15">
        <f t="shared" si="31"/>
        <v>2.0436166666667255E-2</v>
      </c>
      <c r="AB97" s="16">
        <f t="shared" si="31"/>
        <v>0.19352150000000012</v>
      </c>
      <c r="AC97" s="16">
        <f t="shared" si="31"/>
        <v>1.7991666666663519E-3</v>
      </c>
      <c r="AD97" s="16">
        <f t="shared" si="31"/>
        <v>0.27712166666666604</v>
      </c>
      <c r="AE97" s="16">
        <f t="shared" si="31"/>
        <v>0</v>
      </c>
      <c r="AF97" s="17">
        <f t="shared" si="31"/>
        <v>3.0898999999998011E-2</v>
      </c>
      <c r="AG97" s="17">
        <f t="shared" si="30"/>
        <v>0.13021916666667011</v>
      </c>
      <c r="AH97" s="17">
        <f t="shared" si="30"/>
        <v>2.2316000000000003E-2</v>
      </c>
      <c r="AI97" s="17">
        <f t="shared" si="30"/>
        <v>4.9327499999998636E-2</v>
      </c>
    </row>
    <row r="98" spans="2:35" x14ac:dyDescent="0.2">
      <c r="B98" s="13">
        <v>0</v>
      </c>
      <c r="C98" s="14">
        <v>7.5358860000000005</v>
      </c>
      <c r="D98" s="14">
        <v>8.5305534166666668</v>
      </c>
      <c r="E98" s="14">
        <v>6.084472166666667</v>
      </c>
      <c r="F98" s="14">
        <v>5.1183676666666669</v>
      </c>
      <c r="G98" s="15">
        <v>6.3102815833333326</v>
      </c>
      <c r="H98" s="15">
        <v>18.267436666666665</v>
      </c>
      <c r="I98" s="15">
        <v>6.3293448333333338</v>
      </c>
      <c r="J98" s="16">
        <v>5.7534470000000004</v>
      </c>
      <c r="K98" s="16">
        <v>10.360183333333334</v>
      </c>
      <c r="L98" s="16">
        <v>11.171399166666667</v>
      </c>
      <c r="M98" s="16">
        <v>5.3521980000000005</v>
      </c>
      <c r="N98" s="17">
        <v>9.7175922499999992</v>
      </c>
      <c r="O98" s="17">
        <v>11.894900000000002</v>
      </c>
      <c r="P98" s="17">
        <v>6.6159886666666665</v>
      </c>
      <c r="Q98" s="17">
        <v>14.535599999999997</v>
      </c>
      <c r="T98" s="13">
        <v>0</v>
      </c>
      <c r="U98" s="14">
        <f t="shared" si="32"/>
        <v>0</v>
      </c>
      <c r="V98" s="14">
        <f t="shared" si="32"/>
        <v>0.11669299999999971</v>
      </c>
      <c r="W98" s="14">
        <f>E98-E97</f>
        <v>0.16987608333333437</v>
      </c>
      <c r="X98" s="14">
        <f t="shared" si="32"/>
        <v>1.7742666666666906E-2</v>
      </c>
      <c r="Y98" s="15">
        <f t="shared" si="31"/>
        <v>8.5050833333326636E-3</v>
      </c>
      <c r="Z98" s="15">
        <f t="shared" si="31"/>
        <v>0.53494749999999769</v>
      </c>
      <c r="AA98" s="15">
        <f t="shared" si="31"/>
        <v>2.4032666666666813E-2</v>
      </c>
      <c r="AB98" s="16">
        <f t="shared" si="31"/>
        <v>5.3348999999999869E-2</v>
      </c>
      <c r="AC98" s="16">
        <f t="shared" si="31"/>
        <v>0.15716416666666611</v>
      </c>
      <c r="AD98" s="16">
        <f t="shared" si="31"/>
        <v>0.18433916666666761</v>
      </c>
      <c r="AE98" s="16">
        <f t="shared" si="31"/>
        <v>0</v>
      </c>
      <c r="AF98" s="17">
        <f t="shared" si="31"/>
        <v>3.0899083333332911E-2</v>
      </c>
      <c r="AG98" s="17">
        <f t="shared" si="30"/>
        <v>3.8369166666665677E-2</v>
      </c>
      <c r="AH98" s="17">
        <f t="shared" si="30"/>
        <v>2.1822833333332348E-2</v>
      </c>
      <c r="AI98" s="17">
        <f t="shared" si="30"/>
        <v>9.5750000000016655E-4</v>
      </c>
    </row>
  </sheetData>
  <mergeCells count="5">
    <mergeCell ref="AM29:AP29"/>
    <mergeCell ref="AS29:AV29"/>
    <mergeCell ref="AX30:BA30"/>
    <mergeCell ref="BE30:BG30"/>
    <mergeCell ref="BJ30:BL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DD8E-415F-7E49-A098-2DAD9ECD6DC4}">
  <dimension ref="A1:BM98"/>
  <sheetViews>
    <sheetView topLeftCell="AG11" zoomScale="50" workbookViewId="0">
      <selection activeCell="BH42" sqref="BH42"/>
    </sheetView>
  </sheetViews>
  <sheetFormatPr baseColWidth="10" defaultRowHeight="16" x14ac:dyDescent="0.2"/>
  <cols>
    <col min="2" max="2" width="10.83203125" style="45"/>
    <col min="3" max="6" width="10.83203125" style="14"/>
    <col min="7" max="9" width="10.83203125" style="15"/>
    <col min="10" max="13" width="10.83203125" style="16"/>
    <col min="14" max="17" width="10.83203125" style="17"/>
    <col min="18" max="18" width="10.83203125" style="31"/>
    <col min="20" max="20" width="10.83203125" style="45"/>
    <col min="21" max="24" width="10.83203125" style="14"/>
    <col min="25" max="27" width="10.83203125" style="15"/>
    <col min="28" max="31" width="10.83203125" style="16"/>
    <col min="32" max="35" width="10.83203125" style="17"/>
    <col min="37" max="37" width="10.83203125" style="5"/>
    <col min="38" max="38" width="10.83203125" style="57"/>
  </cols>
  <sheetData>
    <row r="1" spans="1:65" x14ac:dyDescent="0.2">
      <c r="A1" s="23" t="s">
        <v>73</v>
      </c>
      <c r="B1" s="45" t="s">
        <v>1</v>
      </c>
      <c r="C1" s="19" t="s">
        <v>57</v>
      </c>
      <c r="D1" s="19" t="s">
        <v>58</v>
      </c>
      <c r="E1" s="19" t="s">
        <v>59</v>
      </c>
      <c r="F1" s="19" t="s">
        <v>60</v>
      </c>
      <c r="G1" s="20" t="s">
        <v>61</v>
      </c>
      <c r="H1" s="20" t="s">
        <v>63</v>
      </c>
      <c r="I1" s="20" t="s">
        <v>64</v>
      </c>
      <c r="J1" s="21" t="s">
        <v>65</v>
      </c>
      <c r="K1" s="21" t="s">
        <v>66</v>
      </c>
      <c r="L1" s="21" t="s">
        <v>67</v>
      </c>
      <c r="M1" s="21" t="s">
        <v>68</v>
      </c>
      <c r="N1" s="22" t="s">
        <v>69</v>
      </c>
      <c r="O1" s="22" t="s">
        <v>70</v>
      </c>
      <c r="P1" s="22" t="s">
        <v>71</v>
      </c>
      <c r="Q1" s="22" t="s">
        <v>72</v>
      </c>
      <c r="S1" s="23" t="s">
        <v>74</v>
      </c>
      <c r="T1" s="45" t="s">
        <v>1</v>
      </c>
      <c r="U1" s="19" t="s">
        <v>57</v>
      </c>
      <c r="V1" s="19" t="s">
        <v>58</v>
      </c>
      <c r="W1" s="19" t="s">
        <v>59</v>
      </c>
      <c r="X1" s="19" t="s">
        <v>60</v>
      </c>
      <c r="Y1" s="20" t="s">
        <v>61</v>
      </c>
      <c r="Z1" s="20" t="s">
        <v>63</v>
      </c>
      <c r="AA1" s="20" t="s">
        <v>64</v>
      </c>
      <c r="AB1" s="21" t="s">
        <v>65</v>
      </c>
      <c r="AC1" s="21" t="s">
        <v>66</v>
      </c>
      <c r="AD1" s="21" t="s">
        <v>67</v>
      </c>
      <c r="AE1" s="21" t="s">
        <v>68</v>
      </c>
      <c r="AF1" s="22" t="s">
        <v>69</v>
      </c>
      <c r="AG1" s="22" t="s">
        <v>70</v>
      </c>
      <c r="AH1" s="22" t="s">
        <v>71</v>
      </c>
      <c r="AI1" s="22" t="s">
        <v>72</v>
      </c>
      <c r="AK1" s="5" t="s">
        <v>1</v>
      </c>
      <c r="AL1" s="56" t="s">
        <v>52</v>
      </c>
      <c r="AM1" s="20" t="s">
        <v>38</v>
      </c>
      <c r="AN1" s="21" t="s">
        <v>39</v>
      </c>
      <c r="AO1" s="22" t="s">
        <v>40</v>
      </c>
      <c r="AQ1" s="46"/>
      <c r="AR1" s="87" t="s">
        <v>46</v>
      </c>
      <c r="AS1" s="88"/>
      <c r="AT1" s="88"/>
      <c r="AU1" s="89"/>
      <c r="AW1" s="46"/>
      <c r="AX1" s="90" t="s">
        <v>38</v>
      </c>
      <c r="AY1" s="91"/>
      <c r="AZ1" s="91"/>
      <c r="BA1" s="92"/>
      <c r="BC1" s="46"/>
      <c r="BD1" s="93" t="s">
        <v>39</v>
      </c>
      <c r="BE1" s="94"/>
      <c r="BF1" s="94"/>
      <c r="BG1" s="95"/>
      <c r="BI1" s="46"/>
      <c r="BJ1" s="96" t="s">
        <v>40</v>
      </c>
      <c r="BK1" s="97"/>
      <c r="BL1" s="97"/>
      <c r="BM1" s="98"/>
    </row>
    <row r="2" spans="1:65" x14ac:dyDescent="0.2">
      <c r="B2" s="4">
        <v>0</v>
      </c>
      <c r="C2" s="14">
        <v>2.9967630000000001</v>
      </c>
      <c r="D2" s="14">
        <v>2.313647</v>
      </c>
      <c r="E2" s="14">
        <v>2.8834840000000002</v>
      </c>
      <c r="F2" s="14">
        <v>1.5335129999999999</v>
      </c>
      <c r="G2" s="15">
        <v>1.9901960000000001</v>
      </c>
      <c r="H2" s="15">
        <v>6.2141799999999998</v>
      </c>
      <c r="I2" s="15">
        <v>1.8777759999999999</v>
      </c>
      <c r="J2" s="16">
        <v>2.2008079999999999</v>
      </c>
      <c r="K2" s="16">
        <v>3.4174570000000002</v>
      </c>
      <c r="L2" s="16">
        <v>3.8819840000000001</v>
      </c>
      <c r="M2" s="16">
        <v>1.964043</v>
      </c>
      <c r="N2" s="17">
        <v>3.5035609999999999</v>
      </c>
      <c r="O2" s="17">
        <v>3.6552319999999998</v>
      </c>
      <c r="P2" s="17">
        <v>1.8362289999999999</v>
      </c>
      <c r="Q2" s="17">
        <v>4.7351919999999996</v>
      </c>
      <c r="T2" s="4">
        <v>0</v>
      </c>
      <c r="U2" s="14">
        <f>C2-C2</f>
        <v>0</v>
      </c>
      <c r="V2" s="14">
        <f t="shared" ref="V2:AI2" si="0">D2-D2</f>
        <v>0</v>
      </c>
      <c r="W2" s="14">
        <f t="shared" si="0"/>
        <v>0</v>
      </c>
      <c r="X2" s="14">
        <f t="shared" si="0"/>
        <v>0</v>
      </c>
      <c r="Y2" s="15">
        <f t="shared" si="0"/>
        <v>0</v>
      </c>
      <c r="Z2" s="15">
        <f t="shared" si="0"/>
        <v>0</v>
      </c>
      <c r="AA2" s="15">
        <f t="shared" si="0"/>
        <v>0</v>
      </c>
      <c r="AB2" s="16">
        <f t="shared" si="0"/>
        <v>0</v>
      </c>
      <c r="AC2" s="16">
        <f t="shared" si="0"/>
        <v>0</v>
      </c>
      <c r="AD2" s="16">
        <f t="shared" si="0"/>
        <v>0</v>
      </c>
      <c r="AE2" s="16">
        <f t="shared" si="0"/>
        <v>0</v>
      </c>
      <c r="AF2" s="17">
        <f t="shared" si="0"/>
        <v>0</v>
      </c>
      <c r="AG2" s="17">
        <f t="shared" si="0"/>
        <v>0</v>
      </c>
      <c r="AH2" s="17">
        <f t="shared" si="0"/>
        <v>0</v>
      </c>
      <c r="AI2" s="17">
        <f t="shared" si="0"/>
        <v>0</v>
      </c>
      <c r="AK2" s="4">
        <v>0</v>
      </c>
      <c r="AL2" s="57">
        <f>AVERAGE(U2:X2)</f>
        <v>0</v>
      </c>
      <c r="AM2">
        <f>AVERAGE(Y2:AA2)</f>
        <v>0</v>
      </c>
      <c r="AN2">
        <f>AVERAGE(AB2:AE2)</f>
        <v>0</v>
      </c>
      <c r="AO2">
        <f>AVERAGE(AF2:AI2)</f>
        <v>0</v>
      </c>
      <c r="AQ2" s="47" t="s">
        <v>1</v>
      </c>
      <c r="AR2" s="48" t="s">
        <v>47</v>
      </c>
      <c r="AS2" s="49" t="s">
        <v>48</v>
      </c>
      <c r="AT2" s="50" t="s">
        <v>49</v>
      </c>
      <c r="AU2" s="51" t="s">
        <v>50</v>
      </c>
      <c r="AW2" s="47" t="s">
        <v>1</v>
      </c>
      <c r="AX2" s="48" t="s">
        <v>47</v>
      </c>
      <c r="AY2" s="49" t="s">
        <v>48</v>
      </c>
      <c r="AZ2" s="50" t="s">
        <v>49</v>
      </c>
      <c r="BA2" s="51" t="s">
        <v>50</v>
      </c>
      <c r="BC2" s="47" t="s">
        <v>1</v>
      </c>
      <c r="BD2" s="48" t="s">
        <v>47</v>
      </c>
      <c r="BE2" s="49" t="s">
        <v>48</v>
      </c>
      <c r="BF2" s="50" t="s">
        <v>49</v>
      </c>
      <c r="BG2" s="51" t="s">
        <v>50</v>
      </c>
      <c r="BI2" s="47" t="s">
        <v>1</v>
      </c>
      <c r="BJ2" s="48" t="s">
        <v>47</v>
      </c>
      <c r="BK2" s="49" t="s">
        <v>48</v>
      </c>
      <c r="BL2" s="50" t="s">
        <v>49</v>
      </c>
      <c r="BM2" s="51" t="s">
        <v>50</v>
      </c>
    </row>
    <row r="3" spans="1:65" x14ac:dyDescent="0.2">
      <c r="B3" s="45">
        <v>1</v>
      </c>
      <c r="C3" s="14">
        <v>3.0125327500000001</v>
      </c>
      <c r="D3" s="14">
        <v>2.3973289999999996</v>
      </c>
      <c r="E3" s="14">
        <v>3.0246625833333334</v>
      </c>
      <c r="F3" s="14">
        <v>1.5335129999999995</v>
      </c>
      <c r="G3" s="15">
        <v>2.0069331666666668</v>
      </c>
      <c r="H3" s="15">
        <v>6.2141799999999998</v>
      </c>
      <c r="I3" s="15">
        <v>1.9022917500000005</v>
      </c>
      <c r="J3" s="16">
        <v>2.2008079999999994</v>
      </c>
      <c r="K3" s="16">
        <v>3.4174569999999993</v>
      </c>
      <c r="L3" s="16">
        <v>3.8819840000000005</v>
      </c>
      <c r="M3" s="16">
        <v>1.964043</v>
      </c>
      <c r="N3" s="17">
        <v>3.5035609999999999</v>
      </c>
      <c r="O3" s="17">
        <v>3.79758475</v>
      </c>
      <c r="P3" s="17">
        <v>1.8854332499999999</v>
      </c>
      <c r="Q3" s="17">
        <v>4.8886439166666671</v>
      </c>
      <c r="T3" s="45">
        <v>1</v>
      </c>
      <c r="U3" s="14">
        <f>C3-C2</f>
        <v>1.5769750000000027E-2</v>
      </c>
      <c r="V3" s="14">
        <f t="shared" ref="V3:AI18" si="1">D3-D2</f>
        <v>8.368199999999959E-2</v>
      </c>
      <c r="W3" s="14">
        <f t="shared" si="1"/>
        <v>0.14117858333333322</v>
      </c>
      <c r="X3" s="14">
        <f t="shared" si="1"/>
        <v>0</v>
      </c>
      <c r="Y3" s="15">
        <f t="shared" si="1"/>
        <v>1.6737166666666692E-2</v>
      </c>
      <c r="Z3" s="15">
        <f t="shared" si="1"/>
        <v>0</v>
      </c>
      <c r="AA3" s="15">
        <f t="shared" si="1"/>
        <v>2.4515750000000613E-2</v>
      </c>
      <c r="AB3" s="16">
        <f t="shared" si="1"/>
        <v>0</v>
      </c>
      <c r="AC3" s="16">
        <f t="shared" si="1"/>
        <v>0</v>
      </c>
      <c r="AD3" s="16">
        <f t="shared" si="1"/>
        <v>0</v>
      </c>
      <c r="AE3" s="16">
        <f t="shared" si="1"/>
        <v>0</v>
      </c>
      <c r="AF3" s="17">
        <f t="shared" si="1"/>
        <v>0</v>
      </c>
      <c r="AG3" s="17">
        <f t="shared" si="1"/>
        <v>0.14235275000000014</v>
      </c>
      <c r="AH3" s="17">
        <f t="shared" si="1"/>
        <v>4.920425000000006E-2</v>
      </c>
      <c r="AI3" s="17">
        <f t="shared" si="1"/>
        <v>0.15345191666666746</v>
      </c>
      <c r="AK3" s="5">
        <v>1</v>
      </c>
      <c r="AL3" s="57">
        <f>AVERAGE(U3:X3)</f>
        <v>6.0157583333333209E-2</v>
      </c>
      <c r="AM3">
        <f t="shared" ref="AM3:AM66" si="2">AVERAGE(Y3:AA3)</f>
        <v>1.3750972222222435E-2</v>
      </c>
      <c r="AN3">
        <f t="shared" ref="AN3:AN66" si="3">AVERAGE(AB3:AE3)</f>
        <v>0</v>
      </c>
      <c r="AO3">
        <f t="shared" ref="AO3:AO66" si="4">AVERAGE(AF3:AI3)</f>
        <v>8.6252229166666916E-2</v>
      </c>
      <c r="AQ3" s="52">
        <v>0</v>
      </c>
      <c r="AR3" s="53">
        <v>0</v>
      </c>
      <c r="AS3" s="54">
        <v>6.9579937499999911E-2</v>
      </c>
      <c r="AT3" s="54">
        <v>5.4875374999999726E-2</v>
      </c>
      <c r="AU3" s="55">
        <v>1.7974083333333057E-2</v>
      </c>
      <c r="AW3" s="52">
        <v>0</v>
      </c>
      <c r="AX3" s="53">
        <v>0</v>
      </c>
      <c r="AY3" s="54">
        <v>0.15057513888888829</v>
      </c>
      <c r="AZ3" s="54">
        <v>0.12108722222222153</v>
      </c>
      <c r="BA3" s="55">
        <v>2.4153777777778867E-2</v>
      </c>
      <c r="BC3" s="52">
        <v>0</v>
      </c>
      <c r="BD3" s="53">
        <v>0</v>
      </c>
      <c r="BE3" s="54">
        <v>0.1481808333333331</v>
      </c>
      <c r="BF3" s="54">
        <v>0.14330879166666644</v>
      </c>
      <c r="BG3" s="55">
        <v>2.3072687499999578E-2</v>
      </c>
      <c r="BI3" s="52">
        <v>0</v>
      </c>
      <c r="BJ3" s="53">
        <v>0</v>
      </c>
      <c r="BK3" s="54">
        <v>0.13929270833333329</v>
      </c>
      <c r="BL3" s="54">
        <v>8.2340833333333086E-2</v>
      </c>
      <c r="BM3" s="55">
        <v>5.5203854166667288E-2</v>
      </c>
    </row>
    <row r="4" spans="1:65" x14ac:dyDescent="0.2">
      <c r="B4" s="45">
        <v>2</v>
      </c>
      <c r="C4" s="14">
        <v>3.0493358333333336</v>
      </c>
      <c r="D4" s="14">
        <v>2.4614936666666667</v>
      </c>
      <c r="E4" s="14">
        <v>3.101197916666667</v>
      </c>
      <c r="F4" s="14">
        <v>1.5360351666666665</v>
      </c>
      <c r="G4" s="15">
        <v>2.0371531666666667</v>
      </c>
      <c r="H4" s="15">
        <v>6.2665204166666664</v>
      </c>
      <c r="I4" s="15">
        <v>1.9363064999999999</v>
      </c>
      <c r="J4" s="16">
        <v>2.2008079999999994</v>
      </c>
      <c r="K4" s="16">
        <v>3.4174569999999993</v>
      </c>
      <c r="L4" s="16">
        <v>3.8819840000000005</v>
      </c>
      <c r="M4" s="16">
        <v>1.9843930833333336</v>
      </c>
      <c r="N4" s="17">
        <v>3.5043001666666669</v>
      </c>
      <c r="O4" s="17">
        <v>4.0491909166666664</v>
      </c>
      <c r="P4" s="17">
        <v>1.9679405000000001</v>
      </c>
      <c r="Q4" s="17">
        <v>5.2367096666666662</v>
      </c>
      <c r="T4" s="45">
        <v>2</v>
      </c>
      <c r="U4" s="14">
        <f>C4-C3</f>
        <v>3.6803083333333486E-2</v>
      </c>
      <c r="V4" s="14">
        <f t="shared" si="1"/>
        <v>6.4164666666667092E-2</v>
      </c>
      <c r="W4" s="14">
        <f t="shared" si="1"/>
        <v>7.6535333333333622E-2</v>
      </c>
      <c r="X4" s="14">
        <f t="shared" si="1"/>
        <v>2.5221666666670473E-3</v>
      </c>
      <c r="Y4" s="15">
        <f t="shared" si="1"/>
        <v>3.0219999999999914E-2</v>
      </c>
      <c r="Z4" s="15">
        <f t="shared" si="1"/>
        <v>5.2340416666666556E-2</v>
      </c>
      <c r="AA4" s="15">
        <f t="shared" si="1"/>
        <v>3.4014749999999427E-2</v>
      </c>
      <c r="AB4" s="16">
        <f t="shared" si="1"/>
        <v>0</v>
      </c>
      <c r="AC4" s="16">
        <f t="shared" si="1"/>
        <v>0</v>
      </c>
      <c r="AD4" s="16">
        <f t="shared" si="1"/>
        <v>0</v>
      </c>
      <c r="AE4" s="16">
        <f t="shared" si="1"/>
        <v>2.0350083333333657E-2</v>
      </c>
      <c r="AF4" s="17">
        <f t="shared" si="1"/>
        <v>7.3916666666695718E-4</v>
      </c>
      <c r="AG4" s="17">
        <f t="shared" si="1"/>
        <v>0.25160616666666646</v>
      </c>
      <c r="AH4" s="17">
        <f t="shared" si="1"/>
        <v>8.2507250000000143E-2</v>
      </c>
      <c r="AI4" s="17">
        <f t="shared" si="1"/>
        <v>0.34806574999999906</v>
      </c>
      <c r="AK4" s="5">
        <v>2</v>
      </c>
      <c r="AL4" s="57">
        <f t="shared" ref="AL4:AL66" si="5">AVERAGE(U4:X4)</f>
        <v>4.5006312500000312E-2</v>
      </c>
      <c r="AM4">
        <f t="shared" si="2"/>
        <v>3.885838888888863E-2</v>
      </c>
      <c r="AN4">
        <f t="shared" si="3"/>
        <v>5.0875208333334143E-3</v>
      </c>
      <c r="AO4">
        <f t="shared" si="4"/>
        <v>0.17072958333333316</v>
      </c>
      <c r="AQ4" s="52">
        <v>1</v>
      </c>
      <c r="AR4" s="53">
        <v>6.0157583333333209E-2</v>
      </c>
      <c r="AS4" s="54">
        <v>7.955089583333308E-2</v>
      </c>
      <c r="AT4" s="54">
        <v>1.1211083333333427E-2</v>
      </c>
      <c r="AU4" s="55">
        <v>1.2016270833333786E-2</v>
      </c>
      <c r="AW4" s="52">
        <v>1</v>
      </c>
      <c r="AX4" s="53">
        <v>1.3750972222222435E-2</v>
      </c>
      <c r="AY4" s="54">
        <v>0.16629783333333314</v>
      </c>
      <c r="AZ4" s="54">
        <v>0.1052241666666663</v>
      </c>
      <c r="BA4" s="55">
        <v>1.3403222222223418E-2</v>
      </c>
      <c r="BC4" s="52">
        <v>1</v>
      </c>
      <c r="BD4" s="53">
        <v>0</v>
      </c>
      <c r="BE4" s="54">
        <v>3.1593437499999877E-2</v>
      </c>
      <c r="BF4" s="54">
        <v>9.6117979166667089E-2</v>
      </c>
      <c r="BG4" s="55">
        <v>2.5917041666666973E-2</v>
      </c>
      <c r="BI4" s="52">
        <v>1</v>
      </c>
      <c r="BJ4" s="53">
        <v>8.6252229166666916E-2</v>
      </c>
      <c r="BK4" s="54">
        <v>0.14216181250000015</v>
      </c>
      <c r="BL4" s="54">
        <v>9.5451250000000432E-2</v>
      </c>
      <c r="BM4" s="55">
        <v>3.9310604166665986E-2</v>
      </c>
    </row>
    <row r="5" spans="1:65" x14ac:dyDescent="0.2">
      <c r="B5" s="45">
        <v>3</v>
      </c>
      <c r="C5" s="14">
        <v>3.0837325833333336</v>
      </c>
      <c r="D5" s="14">
        <v>2.4880887499999997</v>
      </c>
      <c r="E5" s="14">
        <v>3.1247885833333338</v>
      </c>
      <c r="F5" s="14">
        <v>1.5421240000000001</v>
      </c>
      <c r="G5" s="15">
        <v>2.0584266666666671</v>
      </c>
      <c r="H5" s="15">
        <v>6.4058298333333328</v>
      </c>
      <c r="I5" s="15">
        <v>1.9644566666666667</v>
      </c>
      <c r="J5" s="16">
        <v>2.2008079999999994</v>
      </c>
      <c r="K5" s="16">
        <v>3.4174569999999993</v>
      </c>
      <c r="L5" s="16">
        <v>3.8819840000000005</v>
      </c>
      <c r="M5" s="16">
        <v>2.0403992500000001</v>
      </c>
      <c r="N5" s="17">
        <v>3.5761920833333334</v>
      </c>
      <c r="O5" s="17">
        <v>4.3135915000000002</v>
      </c>
      <c r="P5" s="17">
        <v>2.0510266666666666</v>
      </c>
      <c r="Q5" s="17">
        <v>5.5254452500000015</v>
      </c>
      <c r="T5" s="45">
        <v>3</v>
      </c>
      <c r="U5" s="14">
        <f>C5-C4</f>
        <v>3.4396749999999976E-2</v>
      </c>
      <c r="V5" s="14">
        <f t="shared" si="1"/>
        <v>2.6595083333333047E-2</v>
      </c>
      <c r="W5" s="14">
        <f t="shared" si="1"/>
        <v>2.359066666666676E-2</v>
      </c>
      <c r="X5" s="14">
        <f t="shared" si="1"/>
        <v>6.0888333333335432E-3</v>
      </c>
      <c r="Y5" s="15">
        <f t="shared" si="1"/>
        <v>2.1273500000000389E-2</v>
      </c>
      <c r="Z5" s="15">
        <f t="shared" si="1"/>
        <v>0.13930941666666641</v>
      </c>
      <c r="AA5" s="15">
        <f t="shared" si="1"/>
        <v>2.8150166666666809E-2</v>
      </c>
      <c r="AB5" s="16">
        <f t="shared" si="1"/>
        <v>0</v>
      </c>
      <c r="AC5" s="16">
        <f t="shared" si="1"/>
        <v>0</v>
      </c>
      <c r="AD5" s="16">
        <f t="shared" si="1"/>
        <v>0</v>
      </c>
      <c r="AE5" s="16">
        <f t="shared" si="1"/>
        <v>5.6006166666666468E-2</v>
      </c>
      <c r="AF5" s="17">
        <f t="shared" si="1"/>
        <v>7.18919166666665E-2</v>
      </c>
      <c r="AG5" s="17">
        <f t="shared" si="1"/>
        <v>0.26440058333333383</v>
      </c>
      <c r="AH5" s="17">
        <f t="shared" si="1"/>
        <v>8.3086166666666461E-2</v>
      </c>
      <c r="AI5" s="17">
        <f t="shared" si="1"/>
        <v>0.28873558333333538</v>
      </c>
      <c r="AK5" s="5">
        <v>3</v>
      </c>
      <c r="AL5" s="57">
        <f t="shared" si="5"/>
        <v>2.2667833333333332E-2</v>
      </c>
      <c r="AM5">
        <f t="shared" si="2"/>
        <v>6.2911027777777864E-2</v>
      </c>
      <c r="AN5">
        <f t="shared" si="3"/>
        <v>1.4001541666666617E-2</v>
      </c>
      <c r="AO5">
        <f t="shared" si="4"/>
        <v>0.17702856250000054</v>
      </c>
      <c r="AQ5" s="52">
        <v>2</v>
      </c>
      <c r="AR5" s="53">
        <v>4.5006312500000312E-2</v>
      </c>
      <c r="AS5" s="54">
        <v>1.8166312500000226E-2</v>
      </c>
      <c r="AT5" s="54">
        <v>9.8705416666664547E-3</v>
      </c>
      <c r="AU5" s="55">
        <v>1.2110645833333544E-2</v>
      </c>
      <c r="AW5" s="52">
        <v>2</v>
      </c>
      <c r="AX5" s="53">
        <v>3.885838888888863E-2</v>
      </c>
      <c r="AY5" s="54">
        <v>0.10687366666666609</v>
      </c>
      <c r="AZ5" s="54">
        <v>0.1569572222222225</v>
      </c>
      <c r="BA5" s="55">
        <v>1.316069444444512E-2</v>
      </c>
      <c r="BC5" s="52">
        <v>2</v>
      </c>
      <c r="BD5" s="53">
        <v>5.0875208333334143E-3</v>
      </c>
      <c r="BE5" s="54">
        <v>1.4773812500000205E-2</v>
      </c>
      <c r="BF5" s="54">
        <v>7.5805812499999292E-2</v>
      </c>
      <c r="BG5" s="55">
        <v>3.9735333333333234E-2</v>
      </c>
      <c r="BI5" s="52">
        <v>2</v>
      </c>
      <c r="BJ5" s="53">
        <v>0.17072958333333316</v>
      </c>
      <c r="BK5" s="54">
        <v>8.3062083333333092E-2</v>
      </c>
      <c r="BL5" s="54">
        <v>0.17956912499999955</v>
      </c>
      <c r="BM5" s="55">
        <v>3.8623958333333874E-2</v>
      </c>
    </row>
    <row r="6" spans="1:65" x14ac:dyDescent="0.2">
      <c r="B6" s="45">
        <v>4</v>
      </c>
      <c r="C6" s="14">
        <v>3.1082778333333336</v>
      </c>
      <c r="D6" s="14">
        <v>2.5329527500000002</v>
      </c>
      <c r="E6" s="14">
        <v>3.1365812500000003</v>
      </c>
      <c r="F6" s="14">
        <v>1.5421240000000001</v>
      </c>
      <c r="G6" s="15">
        <v>2.0694316666666666</v>
      </c>
      <c r="H6" s="15">
        <v>6.5119104999999999</v>
      </c>
      <c r="I6" s="15">
        <v>1.9736762500000002</v>
      </c>
      <c r="J6" s="16">
        <v>2.2008079999999994</v>
      </c>
      <c r="K6" s="16">
        <v>3.4175784999999994</v>
      </c>
      <c r="L6" s="16">
        <v>3.8819840000000005</v>
      </c>
      <c r="M6" s="16">
        <v>2.0593835833333336</v>
      </c>
      <c r="N6" s="17">
        <v>3.7333229999999999</v>
      </c>
      <c r="O6" s="17">
        <v>4.4481210000000004</v>
      </c>
      <c r="P6" s="17">
        <v>2.1342829999999999</v>
      </c>
      <c r="Q6" s="17">
        <v>5.6078719166666664</v>
      </c>
      <c r="T6" s="45">
        <v>4</v>
      </c>
      <c r="U6" s="14">
        <f>C6-C5</f>
        <v>2.4545250000000074E-2</v>
      </c>
      <c r="V6" s="14">
        <f t="shared" si="1"/>
        <v>4.4864000000000459E-2</v>
      </c>
      <c r="W6" s="14">
        <f t="shared" si="1"/>
        <v>1.1792666666666562E-2</v>
      </c>
      <c r="X6" s="14">
        <f t="shared" si="1"/>
        <v>0</v>
      </c>
      <c r="Y6" s="15">
        <f t="shared" si="1"/>
        <v>1.1004999999999487E-2</v>
      </c>
      <c r="Z6" s="15">
        <f t="shared" si="1"/>
        <v>0.10608066666666716</v>
      </c>
      <c r="AA6" s="15">
        <f t="shared" si="1"/>
        <v>9.2195833333335031E-3</v>
      </c>
      <c r="AB6" s="16">
        <f t="shared" si="1"/>
        <v>0</v>
      </c>
      <c r="AC6" s="16">
        <f t="shared" si="1"/>
        <v>1.2150000000010763E-4</v>
      </c>
      <c r="AD6" s="16">
        <f t="shared" si="1"/>
        <v>0</v>
      </c>
      <c r="AE6" s="16">
        <f t="shared" si="1"/>
        <v>1.8984333333333492E-2</v>
      </c>
      <c r="AF6" s="17">
        <f t="shared" si="1"/>
        <v>0.15713091666666656</v>
      </c>
      <c r="AG6" s="17">
        <f t="shared" si="1"/>
        <v>0.13452950000000019</v>
      </c>
      <c r="AH6" s="17">
        <f t="shared" si="1"/>
        <v>8.3256333333333377E-2</v>
      </c>
      <c r="AI6" s="17">
        <f t="shared" si="1"/>
        <v>8.2426666666664872E-2</v>
      </c>
      <c r="AK6" s="5">
        <v>4</v>
      </c>
      <c r="AL6" s="57">
        <f t="shared" si="5"/>
        <v>2.0300479166666774E-2</v>
      </c>
      <c r="AM6">
        <f t="shared" si="2"/>
        <v>4.2101750000000049E-2</v>
      </c>
      <c r="AN6">
        <f t="shared" si="3"/>
        <v>4.7764583333333999E-3</v>
      </c>
      <c r="AO6">
        <f t="shared" si="4"/>
        <v>0.11433585416666625</v>
      </c>
      <c r="AQ6" s="52">
        <v>3</v>
      </c>
      <c r="AR6" s="53">
        <v>2.2667833333333332E-2</v>
      </c>
      <c r="AS6" s="54">
        <v>5.188604166666666E-3</v>
      </c>
      <c r="AT6" s="54">
        <v>9.870520833333396E-3</v>
      </c>
      <c r="AU6" s="55">
        <v>1.2083562499999534E-2</v>
      </c>
      <c r="AW6" s="52">
        <v>3</v>
      </c>
      <c r="AX6" s="53">
        <v>6.2911027777777864E-2</v>
      </c>
      <c r="AY6" s="54">
        <v>0.14264213888888952</v>
      </c>
      <c r="AZ6" s="54">
        <v>4.591374999999983E-2</v>
      </c>
      <c r="BA6" s="55">
        <v>1.0640888888888256E-2</v>
      </c>
      <c r="BC6" s="52">
        <v>3</v>
      </c>
      <c r="BD6" s="53">
        <v>1.4001541666666617E-2</v>
      </c>
      <c r="BE6" s="54">
        <v>9.9146458333330134E-3</v>
      </c>
      <c r="BF6" s="54">
        <v>6.419404166666709E-2</v>
      </c>
      <c r="BG6" s="55">
        <v>3.9477208333333014E-2</v>
      </c>
      <c r="BI6" s="52">
        <v>3</v>
      </c>
      <c r="BJ6" s="53">
        <v>0.17702856250000054</v>
      </c>
      <c r="BK6" s="54">
        <v>4.6402645833333533E-2</v>
      </c>
      <c r="BL6" s="54">
        <v>0.14385589583333314</v>
      </c>
      <c r="BM6" s="55">
        <v>3.8623749999999735E-2</v>
      </c>
    </row>
    <row r="7" spans="1:65" x14ac:dyDescent="0.2">
      <c r="B7" s="45">
        <v>5</v>
      </c>
      <c r="C7" s="14">
        <v>3.1297770000000003</v>
      </c>
      <c r="D7" s="14">
        <v>2.5835988333333337</v>
      </c>
      <c r="E7" s="14">
        <v>3.1485974999999997</v>
      </c>
      <c r="F7" s="14">
        <v>1.5429575833333333</v>
      </c>
      <c r="G7" s="15">
        <v>2.1688764166666665</v>
      </c>
      <c r="H7" s="15">
        <v>6.5990774166666641</v>
      </c>
      <c r="I7" s="15">
        <v>1.9777420000000003</v>
      </c>
      <c r="J7" s="16">
        <v>2.2008079999999994</v>
      </c>
      <c r="K7" s="16">
        <v>3.4223359999999996</v>
      </c>
      <c r="L7" s="16">
        <v>3.8875079166666668</v>
      </c>
      <c r="M7" s="16">
        <v>2.0671084166666662</v>
      </c>
      <c r="N7" s="17">
        <v>3.9406140833333327</v>
      </c>
      <c r="O7" s="17">
        <v>4.5691090833333332</v>
      </c>
      <c r="P7" s="17">
        <v>2.2175389999999999</v>
      </c>
      <c r="Q7" s="17">
        <v>5.8743000000000007</v>
      </c>
      <c r="T7" s="45">
        <v>5</v>
      </c>
      <c r="U7" s="14">
        <f>C7-C6</f>
        <v>2.1499166666666625E-2</v>
      </c>
      <c r="V7" s="14">
        <f t="shared" si="1"/>
        <v>5.0646083333333536E-2</v>
      </c>
      <c r="W7" s="14">
        <f t="shared" si="1"/>
        <v>1.2016249999999395E-2</v>
      </c>
      <c r="X7" s="14">
        <f t="shared" si="1"/>
        <v>8.335833333332765E-4</v>
      </c>
      <c r="Y7" s="15">
        <f t="shared" si="1"/>
        <v>9.9444749999999971E-2</v>
      </c>
      <c r="Z7" s="15">
        <f t="shared" si="1"/>
        <v>8.7166916666664207E-2</v>
      </c>
      <c r="AA7" s="15">
        <f t="shared" si="1"/>
        <v>4.0657500000000901E-3</v>
      </c>
      <c r="AB7" s="16">
        <f t="shared" si="1"/>
        <v>0</v>
      </c>
      <c r="AC7" s="16">
        <f t="shared" si="1"/>
        <v>4.7575000000001921E-3</v>
      </c>
      <c r="AD7" s="16">
        <f t="shared" si="1"/>
        <v>5.5239166666662953E-3</v>
      </c>
      <c r="AE7" s="16">
        <f t="shared" si="1"/>
        <v>7.7248333333326258E-3</v>
      </c>
      <c r="AF7" s="17">
        <f t="shared" si="1"/>
        <v>0.20729108333333279</v>
      </c>
      <c r="AG7" s="17">
        <f t="shared" si="1"/>
        <v>0.12098808333333277</v>
      </c>
      <c r="AH7" s="17">
        <f t="shared" si="1"/>
        <v>8.3255999999999997E-2</v>
      </c>
      <c r="AI7" s="17">
        <f t="shared" si="1"/>
        <v>0.26642808333333434</v>
      </c>
      <c r="AK7" s="5">
        <v>5</v>
      </c>
      <c r="AL7" s="57">
        <f t="shared" si="5"/>
        <v>2.1248770833333208E-2</v>
      </c>
      <c r="AM7">
        <f t="shared" si="2"/>
        <v>6.3559138888888089E-2</v>
      </c>
      <c r="AN7">
        <f t="shared" si="3"/>
        <v>4.5015624999997783E-3</v>
      </c>
      <c r="AO7">
        <f t="shared" si="4"/>
        <v>0.16949081249999998</v>
      </c>
      <c r="AQ7" s="52">
        <v>4</v>
      </c>
      <c r="AR7" s="53">
        <v>2.0300479166666774E-2</v>
      </c>
      <c r="AS7" s="54">
        <v>4.5619791666664522E-3</v>
      </c>
      <c r="AT7" s="54">
        <v>9.870520833333174E-3</v>
      </c>
      <c r="AU7" s="55">
        <v>2.8165833333333445E-3</v>
      </c>
      <c r="AW7" s="52">
        <v>4</v>
      </c>
      <c r="AX7" s="53">
        <v>4.2101750000000049E-2</v>
      </c>
      <c r="AY7" s="54">
        <v>0.10070497222222219</v>
      </c>
      <c r="AZ7" s="54">
        <v>1.9405944444444618E-2</v>
      </c>
      <c r="BA7" s="55">
        <v>4.3420972222221486E-2</v>
      </c>
      <c r="BC7" s="52">
        <v>4</v>
      </c>
      <c r="BD7" s="53">
        <v>4.7764583333333999E-3</v>
      </c>
      <c r="BE7" s="54">
        <v>4.7676250000004972E-3</v>
      </c>
      <c r="BF7" s="54">
        <v>2.8163375000000102E-2</v>
      </c>
      <c r="BG7" s="55">
        <v>3.7061395833333455E-2</v>
      </c>
      <c r="BI7" s="52">
        <v>4</v>
      </c>
      <c r="BJ7" s="53">
        <v>0.11433585416666625</v>
      </c>
      <c r="BK7" s="54">
        <v>5.147652083333365E-2</v>
      </c>
      <c r="BL7" s="54">
        <v>6.5124604166667321E-2</v>
      </c>
      <c r="BM7" s="55">
        <v>4.5609833333333683E-2</v>
      </c>
    </row>
    <row r="8" spans="1:65" x14ac:dyDescent="0.2">
      <c r="B8" s="45">
        <v>6</v>
      </c>
      <c r="C8" s="14">
        <v>3.1403025833333325</v>
      </c>
      <c r="D8" s="14">
        <v>2.6161941666666668</v>
      </c>
      <c r="E8" s="14">
        <v>3.16061375</v>
      </c>
      <c r="F8" s="14">
        <v>1.5527077499999999</v>
      </c>
      <c r="G8" s="15">
        <v>2.290756</v>
      </c>
      <c r="H8" s="15">
        <v>6.6147622499999992</v>
      </c>
      <c r="I8" s="15">
        <v>1.981053</v>
      </c>
      <c r="J8" s="16">
        <v>2.2008079999999994</v>
      </c>
      <c r="K8" s="16">
        <v>3.4224389999999993</v>
      </c>
      <c r="L8" s="16">
        <v>3.9131579166666675</v>
      </c>
      <c r="M8" s="16">
        <v>2.0748331666666666</v>
      </c>
      <c r="N8" s="17">
        <v>4.1434053333333338</v>
      </c>
      <c r="O8" s="17">
        <v>4.791023916666667</v>
      </c>
      <c r="P8" s="17">
        <v>2.3007950000000004</v>
      </c>
      <c r="Q8" s="17">
        <v>6.1282846666666666</v>
      </c>
      <c r="T8" s="45">
        <v>6</v>
      </c>
      <c r="U8" s="14">
        <f t="shared" ref="U8:Y71" si="6">C8-C7</f>
        <v>1.05255833333322E-2</v>
      </c>
      <c r="V8" s="14">
        <f t="shared" si="1"/>
        <v>3.2595333333333087E-2</v>
      </c>
      <c r="W8" s="14">
        <f t="shared" si="1"/>
        <v>1.2016250000000284E-2</v>
      </c>
      <c r="X8" s="14">
        <f t="shared" si="1"/>
        <v>9.7501666666666154E-3</v>
      </c>
      <c r="Y8" s="15">
        <f t="shared" si="1"/>
        <v>0.12187958333333349</v>
      </c>
      <c r="Z8" s="15">
        <f t="shared" si="1"/>
        <v>1.5684833333335035E-2</v>
      </c>
      <c r="AA8" s="15">
        <f t="shared" si="1"/>
        <v>3.3109999999996198E-3</v>
      </c>
      <c r="AB8" s="16">
        <f t="shared" si="1"/>
        <v>0</v>
      </c>
      <c r="AC8" s="16">
        <f t="shared" si="1"/>
        <v>1.0299999999974219E-4</v>
      </c>
      <c r="AD8" s="16">
        <f t="shared" si="1"/>
        <v>2.5650000000000617E-2</v>
      </c>
      <c r="AE8" s="16">
        <f t="shared" si="1"/>
        <v>7.724750000000391E-3</v>
      </c>
      <c r="AF8" s="17">
        <f t="shared" si="1"/>
        <v>0.20279125000000109</v>
      </c>
      <c r="AG8" s="17">
        <f t="shared" si="1"/>
        <v>0.22191483333333384</v>
      </c>
      <c r="AH8" s="17">
        <f t="shared" si="1"/>
        <v>8.3256000000000441E-2</v>
      </c>
      <c r="AI8" s="17">
        <f t="shared" si="1"/>
        <v>0.25398466666666586</v>
      </c>
      <c r="AK8" s="5">
        <v>6</v>
      </c>
      <c r="AL8" s="57">
        <f t="shared" si="5"/>
        <v>1.6221833333333047E-2</v>
      </c>
      <c r="AM8">
        <f t="shared" si="2"/>
        <v>4.6958472222222714E-2</v>
      </c>
      <c r="AN8">
        <f t="shared" si="3"/>
        <v>8.3694375000001875E-3</v>
      </c>
      <c r="AO8">
        <f t="shared" si="4"/>
        <v>0.19048668750000031</v>
      </c>
      <c r="AQ8" s="52">
        <v>5</v>
      </c>
      <c r="AR8" s="53">
        <v>2.1248770833333208E-2</v>
      </c>
      <c r="AS8" s="54">
        <v>1.6366041666666664E-3</v>
      </c>
      <c r="AT8" s="54">
        <v>9.8705416666666768E-3</v>
      </c>
      <c r="AU8" s="55">
        <v>1.2500416666663128E-3</v>
      </c>
      <c r="AW8" s="52">
        <v>5</v>
      </c>
      <c r="AX8" s="53">
        <v>6.3559138888888089E-2</v>
      </c>
      <c r="AY8" s="54">
        <v>0.2167105555555556</v>
      </c>
      <c r="AZ8" s="54">
        <v>2.0583055555555656E-2</v>
      </c>
      <c r="BA8" s="55">
        <v>9.9669361111111535E-2</v>
      </c>
      <c r="BC8" s="52">
        <v>5</v>
      </c>
      <c r="BD8" s="53">
        <v>4.5015624999997783E-3</v>
      </c>
      <c r="BE8" s="54">
        <v>1.3707625000000445E-2</v>
      </c>
      <c r="BF8" s="54">
        <v>2.1073083333333464E-2</v>
      </c>
      <c r="BG8" s="55">
        <v>3.2655687499999697E-2</v>
      </c>
      <c r="BI8" s="52">
        <v>5</v>
      </c>
      <c r="BJ8" s="53">
        <v>0.16949081249999998</v>
      </c>
      <c r="BK8" s="54">
        <v>8.2211187499999561E-2</v>
      </c>
      <c r="BL8" s="54">
        <v>4.5868062499999418E-2</v>
      </c>
      <c r="BM8" s="55">
        <v>6.6640999999999728E-2</v>
      </c>
    </row>
    <row r="9" spans="1:65" x14ac:dyDescent="0.2">
      <c r="B9" s="45">
        <v>7</v>
      </c>
      <c r="C9" s="14">
        <v>3.1490370833333334</v>
      </c>
      <c r="D9" s="14">
        <v>2.6237753333333331</v>
      </c>
      <c r="E9" s="14">
        <v>3.172630083333333</v>
      </c>
      <c r="F9" s="14">
        <v>1.5832634999999999</v>
      </c>
      <c r="G9" s="15">
        <v>2.4126341666666673</v>
      </c>
      <c r="H9" s="15">
        <v>6.8123793333333325</v>
      </c>
      <c r="I9" s="15">
        <v>1.9839942500000003</v>
      </c>
      <c r="J9" s="16">
        <v>2.2008079999999994</v>
      </c>
      <c r="K9" s="16">
        <v>3.4224389999999993</v>
      </c>
      <c r="L9" s="16">
        <v>3.9406237500000003</v>
      </c>
      <c r="M9" s="16">
        <v>2.0822490000000005</v>
      </c>
      <c r="N9" s="17">
        <v>4.3395109166666659</v>
      </c>
      <c r="O9" s="17">
        <v>4.8955688333333329</v>
      </c>
      <c r="P9" s="17">
        <v>2.3818623333333329</v>
      </c>
      <c r="Q9" s="17">
        <v>6.1659759999999997</v>
      </c>
      <c r="T9" s="45">
        <v>7</v>
      </c>
      <c r="U9" s="14">
        <f t="shared" si="6"/>
        <v>8.7345000000009776E-3</v>
      </c>
      <c r="V9" s="14">
        <f t="shared" si="1"/>
        <v>7.5811666666663058E-3</v>
      </c>
      <c r="W9" s="14">
        <f t="shared" si="1"/>
        <v>1.2016333333332962E-2</v>
      </c>
      <c r="X9" s="14">
        <f t="shared" si="1"/>
        <v>3.0555749999999993E-2</v>
      </c>
      <c r="Y9" s="15">
        <f t="shared" si="1"/>
        <v>0.12187816666666729</v>
      </c>
      <c r="Z9" s="15">
        <f t="shared" si="1"/>
        <v>0.19761708333333328</v>
      </c>
      <c r="AA9" s="15">
        <f t="shared" si="1"/>
        <v>2.9412500000003394E-3</v>
      </c>
      <c r="AB9" s="16">
        <f t="shared" si="1"/>
        <v>0</v>
      </c>
      <c r="AC9" s="16">
        <f t="shared" si="1"/>
        <v>0</v>
      </c>
      <c r="AD9" s="16">
        <f t="shared" si="1"/>
        <v>2.7465833333332856E-2</v>
      </c>
      <c r="AE9" s="16">
        <f t="shared" si="1"/>
        <v>7.4158333333338433E-3</v>
      </c>
      <c r="AF9" s="17">
        <f t="shared" si="1"/>
        <v>0.19610558333333206</v>
      </c>
      <c r="AG9" s="17">
        <f t="shared" si="1"/>
        <v>0.10454491666666588</v>
      </c>
      <c r="AH9" s="17">
        <f t="shared" si="1"/>
        <v>8.1067333333332492E-2</v>
      </c>
      <c r="AI9" s="17">
        <f t="shared" si="1"/>
        <v>3.7691333333333077E-2</v>
      </c>
      <c r="AK9" s="5">
        <v>7</v>
      </c>
      <c r="AL9" s="57">
        <f t="shared" si="5"/>
        <v>1.472193750000006E-2</v>
      </c>
      <c r="AM9">
        <f t="shared" si="2"/>
        <v>0.10747883333333363</v>
      </c>
      <c r="AN9">
        <f t="shared" si="3"/>
        <v>8.7204166666666749E-3</v>
      </c>
      <c r="AO9">
        <f t="shared" si="4"/>
        <v>0.10485229166666588</v>
      </c>
      <c r="AQ9" s="52">
        <v>6</v>
      </c>
      <c r="AR9" s="53">
        <v>1.6221833333333047E-2</v>
      </c>
      <c r="AS9" s="54">
        <v>2.3046458333328967E-3</v>
      </c>
      <c r="AT9" s="54">
        <v>9.5398333333331919E-3</v>
      </c>
      <c r="AU9" s="55">
        <v>2.4115416666670164E-3</v>
      </c>
      <c r="AW9" s="52">
        <v>6</v>
      </c>
      <c r="AX9" s="53">
        <v>4.6958472222222714E-2</v>
      </c>
      <c r="AY9" s="54">
        <v>0.12361730555555583</v>
      </c>
      <c r="AZ9" s="54">
        <v>4.9284277777777184E-2</v>
      </c>
      <c r="BA9" s="55">
        <v>9.785352777777738E-2</v>
      </c>
      <c r="BC9" s="52">
        <v>6</v>
      </c>
      <c r="BD9" s="53">
        <v>8.3694375000001875E-3</v>
      </c>
      <c r="BE9" s="54">
        <v>1.0385333333333469E-2</v>
      </c>
      <c r="BF9" s="54">
        <v>1.7747479166666302E-2</v>
      </c>
      <c r="BG9" s="55">
        <v>3.2860145833333743E-2</v>
      </c>
      <c r="BI9" s="52">
        <v>6</v>
      </c>
      <c r="BJ9" s="53">
        <v>0.19048668750000031</v>
      </c>
      <c r="BK9" s="54">
        <v>8.311581250000033E-2</v>
      </c>
      <c r="BL9" s="54">
        <v>4.6950791666666714E-2</v>
      </c>
      <c r="BM9" s="55">
        <v>0.12677731249999979</v>
      </c>
    </row>
    <row r="10" spans="1:65" x14ac:dyDescent="0.2">
      <c r="B10" s="45">
        <v>8</v>
      </c>
      <c r="C10" s="14">
        <v>3.2073865000000001</v>
      </c>
      <c r="D10" s="14">
        <v>2.6323430000000001</v>
      </c>
      <c r="E10" s="14">
        <v>3.1846463333333337</v>
      </c>
      <c r="F10" s="14">
        <v>1.6133502499999999</v>
      </c>
      <c r="G10" s="15">
        <v>2.5345151666666665</v>
      </c>
      <c r="H10" s="15">
        <v>6.9871096666666661</v>
      </c>
      <c r="I10" s="15">
        <v>1.9861240833333333</v>
      </c>
      <c r="J10" s="16">
        <v>2.2008079999999994</v>
      </c>
      <c r="K10" s="16">
        <v>3.4224389999999993</v>
      </c>
      <c r="L10" s="16">
        <v>3.955718249999999</v>
      </c>
      <c r="M10" s="16">
        <v>2.1177403333333333</v>
      </c>
      <c r="N10" s="17">
        <v>4.5321579999999999</v>
      </c>
      <c r="O10" s="17">
        <v>5.0002823333333337</v>
      </c>
      <c r="P10" s="17">
        <v>2.4393595833333332</v>
      </c>
      <c r="Q10" s="17">
        <v>6.1659759999999997</v>
      </c>
      <c r="T10" s="45">
        <v>8</v>
      </c>
      <c r="U10" s="14">
        <f t="shared" si="6"/>
        <v>5.8349416666666709E-2</v>
      </c>
      <c r="V10" s="14">
        <f t="shared" si="1"/>
        <v>8.5676666666669732E-3</v>
      </c>
      <c r="W10" s="14">
        <f t="shared" si="1"/>
        <v>1.2016250000000728E-2</v>
      </c>
      <c r="X10" s="14">
        <f t="shared" si="1"/>
        <v>3.008674999999994E-2</v>
      </c>
      <c r="Y10" s="15">
        <f t="shared" si="1"/>
        <v>0.12188099999999924</v>
      </c>
      <c r="Z10" s="15">
        <f t="shared" si="1"/>
        <v>0.17473033333333365</v>
      </c>
      <c r="AA10" s="15">
        <f t="shared" si="1"/>
        <v>2.1298333333330532E-3</v>
      </c>
      <c r="AB10" s="16">
        <f t="shared" si="1"/>
        <v>0</v>
      </c>
      <c r="AC10" s="16">
        <f t="shared" si="1"/>
        <v>0</v>
      </c>
      <c r="AD10" s="16">
        <f t="shared" si="1"/>
        <v>1.5094499999998678E-2</v>
      </c>
      <c r="AE10" s="16">
        <f t="shared" si="1"/>
        <v>3.5491333333332875E-2</v>
      </c>
      <c r="AF10" s="17">
        <f t="shared" si="1"/>
        <v>0.19264708333333402</v>
      </c>
      <c r="AG10" s="17">
        <f t="shared" si="1"/>
        <v>0.10471350000000079</v>
      </c>
      <c r="AH10" s="17">
        <f t="shared" si="1"/>
        <v>5.7497250000000388E-2</v>
      </c>
      <c r="AI10" s="17">
        <f t="shared" si="1"/>
        <v>0</v>
      </c>
      <c r="AK10" s="5">
        <v>8</v>
      </c>
      <c r="AL10" s="57">
        <f t="shared" si="5"/>
        <v>2.7255020833333587E-2</v>
      </c>
      <c r="AM10">
        <f t="shared" si="2"/>
        <v>9.9580388888888649E-2</v>
      </c>
      <c r="AN10">
        <f t="shared" si="3"/>
        <v>1.2646458333332888E-2</v>
      </c>
      <c r="AO10">
        <f t="shared" si="4"/>
        <v>8.8714458333333801E-2</v>
      </c>
      <c r="AQ10" s="52">
        <v>7</v>
      </c>
      <c r="AR10" s="53">
        <v>1.472193750000006E-2</v>
      </c>
      <c r="AS10" s="54">
        <v>1.2763312500000401E-2</v>
      </c>
      <c r="AT10" s="54">
        <v>6.376854166667334E-3</v>
      </c>
      <c r="AU10" s="55">
        <v>5.6865833333330507E-3</v>
      </c>
      <c r="AW10" s="52">
        <v>7</v>
      </c>
      <c r="AX10" s="53">
        <v>0.10747883333333363</v>
      </c>
      <c r="AY10" s="54">
        <v>5.8174444444444084E-2</v>
      </c>
      <c r="AZ10" s="54">
        <v>8.7232694444444078E-2</v>
      </c>
      <c r="BA10" s="55">
        <v>0.13380158333333311</v>
      </c>
      <c r="BC10" s="52">
        <v>7</v>
      </c>
      <c r="BD10" s="53">
        <v>8.7204166666666749E-3</v>
      </c>
      <c r="BE10" s="54">
        <v>9.2326458333327199E-3</v>
      </c>
      <c r="BF10" s="54">
        <v>2.2745020833333407E-2</v>
      </c>
      <c r="BG10" s="55">
        <v>3.1762708333333167E-2</v>
      </c>
      <c r="BI10" s="52">
        <v>7</v>
      </c>
      <c r="BJ10" s="53">
        <v>0.10485229166666588</v>
      </c>
      <c r="BK10" s="54">
        <v>5.4198041666666752E-2</v>
      </c>
      <c r="BL10" s="54">
        <v>4.9227916666667371E-2</v>
      </c>
      <c r="BM10" s="55">
        <v>0.15882345833333389</v>
      </c>
    </row>
    <row r="11" spans="1:65" x14ac:dyDescent="0.2">
      <c r="B11" s="45">
        <v>9</v>
      </c>
      <c r="C11" s="14">
        <v>3.2743345000000001</v>
      </c>
      <c r="D11" s="14">
        <v>2.647605916666667</v>
      </c>
      <c r="E11" s="14">
        <v>3.2014434166666668</v>
      </c>
      <c r="F11" s="14">
        <v>1.6450554999999998</v>
      </c>
      <c r="G11" s="15">
        <v>2.65639475</v>
      </c>
      <c r="H11" s="15">
        <v>7.1405804999999996</v>
      </c>
      <c r="I11" s="15">
        <v>1.9882697499999999</v>
      </c>
      <c r="J11" s="16">
        <v>2.2008079999999994</v>
      </c>
      <c r="K11" s="16">
        <v>3.4224389999999993</v>
      </c>
      <c r="L11" s="16">
        <v>3.9593810833333336</v>
      </c>
      <c r="M11" s="16">
        <v>2.1816254166666669</v>
      </c>
      <c r="N11" s="17">
        <v>4.8154525000000001</v>
      </c>
      <c r="O11" s="17">
        <v>5.0722782500000001</v>
      </c>
      <c r="P11" s="17">
        <v>2.4574139166666664</v>
      </c>
      <c r="Q11" s="17">
        <v>6.1742844999999997</v>
      </c>
      <c r="T11" s="45">
        <v>9</v>
      </c>
      <c r="U11" s="14">
        <f t="shared" si="6"/>
        <v>6.6948000000000008E-2</v>
      </c>
      <c r="V11" s="14">
        <f t="shared" si="1"/>
        <v>1.5262916666666904E-2</v>
      </c>
      <c r="W11" s="14">
        <f t="shared" si="1"/>
        <v>1.6797083333333074E-2</v>
      </c>
      <c r="X11" s="14">
        <f t="shared" si="1"/>
        <v>3.1705249999999907E-2</v>
      </c>
      <c r="Y11" s="15">
        <f t="shared" si="1"/>
        <v>0.12187958333333349</v>
      </c>
      <c r="Z11" s="15">
        <f t="shared" si="1"/>
        <v>0.15347083333333345</v>
      </c>
      <c r="AA11" s="15">
        <f t="shared" si="1"/>
        <v>2.1456666666666013E-3</v>
      </c>
      <c r="AB11" s="16">
        <f t="shared" si="1"/>
        <v>0</v>
      </c>
      <c r="AC11" s="16">
        <f t="shared" si="1"/>
        <v>0</v>
      </c>
      <c r="AD11" s="16">
        <f t="shared" si="1"/>
        <v>3.6628333333346141E-3</v>
      </c>
      <c r="AE11" s="16">
        <f t="shared" si="1"/>
        <v>6.3885083333333537E-2</v>
      </c>
      <c r="AF11" s="17">
        <f t="shared" si="1"/>
        <v>0.28329450000000023</v>
      </c>
      <c r="AG11" s="17">
        <f t="shared" si="1"/>
        <v>7.1995916666666382E-2</v>
      </c>
      <c r="AH11" s="17">
        <f t="shared" si="1"/>
        <v>1.8054333333333172E-2</v>
      </c>
      <c r="AI11" s="17">
        <f t="shared" si="1"/>
        <v>8.308500000000052E-3</v>
      </c>
      <c r="AK11" s="5">
        <v>9</v>
      </c>
      <c r="AL11" s="57">
        <f t="shared" si="5"/>
        <v>3.2678312499999973E-2</v>
      </c>
      <c r="AM11">
        <f t="shared" si="2"/>
        <v>9.2498694444444515E-2</v>
      </c>
      <c r="AN11">
        <f t="shared" si="3"/>
        <v>1.6886979166667038E-2</v>
      </c>
      <c r="AO11">
        <f t="shared" si="4"/>
        <v>9.5413312499999958E-2</v>
      </c>
      <c r="AQ11" s="52">
        <v>8</v>
      </c>
      <c r="AR11" s="53">
        <v>2.7255020833333587E-2</v>
      </c>
      <c r="AS11" s="54">
        <v>2.7199749999999301E-2</v>
      </c>
      <c r="AT11" s="54">
        <v>3.0139166666662831E-3</v>
      </c>
      <c r="AU11" s="55">
        <v>1.5462291666672456E-3</v>
      </c>
      <c r="AW11" s="52">
        <v>8</v>
      </c>
      <c r="AX11" s="53">
        <v>9.9580388888888649E-2</v>
      </c>
      <c r="AY11" s="54">
        <v>6.9419611111111834E-2</v>
      </c>
      <c r="AZ11" s="54">
        <v>7.7118472222222678E-2</v>
      </c>
      <c r="BA11" s="55">
        <v>9.3285000000001617E-2</v>
      </c>
      <c r="BC11" s="52">
        <v>8</v>
      </c>
      <c r="BD11" s="53">
        <v>1.2646458333332888E-2</v>
      </c>
      <c r="BE11" s="54">
        <v>9.4255208333329232E-3</v>
      </c>
      <c r="BF11" s="54">
        <v>3.9831604166666645E-2</v>
      </c>
      <c r="BG11" s="55">
        <v>1.5495145833333446E-2</v>
      </c>
      <c r="BI11" s="52">
        <v>8</v>
      </c>
      <c r="BJ11" s="53">
        <v>8.8714458333333801E-2</v>
      </c>
      <c r="BK11" s="54">
        <v>1.5074958333333166E-2</v>
      </c>
      <c r="BL11" s="54">
        <v>6.6198958333332447E-2</v>
      </c>
      <c r="BM11" s="55">
        <v>0.20729766666666793</v>
      </c>
    </row>
    <row r="12" spans="1:65" x14ac:dyDescent="0.2">
      <c r="B12" s="45">
        <v>10</v>
      </c>
      <c r="C12" s="14">
        <v>3.34044125</v>
      </c>
      <c r="D12" s="14">
        <v>2.6724484166666671</v>
      </c>
      <c r="E12" s="14">
        <v>3.2286369166666664</v>
      </c>
      <c r="F12" s="14">
        <v>1.6824436666666667</v>
      </c>
      <c r="G12" s="15">
        <v>2.7589397499999992</v>
      </c>
      <c r="H12" s="15">
        <v>7.1919639999999996</v>
      </c>
      <c r="I12" s="15">
        <v>1.99593025</v>
      </c>
      <c r="J12" s="16">
        <v>2.2008079999999994</v>
      </c>
      <c r="K12" s="16">
        <v>3.4224389999999993</v>
      </c>
      <c r="L12" s="16">
        <v>4.0626796666666669</v>
      </c>
      <c r="M12" s="16">
        <v>2.2443588333333335</v>
      </c>
      <c r="N12" s="17">
        <v>5.2987259166666663</v>
      </c>
      <c r="O12" s="17">
        <v>5.2570625</v>
      </c>
      <c r="P12" s="17">
        <v>2.4908844999999995</v>
      </c>
      <c r="Q12" s="17">
        <v>6.1986745833333323</v>
      </c>
      <c r="T12" s="45">
        <v>10</v>
      </c>
      <c r="U12" s="14">
        <f t="shared" si="6"/>
        <v>6.6106749999999881E-2</v>
      </c>
      <c r="V12" s="14">
        <f t="shared" si="1"/>
        <v>2.4842500000000101E-2</v>
      </c>
      <c r="W12" s="14">
        <f t="shared" si="1"/>
        <v>2.7193499999999649E-2</v>
      </c>
      <c r="X12" s="14">
        <f t="shared" si="1"/>
        <v>3.7388166666666889E-2</v>
      </c>
      <c r="Y12" s="15">
        <f t="shared" si="1"/>
        <v>0.10254499999999922</v>
      </c>
      <c r="Z12" s="15">
        <f t="shared" si="1"/>
        <v>5.1383500000000026E-2</v>
      </c>
      <c r="AA12" s="15">
        <f t="shared" si="1"/>
        <v>7.66050000000007E-3</v>
      </c>
      <c r="AB12" s="16">
        <f t="shared" si="1"/>
        <v>0</v>
      </c>
      <c r="AC12" s="16">
        <f t="shared" si="1"/>
        <v>0</v>
      </c>
      <c r="AD12" s="16">
        <f t="shared" si="1"/>
        <v>0.1032985833333333</v>
      </c>
      <c r="AE12" s="16">
        <f t="shared" si="1"/>
        <v>6.2733416666666653E-2</v>
      </c>
      <c r="AF12" s="17">
        <f t="shared" si="1"/>
        <v>0.48327341666666612</v>
      </c>
      <c r="AG12" s="17">
        <f t="shared" si="1"/>
        <v>0.18478424999999987</v>
      </c>
      <c r="AH12" s="17">
        <f t="shared" si="1"/>
        <v>3.3470583333333082E-2</v>
      </c>
      <c r="AI12" s="17">
        <f t="shared" si="1"/>
        <v>2.4390083333332591E-2</v>
      </c>
      <c r="AK12" s="5">
        <v>10</v>
      </c>
      <c r="AL12" s="57">
        <f t="shared" si="5"/>
        <v>3.888272916666663E-2</v>
      </c>
      <c r="AM12">
        <f t="shared" si="2"/>
        <v>5.3862999999999772E-2</v>
      </c>
      <c r="AN12">
        <f t="shared" si="3"/>
        <v>4.1507999999999989E-2</v>
      </c>
      <c r="AO12">
        <f t="shared" si="4"/>
        <v>0.18147958333333292</v>
      </c>
      <c r="AQ12" s="52">
        <v>9</v>
      </c>
      <c r="AR12" s="53">
        <v>3.2678312499999973E-2</v>
      </c>
      <c r="AS12" s="54">
        <v>3.1809625000000286E-2</v>
      </c>
      <c r="AT12" s="54">
        <v>2.6182083333325945E-3</v>
      </c>
      <c r="AU12" s="55">
        <v>1.0357083333327743E-3</v>
      </c>
      <c r="AW12" s="52">
        <v>9</v>
      </c>
      <c r="AX12" s="53">
        <v>9.2498694444444515E-2</v>
      </c>
      <c r="AY12" s="54">
        <v>9.4167166666666205E-2</v>
      </c>
      <c r="AZ12" s="54">
        <v>4.321722222222283E-2</v>
      </c>
      <c r="BA12" s="55">
        <v>7.7729388888887918E-2</v>
      </c>
      <c r="BC12" s="52">
        <v>9</v>
      </c>
      <c r="BD12" s="53">
        <v>1.6886979166667038E-2</v>
      </c>
      <c r="BE12" s="54">
        <v>1.2021645833333428E-2</v>
      </c>
      <c r="BF12" s="54">
        <v>0.10075768750000003</v>
      </c>
      <c r="BG12" s="55">
        <v>8.8613541666660023E-3</v>
      </c>
      <c r="BI12" s="52">
        <v>9</v>
      </c>
      <c r="BJ12" s="53">
        <v>9.5413312499999958E-2</v>
      </c>
      <c r="BK12" s="54">
        <v>6.3051520833332431E-2</v>
      </c>
      <c r="BL12" s="54">
        <v>0.13740375000000093</v>
      </c>
      <c r="BM12" s="55">
        <v>0.1840397083333325</v>
      </c>
    </row>
    <row r="13" spans="1:65" x14ac:dyDescent="0.2">
      <c r="B13" s="45">
        <v>11</v>
      </c>
      <c r="C13" s="14">
        <v>3.371616916666667</v>
      </c>
      <c r="D13" s="14">
        <v>2.687478833333333</v>
      </c>
      <c r="E13" s="14">
        <v>3.2561027499999997</v>
      </c>
      <c r="F13" s="14">
        <v>1.7236425000000002</v>
      </c>
      <c r="G13" s="15">
        <v>2.9832299166666671</v>
      </c>
      <c r="H13" s="15">
        <v>7.1919639999999996</v>
      </c>
      <c r="I13" s="15">
        <v>2.2482332499999997</v>
      </c>
      <c r="J13" s="16">
        <v>2.2008079999999994</v>
      </c>
      <c r="K13" s="16">
        <v>3.4224389999999993</v>
      </c>
      <c r="L13" s="16">
        <v>4.1608292499999999</v>
      </c>
      <c r="M13" s="16">
        <v>2.3164773333333337</v>
      </c>
      <c r="N13" s="17">
        <v>5.3377789999999985</v>
      </c>
      <c r="O13" s="17">
        <v>5.5763524999999996</v>
      </c>
      <c r="P13" s="17">
        <v>2.5243584999999999</v>
      </c>
      <c r="Q13" s="17">
        <v>6.223089916666666</v>
      </c>
      <c r="T13" s="45">
        <v>11</v>
      </c>
      <c r="U13" s="14">
        <f t="shared" si="6"/>
        <v>3.1175666666666935E-2</v>
      </c>
      <c r="V13" s="14">
        <f t="shared" si="1"/>
        <v>1.5030416666665936E-2</v>
      </c>
      <c r="W13" s="14">
        <f t="shared" si="1"/>
        <v>2.74658333333333E-2</v>
      </c>
      <c r="X13" s="14">
        <f t="shared" si="1"/>
        <v>4.1198833333333518E-2</v>
      </c>
      <c r="Y13" s="15">
        <f t="shared" si="1"/>
        <v>0.2242901666666679</v>
      </c>
      <c r="Z13" s="15">
        <f t="shared" si="1"/>
        <v>0</v>
      </c>
      <c r="AA13" s="15">
        <f t="shared" si="1"/>
        <v>0.25230299999999972</v>
      </c>
      <c r="AB13" s="16">
        <f t="shared" si="1"/>
        <v>0</v>
      </c>
      <c r="AC13" s="16">
        <f t="shared" si="1"/>
        <v>0</v>
      </c>
      <c r="AD13" s="16">
        <f t="shared" si="1"/>
        <v>9.8149583333333013E-2</v>
      </c>
      <c r="AE13" s="16">
        <f t="shared" si="1"/>
        <v>7.2118500000000196E-2</v>
      </c>
      <c r="AF13" s="17">
        <f t="shared" si="1"/>
        <v>3.9053083333332239E-2</v>
      </c>
      <c r="AG13" s="17">
        <f t="shared" si="1"/>
        <v>0.31928999999999963</v>
      </c>
      <c r="AH13" s="17">
        <f t="shared" si="1"/>
        <v>3.3474000000000448E-2</v>
      </c>
      <c r="AI13" s="17">
        <f t="shared" si="1"/>
        <v>2.4415333333333678E-2</v>
      </c>
      <c r="AK13" s="5">
        <v>11</v>
      </c>
      <c r="AL13" s="57">
        <f t="shared" si="5"/>
        <v>2.8717687499999922E-2</v>
      </c>
      <c r="AM13">
        <f t="shared" si="2"/>
        <v>0.15886438888888921</v>
      </c>
      <c r="AN13">
        <f t="shared" si="3"/>
        <v>4.2567020833333302E-2</v>
      </c>
      <c r="AO13">
        <f t="shared" si="4"/>
        <v>0.1040581041666665</v>
      </c>
      <c r="AQ13" s="52">
        <v>10</v>
      </c>
      <c r="AR13" s="53">
        <v>3.888272916666663E-2</v>
      </c>
      <c r="AS13" s="54">
        <v>5.0806666666667111E-2</v>
      </c>
      <c r="AT13" s="54">
        <v>3.1880000000003017E-3</v>
      </c>
      <c r="AU13" s="55">
        <v>1.1179583333331689E-3</v>
      </c>
      <c r="AW13" s="52">
        <v>10</v>
      </c>
      <c r="AX13" s="53">
        <v>5.3862999999999772E-2</v>
      </c>
      <c r="AY13" s="54">
        <v>1.7599416666665608E-2</v>
      </c>
      <c r="AZ13" s="54">
        <v>3.3455305555555391E-2</v>
      </c>
      <c r="BA13" s="55">
        <v>2.8360583333334393E-2</v>
      </c>
      <c r="BC13" s="52">
        <v>10</v>
      </c>
      <c r="BD13" s="53">
        <v>4.1507999999999989E-2</v>
      </c>
      <c r="BE13" s="54">
        <v>1.2323833333333201E-2</v>
      </c>
      <c r="BF13" s="54">
        <v>5.6600750000000977E-2</v>
      </c>
      <c r="BG13" s="55">
        <v>5.8652916666677157E-3</v>
      </c>
      <c r="BI13" s="52">
        <v>10</v>
      </c>
      <c r="BJ13" s="53">
        <v>0.18147958333333292</v>
      </c>
      <c r="BK13" s="54">
        <v>8.4941687500000418E-2</v>
      </c>
      <c r="BL13" s="54">
        <v>9.184583333333185E-2</v>
      </c>
      <c r="BM13" s="55">
        <v>2.6741687500000833E-2</v>
      </c>
    </row>
    <row r="14" spans="1:65" x14ac:dyDescent="0.2">
      <c r="B14" s="45">
        <v>12</v>
      </c>
      <c r="C14" s="14">
        <v>3.3844914166666662</v>
      </c>
      <c r="D14" s="14">
        <v>2.688490666666667</v>
      </c>
      <c r="E14" s="14">
        <v>3.2821213333333343</v>
      </c>
      <c r="F14" s="14">
        <v>1.7648411666666668</v>
      </c>
      <c r="G14" s="15">
        <v>3.2277645000000006</v>
      </c>
      <c r="H14" s="15">
        <v>7.2601665833333335</v>
      </c>
      <c r="I14" s="15">
        <v>2.4573240833333325</v>
      </c>
      <c r="J14" s="16">
        <v>2.2008079999999994</v>
      </c>
      <c r="K14" s="16">
        <v>3.4224389999999993</v>
      </c>
      <c r="L14" s="16">
        <v>4.2328754166666664</v>
      </c>
      <c r="M14" s="16">
        <v>2.396652</v>
      </c>
      <c r="N14" s="17">
        <v>5.4115472500000008</v>
      </c>
      <c r="O14" s="17">
        <v>5.8106460833333342</v>
      </c>
      <c r="P14" s="17">
        <v>2.5581649166666662</v>
      </c>
      <c r="Q14" s="17">
        <v>6.2765990833333332</v>
      </c>
      <c r="T14" s="45">
        <v>12</v>
      </c>
      <c r="U14" s="14">
        <f t="shared" si="6"/>
        <v>1.2874499999999234E-2</v>
      </c>
      <c r="V14" s="14">
        <f t="shared" si="1"/>
        <v>1.0118333333339891E-3</v>
      </c>
      <c r="W14" s="14">
        <f t="shared" si="1"/>
        <v>2.6018583333334622E-2</v>
      </c>
      <c r="X14" s="14">
        <f t="shared" si="1"/>
        <v>4.1198666666666606E-2</v>
      </c>
      <c r="Y14" s="15">
        <f t="shared" si="1"/>
        <v>0.24453458333333344</v>
      </c>
      <c r="Z14" s="15">
        <f t="shared" si="1"/>
        <v>6.8202583333333955E-2</v>
      </c>
      <c r="AA14" s="15">
        <f t="shared" si="1"/>
        <v>0.20909083333333278</v>
      </c>
      <c r="AB14" s="16">
        <f t="shared" si="1"/>
        <v>0</v>
      </c>
      <c r="AC14" s="16">
        <f t="shared" si="1"/>
        <v>0</v>
      </c>
      <c r="AD14" s="16">
        <f t="shared" si="1"/>
        <v>7.2046166666666522E-2</v>
      </c>
      <c r="AE14" s="16">
        <f t="shared" si="1"/>
        <v>8.0174666666666283E-2</v>
      </c>
      <c r="AF14" s="17">
        <f t="shared" si="1"/>
        <v>7.3768250000002311E-2</v>
      </c>
      <c r="AG14" s="17">
        <f t="shared" si="1"/>
        <v>0.23429358333333461</v>
      </c>
      <c r="AH14" s="17">
        <f t="shared" si="1"/>
        <v>3.3806416666666284E-2</v>
      </c>
      <c r="AI14" s="17">
        <f t="shared" si="1"/>
        <v>5.3509166666667163E-2</v>
      </c>
      <c r="AK14" s="5">
        <v>12</v>
      </c>
      <c r="AL14" s="57">
        <f t="shared" si="5"/>
        <v>2.0275895833333613E-2</v>
      </c>
      <c r="AM14">
        <f t="shared" si="2"/>
        <v>0.17394266666666672</v>
      </c>
      <c r="AN14">
        <f t="shared" si="3"/>
        <v>3.8055208333333201E-2</v>
      </c>
      <c r="AO14">
        <f t="shared" si="4"/>
        <v>9.8844354166667592E-2</v>
      </c>
      <c r="AQ14" s="52">
        <v>11</v>
      </c>
      <c r="AR14" s="53">
        <v>2.8717687499999922E-2</v>
      </c>
      <c r="AS14" s="54">
        <v>6.2478604166666396E-2</v>
      </c>
      <c r="AT14" s="54">
        <v>1.7166250000002492E-3</v>
      </c>
      <c r="AU14" s="55">
        <v>4.1403541666669152E-3</v>
      </c>
      <c r="AW14" s="52">
        <v>11</v>
      </c>
      <c r="AX14" s="53">
        <v>0.15886438888888921</v>
      </c>
      <c r="AY14" s="54">
        <v>4.0097194444444227E-2</v>
      </c>
      <c r="AZ14" s="54">
        <v>6.3391583333331766E-2</v>
      </c>
      <c r="BA14" s="55">
        <v>1.7255277777780502E-3</v>
      </c>
      <c r="BC14" s="52">
        <v>11</v>
      </c>
      <c r="BD14" s="53">
        <v>4.2567020833333302E-2</v>
      </c>
      <c r="BE14" s="54">
        <v>2.0508749999998965E-3</v>
      </c>
      <c r="BF14" s="54">
        <v>3.5834458333332986E-2</v>
      </c>
      <c r="BG14" s="55">
        <v>5.7147916666666632E-3</v>
      </c>
      <c r="BI14" s="52">
        <v>11</v>
      </c>
      <c r="BJ14" s="53">
        <v>0.1040581041666665</v>
      </c>
      <c r="BK14" s="54">
        <v>4.5357124999999776E-2</v>
      </c>
      <c r="BL14" s="54">
        <v>7.2196145833333114E-2</v>
      </c>
      <c r="BM14" s="55">
        <v>9.8810416666654799E-3</v>
      </c>
    </row>
    <row r="15" spans="1:65" x14ac:dyDescent="0.2">
      <c r="B15" s="45">
        <v>13</v>
      </c>
      <c r="C15" s="14">
        <v>3.3973659999999999</v>
      </c>
      <c r="D15" s="14">
        <v>2.6884930000000007</v>
      </c>
      <c r="E15" s="14">
        <v>3.2938083333333332</v>
      </c>
      <c r="F15" s="14">
        <v>1.806039916666667</v>
      </c>
      <c r="G15" s="15">
        <v>3.2348737500000002</v>
      </c>
      <c r="H15" s="15">
        <v>7.3593510000000029</v>
      </c>
      <c r="I15" s="15">
        <v>2.4573299999999993</v>
      </c>
      <c r="J15" s="16">
        <v>2.2008079999999994</v>
      </c>
      <c r="K15" s="16">
        <v>3.4224389999999993</v>
      </c>
      <c r="L15" s="16">
        <v>4.3049730833333326</v>
      </c>
      <c r="M15" s="16">
        <v>2.4781902499999995</v>
      </c>
      <c r="N15" s="17">
        <v>5.5405681666666666</v>
      </c>
      <c r="O15" s="17">
        <v>5.9081452500000005</v>
      </c>
      <c r="P15" s="17">
        <v>2.608418083333333</v>
      </c>
      <c r="Q15" s="17">
        <v>6.3451881666666665</v>
      </c>
      <c r="T15" s="45">
        <v>13</v>
      </c>
      <c r="U15" s="14">
        <f t="shared" si="6"/>
        <v>1.2874583333333689E-2</v>
      </c>
      <c r="V15" s="14">
        <f t="shared" si="1"/>
        <v>2.3333333336594819E-6</v>
      </c>
      <c r="W15" s="14">
        <f t="shared" si="1"/>
        <v>1.1686999999998893E-2</v>
      </c>
      <c r="X15" s="14">
        <f t="shared" si="1"/>
        <v>4.1198750000000173E-2</v>
      </c>
      <c r="Y15" s="15">
        <f t="shared" si="1"/>
        <v>7.1092499999996228E-3</v>
      </c>
      <c r="Z15" s="15">
        <f t="shared" si="1"/>
        <v>9.9184416666669328E-2</v>
      </c>
      <c r="AA15" s="15">
        <f t="shared" si="1"/>
        <v>5.9166666668275525E-6</v>
      </c>
      <c r="AB15" s="16">
        <f t="shared" si="1"/>
        <v>0</v>
      </c>
      <c r="AC15" s="16">
        <f t="shared" si="1"/>
        <v>0</v>
      </c>
      <c r="AD15" s="16">
        <f t="shared" si="1"/>
        <v>7.2097666666666171E-2</v>
      </c>
      <c r="AE15" s="16">
        <f t="shared" si="1"/>
        <v>8.1538249999999479E-2</v>
      </c>
      <c r="AF15" s="17">
        <f t="shared" si="1"/>
        <v>0.12902091666666582</v>
      </c>
      <c r="AG15" s="17">
        <f t="shared" si="1"/>
        <v>9.7499166666666248E-2</v>
      </c>
      <c r="AH15" s="17">
        <f t="shared" si="1"/>
        <v>5.0253166666666793E-2</v>
      </c>
      <c r="AI15" s="17">
        <f t="shared" si="1"/>
        <v>6.8589083333333356E-2</v>
      </c>
      <c r="AK15" s="5">
        <v>13</v>
      </c>
      <c r="AL15" s="57">
        <f t="shared" si="5"/>
        <v>1.6440666666666603E-2</v>
      </c>
      <c r="AM15">
        <f t="shared" si="2"/>
        <v>3.543319444444526E-2</v>
      </c>
      <c r="AN15">
        <f t="shared" si="3"/>
        <v>3.8408979166666413E-2</v>
      </c>
      <c r="AO15">
        <f t="shared" si="4"/>
        <v>8.6340583333333054E-2</v>
      </c>
      <c r="AQ15" s="52">
        <v>12</v>
      </c>
      <c r="AR15" s="53">
        <v>2.0275895833333613E-2</v>
      </c>
      <c r="AS15" s="54">
        <v>3.9045312499999763E-2</v>
      </c>
      <c r="AT15" s="54">
        <v>3.0410625000001357E-3</v>
      </c>
      <c r="AU15" s="55">
        <v>2.0588854166666559E-2</v>
      </c>
      <c r="AW15" s="52">
        <v>12</v>
      </c>
      <c r="AX15" s="53">
        <v>0.17394266666666672</v>
      </c>
      <c r="AY15" s="54">
        <v>5.190519444444449E-2</v>
      </c>
      <c r="AZ15" s="54">
        <v>1.5465166666667862E-2</v>
      </c>
      <c r="BA15" s="55">
        <v>1.1443888888888292E-3</v>
      </c>
      <c r="BC15" s="52">
        <v>12</v>
      </c>
      <c r="BD15" s="53">
        <v>3.8055208333333201E-2</v>
      </c>
      <c r="BE15" s="54">
        <v>0</v>
      </c>
      <c r="BF15" s="54">
        <v>2.6902583333333174E-2</v>
      </c>
      <c r="BG15" s="55">
        <v>1.8765354166666803E-2</v>
      </c>
      <c r="BI15" s="52">
        <v>12</v>
      </c>
      <c r="BJ15" s="53">
        <v>9.8844354166667592E-2</v>
      </c>
      <c r="BK15" s="54">
        <v>4.4037416666667273E-2</v>
      </c>
      <c r="BL15" s="54">
        <v>8.0197083333334751E-2</v>
      </c>
      <c r="BM15" s="55">
        <v>2.4871375000000251E-2</v>
      </c>
    </row>
    <row r="16" spans="1:65" x14ac:dyDescent="0.2">
      <c r="B16" s="45">
        <v>14</v>
      </c>
      <c r="C16" s="14">
        <v>3.4093722500000001</v>
      </c>
      <c r="D16" s="14">
        <v>2.6884930000000007</v>
      </c>
      <c r="E16" s="14">
        <v>3.3518649999999997</v>
      </c>
      <c r="F16" s="14">
        <v>1.8364157500000002</v>
      </c>
      <c r="G16" s="15">
        <v>3.2408820000000005</v>
      </c>
      <c r="H16" s="15">
        <v>7.4088554166666674</v>
      </c>
      <c r="I16" s="15">
        <v>2.5667810833333333</v>
      </c>
      <c r="J16" s="16">
        <v>2.2008079999999994</v>
      </c>
      <c r="K16" s="16">
        <v>3.4496494166666665</v>
      </c>
      <c r="L16" s="16">
        <v>4.3752734999999996</v>
      </c>
      <c r="M16" s="16">
        <v>2.5597293333333333</v>
      </c>
      <c r="N16" s="17">
        <v>5.5502269999999996</v>
      </c>
      <c r="O16" s="17">
        <v>5.9726988333333333</v>
      </c>
      <c r="P16" s="17">
        <v>2.6650663333333333</v>
      </c>
      <c r="Q16" s="17">
        <v>6.5767521666666653</v>
      </c>
      <c r="T16" s="45">
        <v>14</v>
      </c>
      <c r="U16" s="14">
        <f t="shared" si="6"/>
        <v>1.2006250000000218E-2</v>
      </c>
      <c r="V16" s="14">
        <f t="shared" si="1"/>
        <v>0</v>
      </c>
      <c r="W16" s="14">
        <f t="shared" si="1"/>
        <v>5.8056666666666423E-2</v>
      </c>
      <c r="X16" s="14">
        <f t="shared" si="1"/>
        <v>3.0375833333333269E-2</v>
      </c>
      <c r="Y16" s="15">
        <f t="shared" si="1"/>
        <v>6.0082500000002703E-3</v>
      </c>
      <c r="Z16" s="15">
        <f t="shared" si="1"/>
        <v>4.9504416666664497E-2</v>
      </c>
      <c r="AA16" s="15">
        <f t="shared" si="1"/>
        <v>0.10945108333333398</v>
      </c>
      <c r="AB16" s="16">
        <f t="shared" si="1"/>
        <v>0</v>
      </c>
      <c r="AC16" s="16">
        <f t="shared" si="1"/>
        <v>2.7210416666667125E-2</v>
      </c>
      <c r="AD16" s="16">
        <f t="shared" si="1"/>
        <v>7.0300416666666976E-2</v>
      </c>
      <c r="AE16" s="16">
        <f t="shared" si="1"/>
        <v>8.1539083333333817E-2</v>
      </c>
      <c r="AF16" s="17">
        <f t="shared" si="1"/>
        <v>9.6588333333329501E-3</v>
      </c>
      <c r="AG16" s="17">
        <f t="shared" si="1"/>
        <v>6.4553583333332831E-2</v>
      </c>
      <c r="AH16" s="17">
        <f t="shared" si="1"/>
        <v>5.6648250000000289E-2</v>
      </c>
      <c r="AI16" s="17">
        <f t="shared" si="1"/>
        <v>0.23156399999999877</v>
      </c>
      <c r="AK16" s="5">
        <v>14</v>
      </c>
      <c r="AL16" s="57">
        <f t="shared" si="5"/>
        <v>2.5109687499999978E-2</v>
      </c>
      <c r="AM16">
        <f t="shared" si="2"/>
        <v>5.4987916666666248E-2</v>
      </c>
      <c r="AN16">
        <f t="shared" si="3"/>
        <v>4.476247916666698E-2</v>
      </c>
      <c r="AO16">
        <f t="shared" si="4"/>
        <v>9.060616666666621E-2</v>
      </c>
      <c r="AQ16" s="52">
        <v>13</v>
      </c>
      <c r="AR16" s="53">
        <v>1.6440666666666603E-2</v>
      </c>
      <c r="AS16" s="54">
        <v>3.284304166666685E-2</v>
      </c>
      <c r="AT16" s="54">
        <v>7.1741250000001422E-3</v>
      </c>
      <c r="AU16" s="55">
        <v>3.3736895833333502E-2</v>
      </c>
      <c r="AW16" s="52">
        <v>13</v>
      </c>
      <c r="AX16" s="53">
        <v>3.543319444444526E-2</v>
      </c>
      <c r="AY16" s="54">
        <v>2.3633750000000415E-2</v>
      </c>
      <c r="AZ16" s="54">
        <v>9.1552777777777674E-3</v>
      </c>
      <c r="BA16" s="55">
        <v>1.1443888888888292E-3</v>
      </c>
      <c r="BC16" s="52">
        <v>13</v>
      </c>
      <c r="BD16" s="53">
        <v>3.8408979166666413E-2</v>
      </c>
      <c r="BE16" s="54">
        <v>0</v>
      </c>
      <c r="BF16" s="54">
        <v>2.8835916666666961E-2</v>
      </c>
      <c r="BG16" s="55">
        <v>3.2529020833332645E-2</v>
      </c>
      <c r="BI16" s="52">
        <v>13</v>
      </c>
      <c r="BJ16" s="53">
        <v>8.6340583333333054E-2</v>
      </c>
      <c r="BK16" s="54">
        <v>9.5839124999998582E-2</v>
      </c>
      <c r="BL16" s="54">
        <v>5.6894249999998703E-2</v>
      </c>
      <c r="BM16" s="55">
        <v>2.3900458333332431E-2</v>
      </c>
    </row>
    <row r="17" spans="2:65" x14ac:dyDescent="0.2">
      <c r="B17" s="45">
        <v>15</v>
      </c>
      <c r="C17" s="14">
        <v>3.4203340833333336</v>
      </c>
      <c r="D17" s="14">
        <v>2.8609209999999998</v>
      </c>
      <c r="E17" s="14">
        <v>3.4231044999999996</v>
      </c>
      <c r="F17" s="14">
        <v>1.8379580000000002</v>
      </c>
      <c r="G17" s="15">
        <v>3.2468900000000005</v>
      </c>
      <c r="H17" s="15">
        <v>7.5318021666666679</v>
      </c>
      <c r="I17" s="15">
        <v>2.845138916666667</v>
      </c>
      <c r="J17" s="16">
        <v>2.2008079999999994</v>
      </c>
      <c r="K17" s="16">
        <v>3.599548083333334</v>
      </c>
      <c r="L17" s="16">
        <v>4.3969180000000003</v>
      </c>
      <c r="M17" s="16">
        <v>2.6412694999999995</v>
      </c>
      <c r="N17" s="17">
        <v>5.5502269999999996</v>
      </c>
      <c r="O17" s="17">
        <v>6.0240264166666657</v>
      </c>
      <c r="P17" s="17">
        <v>2.7217151666666664</v>
      </c>
      <c r="Q17" s="17">
        <v>6.8651433333333332</v>
      </c>
      <c r="T17" s="45">
        <v>15</v>
      </c>
      <c r="U17" s="14">
        <f t="shared" si="6"/>
        <v>1.0961833333333448E-2</v>
      </c>
      <c r="V17" s="14">
        <f t="shared" si="1"/>
        <v>0.17242799999999914</v>
      </c>
      <c r="W17" s="14">
        <f t="shared" si="1"/>
        <v>7.12394999999999E-2</v>
      </c>
      <c r="X17" s="14">
        <f t="shared" si="1"/>
        <v>1.5422499999999673E-3</v>
      </c>
      <c r="Y17" s="15">
        <f t="shared" si="1"/>
        <v>6.0080000000000133E-3</v>
      </c>
      <c r="Z17" s="15">
        <f t="shared" si="1"/>
        <v>0.12294675000000055</v>
      </c>
      <c r="AA17" s="15">
        <f t="shared" si="1"/>
        <v>0.27835783333333364</v>
      </c>
      <c r="AB17" s="16">
        <f t="shared" si="1"/>
        <v>0</v>
      </c>
      <c r="AC17" s="16">
        <f t="shared" si="1"/>
        <v>0.14989866666666751</v>
      </c>
      <c r="AD17" s="16">
        <f t="shared" si="1"/>
        <v>2.1644500000000733E-2</v>
      </c>
      <c r="AE17" s="16">
        <f t="shared" si="1"/>
        <v>8.1540166666666192E-2</v>
      </c>
      <c r="AF17" s="17">
        <f t="shared" si="1"/>
        <v>0</v>
      </c>
      <c r="AG17" s="17">
        <f t="shared" si="1"/>
        <v>5.1327583333332427E-2</v>
      </c>
      <c r="AH17" s="17">
        <f t="shared" si="1"/>
        <v>5.6648833333333037E-2</v>
      </c>
      <c r="AI17" s="17">
        <f t="shared" si="1"/>
        <v>0.28839116666666786</v>
      </c>
      <c r="AK17" s="5">
        <v>15</v>
      </c>
      <c r="AL17" s="57">
        <f t="shared" si="5"/>
        <v>6.4042895833333113E-2</v>
      </c>
      <c r="AM17">
        <f t="shared" si="2"/>
        <v>0.13577086111111139</v>
      </c>
      <c r="AN17">
        <f t="shared" si="3"/>
        <v>6.3270833333333609E-2</v>
      </c>
      <c r="AO17">
        <f t="shared" si="4"/>
        <v>9.9091895833333332E-2</v>
      </c>
      <c r="AQ17" s="52">
        <v>14</v>
      </c>
      <c r="AR17" s="53">
        <v>2.5109687499999978E-2</v>
      </c>
      <c r="AS17" s="54">
        <v>8.5283187499999746E-2</v>
      </c>
      <c r="AT17" s="54">
        <v>1.2402895833333427E-2</v>
      </c>
      <c r="AU17" s="55">
        <v>4.2091645833332691E-2</v>
      </c>
      <c r="AW17" s="52">
        <v>14</v>
      </c>
      <c r="AX17" s="53">
        <v>5.4987916666666248E-2</v>
      </c>
      <c r="AY17" s="54">
        <v>1.7648361111112305E-2</v>
      </c>
      <c r="AZ17" s="54">
        <v>1.44675000000003E-2</v>
      </c>
      <c r="BA17" s="55">
        <v>7.9846944444419421E-3</v>
      </c>
      <c r="BC17" s="52">
        <v>14</v>
      </c>
      <c r="BD17" s="53">
        <v>4.476247916666698E-2</v>
      </c>
      <c r="BE17" s="54">
        <v>0</v>
      </c>
      <c r="BF17" s="54">
        <v>3.4859833333333201E-2</v>
      </c>
      <c r="BG17" s="55">
        <v>6.8109145833333162E-2</v>
      </c>
      <c r="BI17" s="52">
        <v>14</v>
      </c>
      <c r="BJ17" s="53">
        <v>9.060616666666621E-2</v>
      </c>
      <c r="BK17" s="54">
        <v>0.10506075000000137</v>
      </c>
      <c r="BL17" s="54">
        <v>4.3930041666666142E-2</v>
      </c>
      <c r="BM17" s="55">
        <v>2.9447187500001748E-2</v>
      </c>
    </row>
    <row r="18" spans="2:65" x14ac:dyDescent="0.2">
      <c r="B18" s="45">
        <v>16</v>
      </c>
      <c r="C18" s="14">
        <v>3.4241990833333333</v>
      </c>
      <c r="D18" s="14">
        <v>3.3668774166666675</v>
      </c>
      <c r="E18" s="14">
        <v>3.4943439999999999</v>
      </c>
      <c r="F18" s="14">
        <v>1.8379580000000002</v>
      </c>
      <c r="G18" s="15">
        <v>3.2549431666666675</v>
      </c>
      <c r="H18" s="15">
        <v>7.654341249999999</v>
      </c>
      <c r="I18" s="15">
        <v>2.8974904999999995</v>
      </c>
      <c r="J18" s="16">
        <v>2.2008079999999994</v>
      </c>
      <c r="K18" s="16">
        <v>3.7579000000000007</v>
      </c>
      <c r="L18" s="16">
        <v>4.3969180000000003</v>
      </c>
      <c r="M18" s="16">
        <v>2.7228084999999997</v>
      </c>
      <c r="N18" s="17">
        <v>5.5502269999999996</v>
      </c>
      <c r="O18" s="17">
        <v>6.0479574999999999</v>
      </c>
      <c r="P18" s="17">
        <v>2.7783634166666666</v>
      </c>
      <c r="Q18" s="17">
        <v>7.1424560833333324</v>
      </c>
      <c r="T18" s="45">
        <v>16</v>
      </c>
      <c r="U18" s="14">
        <f t="shared" si="6"/>
        <v>3.8649999999997853E-3</v>
      </c>
      <c r="V18" s="14">
        <f t="shared" si="1"/>
        <v>0.50595641666666769</v>
      </c>
      <c r="W18" s="14">
        <f t="shared" si="1"/>
        <v>7.1239500000000344E-2</v>
      </c>
      <c r="X18" s="14">
        <f t="shared" si="1"/>
        <v>0</v>
      </c>
      <c r="Y18" s="15">
        <f t="shared" si="1"/>
        <v>8.0531666666669999E-3</v>
      </c>
      <c r="Z18" s="15">
        <f t="shared" si="1"/>
        <v>0.12253908333333108</v>
      </c>
      <c r="AA18" s="15">
        <f t="shared" si="1"/>
        <v>5.2351583333332563E-2</v>
      </c>
      <c r="AB18" s="16">
        <f t="shared" si="1"/>
        <v>0</v>
      </c>
      <c r="AC18" s="16">
        <f t="shared" si="1"/>
        <v>0.1583519166666667</v>
      </c>
      <c r="AD18" s="16">
        <f t="shared" si="1"/>
        <v>0</v>
      </c>
      <c r="AE18" s="16">
        <f t="shared" si="1"/>
        <v>8.153900000000025E-2</v>
      </c>
      <c r="AF18" s="17">
        <f t="shared" si="1"/>
        <v>0</v>
      </c>
      <c r="AG18" s="17">
        <f t="shared" si="1"/>
        <v>2.3931083333334158E-2</v>
      </c>
      <c r="AH18" s="17">
        <f t="shared" si="1"/>
        <v>5.6648250000000289E-2</v>
      </c>
      <c r="AI18" s="17">
        <f t="shared" si="1"/>
        <v>0.27731274999999922</v>
      </c>
      <c r="AK18" s="5">
        <v>16</v>
      </c>
      <c r="AL18" s="57">
        <f t="shared" si="5"/>
        <v>0.14526522916666695</v>
      </c>
      <c r="AM18">
        <f t="shared" si="2"/>
        <v>6.0981277777776878E-2</v>
      </c>
      <c r="AN18">
        <f t="shared" si="3"/>
        <v>5.9972729166666738E-2</v>
      </c>
      <c r="AO18">
        <f t="shared" si="4"/>
        <v>8.9473020833333416E-2</v>
      </c>
      <c r="AQ18" s="52">
        <v>15</v>
      </c>
      <c r="AR18" s="53">
        <v>6.4042895833333113E-2</v>
      </c>
      <c r="AS18" s="54">
        <v>0.11934102083333398</v>
      </c>
      <c r="AT18" s="54">
        <v>8.4662916666666144E-2</v>
      </c>
      <c r="AU18" s="55">
        <v>6.3448520833333744E-2</v>
      </c>
      <c r="AW18" s="52">
        <v>15</v>
      </c>
      <c r="AX18" s="53">
        <v>0.13577086111111139</v>
      </c>
      <c r="AY18" s="54">
        <v>2.0277555555554844E-2</v>
      </c>
      <c r="AZ18" s="54">
        <v>2.4437722222221996E-2</v>
      </c>
      <c r="BA18" s="55">
        <v>9.7560555555554398E-3</v>
      </c>
      <c r="BC18" s="52">
        <v>15</v>
      </c>
      <c r="BD18" s="53">
        <v>6.3270833333333609E-2</v>
      </c>
      <c r="BE18" s="54">
        <v>1.2370458333333278E-2</v>
      </c>
      <c r="BF18" s="54">
        <v>8.7341083333333236E-2</v>
      </c>
      <c r="BG18" s="55">
        <v>4.7948875000000335E-2</v>
      </c>
      <c r="BI18" s="52">
        <v>15</v>
      </c>
      <c r="BJ18" s="53">
        <v>9.9091895833333332E-2</v>
      </c>
      <c r="BK18" s="54">
        <v>6.2983687500000052E-2</v>
      </c>
      <c r="BL18" s="54">
        <v>4.4818020833334415E-2</v>
      </c>
      <c r="BM18" s="55">
        <v>3.4147770833331981E-2</v>
      </c>
    </row>
    <row r="19" spans="2:65" x14ac:dyDescent="0.2">
      <c r="B19" s="45">
        <v>17</v>
      </c>
      <c r="C19" s="14">
        <v>3.4277362500000002</v>
      </c>
      <c r="D19" s="14">
        <v>3.5080082499999996</v>
      </c>
      <c r="E19" s="14">
        <v>3.5628576666666665</v>
      </c>
      <c r="F19" s="14">
        <v>1.8379580000000002</v>
      </c>
      <c r="G19" s="15">
        <v>3.2567200000000009</v>
      </c>
      <c r="H19" s="15">
        <v>7.7989787499999998</v>
      </c>
      <c r="I19" s="15">
        <v>2.8983488333333334</v>
      </c>
      <c r="J19" s="16">
        <v>2.4704944166666669</v>
      </c>
      <c r="K19" s="16">
        <v>3.9986730000000001</v>
      </c>
      <c r="L19" s="16">
        <v>4.3969180000000003</v>
      </c>
      <c r="M19" s="16">
        <v>2.8043468333333337</v>
      </c>
      <c r="N19" s="17">
        <v>5.5502269999999996</v>
      </c>
      <c r="O19" s="17">
        <v>6.0663327500000008</v>
      </c>
      <c r="P19" s="17">
        <v>2.8120629166666666</v>
      </c>
      <c r="Q19" s="17">
        <v>7.221659083333333</v>
      </c>
      <c r="T19" s="45">
        <v>17</v>
      </c>
      <c r="U19" s="14">
        <f t="shared" si="6"/>
        <v>3.5371666666668133E-3</v>
      </c>
      <c r="V19" s="14">
        <f t="shared" si="6"/>
        <v>0.1411308333333321</v>
      </c>
      <c r="W19" s="14">
        <f t="shared" si="6"/>
        <v>6.8513666666666584E-2</v>
      </c>
      <c r="X19" s="14">
        <f t="shared" si="6"/>
        <v>0</v>
      </c>
      <c r="Y19" s="15">
        <f t="shared" si="6"/>
        <v>1.7768333333334496E-3</v>
      </c>
      <c r="Z19" s="15">
        <f t="shared" ref="Z19:AC82" si="7">H19-H18</f>
        <v>0.14463750000000086</v>
      </c>
      <c r="AA19" s="15">
        <f t="shared" si="7"/>
        <v>8.5833333333384942E-4</v>
      </c>
      <c r="AB19" s="16">
        <f t="shared" si="7"/>
        <v>0.26968641666666748</v>
      </c>
      <c r="AC19" s="16">
        <f t="shared" si="7"/>
        <v>0.24077299999999946</v>
      </c>
      <c r="AD19" s="16">
        <f t="shared" ref="AD19:AG82" si="8">L19-L18</f>
        <v>0</v>
      </c>
      <c r="AE19" s="16">
        <f t="shared" si="8"/>
        <v>8.1538333333333934E-2</v>
      </c>
      <c r="AF19" s="17">
        <f t="shared" si="8"/>
        <v>0</v>
      </c>
      <c r="AG19" s="17">
        <f t="shared" si="8"/>
        <v>1.8375250000000953E-2</v>
      </c>
      <c r="AH19" s="17">
        <f t="shared" ref="AH19:AI82" si="9">P19-P18</f>
        <v>3.3699499999999993E-2</v>
      </c>
      <c r="AI19" s="17">
        <f t="shared" si="9"/>
        <v>7.9203000000000578E-2</v>
      </c>
      <c r="AK19" s="5">
        <v>17</v>
      </c>
      <c r="AL19" s="57">
        <f t="shared" si="5"/>
        <v>5.3295416666666373E-2</v>
      </c>
      <c r="AM19">
        <f t="shared" si="2"/>
        <v>4.9090888888889385E-2</v>
      </c>
      <c r="AN19">
        <f t="shared" si="3"/>
        <v>0.14799943750000022</v>
      </c>
      <c r="AO19">
        <f t="shared" si="4"/>
        <v>3.2819437500000381E-2</v>
      </c>
      <c r="AQ19" s="52">
        <v>16</v>
      </c>
      <c r="AR19" s="53">
        <v>0.14526522916666695</v>
      </c>
      <c r="AS19" s="54">
        <v>0.12636170833333238</v>
      </c>
      <c r="AT19" s="54">
        <v>0.12971608333333373</v>
      </c>
      <c r="AU19" s="55">
        <v>7.4206354166667099E-2</v>
      </c>
      <c r="AW19" s="52">
        <v>16</v>
      </c>
      <c r="AX19" s="53">
        <v>6.0981277777776878E-2</v>
      </c>
      <c r="AY19" s="54">
        <v>2.3914694444444606E-2</v>
      </c>
      <c r="AZ19" s="54">
        <v>2.095677777777875E-2</v>
      </c>
      <c r="BA19" s="55">
        <v>2.3415833333333563E-2</v>
      </c>
      <c r="BC19" s="52">
        <v>16</v>
      </c>
      <c r="BD19" s="53">
        <v>5.9972729166666738E-2</v>
      </c>
      <c r="BE19" s="54">
        <v>7.1236166666666434E-2</v>
      </c>
      <c r="BF19" s="54">
        <v>5.5410499999999141E-2</v>
      </c>
      <c r="BG19" s="55">
        <v>4.5490270833333568E-2</v>
      </c>
      <c r="BI19" s="52">
        <v>16</v>
      </c>
      <c r="BJ19" s="53">
        <v>8.9473020833333416E-2</v>
      </c>
      <c r="BK19" s="54">
        <v>5.0453041666666421E-2</v>
      </c>
      <c r="BL19" s="54">
        <v>7.7448875000001083E-2</v>
      </c>
      <c r="BM19" s="55">
        <v>3.6705458333333052E-2</v>
      </c>
    </row>
    <row r="20" spans="2:65" x14ac:dyDescent="0.2">
      <c r="B20" s="45">
        <v>18</v>
      </c>
      <c r="C20" s="14">
        <v>3.5516434166666664</v>
      </c>
      <c r="D20" s="14">
        <v>3.6461956666666673</v>
      </c>
      <c r="E20" s="14">
        <v>3.5996655000000004</v>
      </c>
      <c r="F20" s="14">
        <v>1.8379580000000002</v>
      </c>
      <c r="G20" s="15">
        <v>3.2567200000000009</v>
      </c>
      <c r="H20" s="15">
        <v>7.9759025833333341</v>
      </c>
      <c r="I20" s="15">
        <v>2.8992070833333332</v>
      </c>
      <c r="J20" s="16">
        <v>2.8900275833333331</v>
      </c>
      <c r="K20" s="16">
        <v>4.2066695000000003</v>
      </c>
      <c r="L20" s="16">
        <v>4.3969180000000003</v>
      </c>
      <c r="M20" s="16">
        <v>2.8858860000000006</v>
      </c>
      <c r="N20" s="17">
        <v>5.5502269999999996</v>
      </c>
      <c r="O20" s="17">
        <v>6.0941948333333329</v>
      </c>
      <c r="P20" s="17">
        <v>2.8123369999999999</v>
      </c>
      <c r="Q20" s="17">
        <v>7.2285174999999997</v>
      </c>
      <c r="T20" s="45">
        <v>18</v>
      </c>
      <c r="U20" s="14">
        <f t="shared" si="6"/>
        <v>0.12390716666666624</v>
      </c>
      <c r="V20" s="14">
        <f t="shared" si="6"/>
        <v>0.13818741666666767</v>
      </c>
      <c r="W20" s="14">
        <f t="shared" si="6"/>
        <v>3.6807833333333928E-2</v>
      </c>
      <c r="X20" s="14">
        <f t="shared" si="6"/>
        <v>0</v>
      </c>
      <c r="Y20" s="15">
        <f t="shared" si="6"/>
        <v>0</v>
      </c>
      <c r="Z20" s="15">
        <f t="shared" si="7"/>
        <v>0.17692383333333428</v>
      </c>
      <c r="AA20" s="15">
        <f t="shared" si="7"/>
        <v>8.5824999999983831E-4</v>
      </c>
      <c r="AB20" s="16">
        <f t="shared" si="7"/>
        <v>0.41953316666666618</v>
      </c>
      <c r="AC20" s="16">
        <f t="shared" si="7"/>
        <v>0.20799650000000014</v>
      </c>
      <c r="AD20" s="16">
        <f t="shared" si="8"/>
        <v>0</v>
      </c>
      <c r="AE20" s="16">
        <f t="shared" si="8"/>
        <v>8.153916666666694E-2</v>
      </c>
      <c r="AF20" s="17">
        <f t="shared" si="8"/>
        <v>0</v>
      </c>
      <c r="AG20" s="17">
        <f t="shared" si="8"/>
        <v>2.7862083333332066E-2</v>
      </c>
      <c r="AH20" s="17">
        <f t="shared" si="9"/>
        <v>2.7408333333323043E-4</v>
      </c>
      <c r="AI20" s="17">
        <f t="shared" si="9"/>
        <v>6.8584166666667556E-3</v>
      </c>
      <c r="AK20" s="5">
        <v>18</v>
      </c>
      <c r="AL20" s="57">
        <f t="shared" si="5"/>
        <v>7.4725604166666959E-2</v>
      </c>
      <c r="AM20">
        <f t="shared" si="2"/>
        <v>5.9260694444444706E-2</v>
      </c>
      <c r="AN20">
        <f t="shared" si="3"/>
        <v>0.17726720833333331</v>
      </c>
      <c r="AO20">
        <f t="shared" si="4"/>
        <v>8.748645833333013E-3</v>
      </c>
      <c r="AQ20" s="52">
        <v>17</v>
      </c>
      <c r="AR20" s="53">
        <v>5.3295416666666373E-2</v>
      </c>
      <c r="AS20" s="54">
        <v>0.10458477083333406</v>
      </c>
      <c r="AT20" s="54">
        <v>9.8844833333333271E-2</v>
      </c>
      <c r="AU20" s="55">
        <v>8.62230416666665E-2</v>
      </c>
      <c r="AW20" s="52">
        <v>17</v>
      </c>
      <c r="AX20" s="53">
        <v>4.9090888888889385E-2</v>
      </c>
      <c r="AY20" s="54">
        <v>9.4298750000000389E-2</v>
      </c>
      <c r="AZ20" s="54">
        <v>2.1171527777777161E-2</v>
      </c>
      <c r="BA20" s="55">
        <v>3.741944444444497E-2</v>
      </c>
      <c r="BC20" s="52">
        <v>17</v>
      </c>
      <c r="BD20" s="53">
        <v>0.14799943750000022</v>
      </c>
      <c r="BE20" s="54">
        <v>3.0055625000000252E-2</v>
      </c>
      <c r="BF20" s="54">
        <v>3.8743791666667304E-2</v>
      </c>
      <c r="BG20" s="55">
        <v>4.3637749999999809E-2</v>
      </c>
      <c r="BI20" s="52">
        <v>17</v>
      </c>
      <c r="BJ20" s="53">
        <v>3.2819437500000381E-2</v>
      </c>
      <c r="BK20" s="54">
        <v>8.5052770833333735E-2</v>
      </c>
      <c r="BL20" s="54">
        <v>5.9612520833332461E-2</v>
      </c>
      <c r="BM20" s="55">
        <v>4.606314583333293E-2</v>
      </c>
    </row>
    <row r="21" spans="2:65" x14ac:dyDescent="0.2">
      <c r="B21" s="45">
        <v>19</v>
      </c>
      <c r="C21" s="14">
        <v>3.7653617499999998</v>
      </c>
      <c r="D21" s="14">
        <v>3.7843830000000001</v>
      </c>
      <c r="E21" s="14">
        <v>3.653162333333333</v>
      </c>
      <c r="F21" s="14">
        <v>1.8379580000000002</v>
      </c>
      <c r="G21" s="15">
        <v>3.2569214166666671</v>
      </c>
      <c r="H21" s="15">
        <v>8.1540833333333325</v>
      </c>
      <c r="I21" s="15">
        <v>2.900047666666667</v>
      </c>
      <c r="J21" s="16">
        <v>2.9235994166666668</v>
      </c>
      <c r="K21" s="16">
        <v>4.4049578333333335</v>
      </c>
      <c r="L21" s="16">
        <v>4.3981862500000002</v>
      </c>
      <c r="M21" s="16">
        <v>2.9592143333333336</v>
      </c>
      <c r="N21" s="17">
        <v>5.5502269999999996</v>
      </c>
      <c r="O21" s="17">
        <v>6.1101808333333345</v>
      </c>
      <c r="P21" s="17">
        <v>2.8123369999999999</v>
      </c>
      <c r="Q21" s="17">
        <v>7.3311561666666663</v>
      </c>
      <c r="T21" s="45">
        <v>19</v>
      </c>
      <c r="U21" s="14">
        <f t="shared" si="6"/>
        <v>0.21371833333333345</v>
      </c>
      <c r="V21" s="14">
        <f t="shared" si="6"/>
        <v>0.13818733333333277</v>
      </c>
      <c r="W21" s="14">
        <f t="shared" si="6"/>
        <v>5.349683333333255E-2</v>
      </c>
      <c r="X21" s="14">
        <f t="shared" si="6"/>
        <v>0</v>
      </c>
      <c r="Y21" s="15">
        <f t="shared" si="6"/>
        <v>2.0141666666617652E-4</v>
      </c>
      <c r="Z21" s="15">
        <f t="shared" si="7"/>
        <v>0.17818074999999833</v>
      </c>
      <c r="AA21" s="15">
        <f t="shared" si="7"/>
        <v>8.4058333333381086E-4</v>
      </c>
      <c r="AB21" s="16">
        <f t="shared" si="7"/>
        <v>3.3571833333333689E-2</v>
      </c>
      <c r="AC21" s="16">
        <f t="shared" si="7"/>
        <v>0.19828833333333318</v>
      </c>
      <c r="AD21" s="16">
        <f t="shared" si="8"/>
        <v>1.2682499999998598E-3</v>
      </c>
      <c r="AE21" s="16">
        <f t="shared" si="8"/>
        <v>7.3328333333332996E-2</v>
      </c>
      <c r="AF21" s="17">
        <f t="shared" si="8"/>
        <v>0</v>
      </c>
      <c r="AG21" s="17">
        <f t="shared" si="8"/>
        <v>1.598600000000161E-2</v>
      </c>
      <c r="AH21" s="17">
        <f t="shared" si="9"/>
        <v>0</v>
      </c>
      <c r="AI21" s="17">
        <f t="shared" si="9"/>
        <v>0.10263866666666654</v>
      </c>
      <c r="AK21" s="5">
        <v>19</v>
      </c>
      <c r="AL21" s="57">
        <f t="shared" si="5"/>
        <v>0.10135062499999969</v>
      </c>
      <c r="AM21">
        <f t="shared" si="2"/>
        <v>5.9740916666666109E-2</v>
      </c>
      <c r="AN21">
        <f t="shared" si="3"/>
        <v>7.6614187499999931E-2</v>
      </c>
      <c r="AO21">
        <f t="shared" si="4"/>
        <v>2.9656166666667039E-2</v>
      </c>
      <c r="AQ21" s="52">
        <v>18</v>
      </c>
      <c r="AR21" s="53">
        <v>7.4725604166666959E-2</v>
      </c>
      <c r="AS21" s="54">
        <v>6.2463895833333338E-2</v>
      </c>
      <c r="AT21" s="54">
        <v>9.8002499999999659E-2</v>
      </c>
      <c r="AU21" s="55">
        <v>0.11431191666666729</v>
      </c>
      <c r="AW21" s="52">
        <v>18</v>
      </c>
      <c r="AX21" s="53">
        <v>5.9260694444444706E-2</v>
      </c>
      <c r="AY21" s="54">
        <v>9.5135944444444107E-2</v>
      </c>
      <c r="AZ21" s="54">
        <v>2.1764638888888872E-2</v>
      </c>
      <c r="BA21" s="55">
        <v>3.4599888888890241E-2</v>
      </c>
      <c r="BC21" s="52">
        <v>18</v>
      </c>
      <c r="BD21" s="53">
        <v>0.17726720833333331</v>
      </c>
      <c r="BE21" s="54">
        <v>0</v>
      </c>
      <c r="BF21" s="54">
        <v>9.9160562500000271E-2</v>
      </c>
      <c r="BG21" s="55">
        <v>0.11394937500000069</v>
      </c>
      <c r="BI21" s="52">
        <v>18</v>
      </c>
      <c r="BJ21" s="53">
        <v>8.748645833333013E-3</v>
      </c>
      <c r="BK21" s="54">
        <v>8.6201291666666569E-2</v>
      </c>
      <c r="BL21" s="54">
        <v>5.6357374999999266E-2</v>
      </c>
      <c r="BM21" s="55">
        <v>4.4869208333333743E-2</v>
      </c>
    </row>
    <row r="22" spans="2:65" x14ac:dyDescent="0.2">
      <c r="B22" s="45">
        <v>20</v>
      </c>
      <c r="C22" s="14">
        <v>3.9791495833333337</v>
      </c>
      <c r="D22" s="14">
        <v>3.9225704999999995</v>
      </c>
      <c r="E22" s="14">
        <v>3.7610519166666667</v>
      </c>
      <c r="F22" s="14">
        <v>1.8379580000000002</v>
      </c>
      <c r="G22" s="15">
        <v>3.2619370833333328</v>
      </c>
      <c r="H22" s="15">
        <v>8.3230381666666666</v>
      </c>
      <c r="I22" s="15">
        <v>2.9003160000000001</v>
      </c>
      <c r="J22" s="16">
        <v>2.9654657500000003</v>
      </c>
      <c r="K22" s="16">
        <v>4.6040780833333335</v>
      </c>
      <c r="L22" s="16">
        <v>4.7877809166666667</v>
      </c>
      <c r="M22" s="16">
        <v>3.0389240000000002</v>
      </c>
      <c r="N22" s="17">
        <v>5.56713375</v>
      </c>
      <c r="O22" s="17">
        <v>6.1472099166666672</v>
      </c>
      <c r="P22" s="17">
        <v>2.8123369999999999</v>
      </c>
      <c r="Q22" s="17">
        <v>7.5285669166666667</v>
      </c>
      <c r="T22" s="45">
        <v>20</v>
      </c>
      <c r="U22" s="14">
        <f t="shared" si="6"/>
        <v>0.21378783333333384</v>
      </c>
      <c r="V22" s="14">
        <f t="shared" si="6"/>
        <v>0.13818749999999946</v>
      </c>
      <c r="W22" s="14">
        <f t="shared" si="6"/>
        <v>0.10788958333333376</v>
      </c>
      <c r="X22" s="14">
        <f t="shared" si="6"/>
        <v>0</v>
      </c>
      <c r="Y22" s="15">
        <f t="shared" si="6"/>
        <v>5.0156666666656413E-3</v>
      </c>
      <c r="Z22" s="15">
        <f t="shared" si="7"/>
        <v>0.16895483333333416</v>
      </c>
      <c r="AA22" s="15">
        <f t="shared" si="7"/>
        <v>2.6833333333309284E-4</v>
      </c>
      <c r="AB22" s="16">
        <f t="shared" si="7"/>
        <v>4.1866333333333561E-2</v>
      </c>
      <c r="AC22" s="16">
        <f t="shared" si="7"/>
        <v>0.19912025</v>
      </c>
      <c r="AD22" s="16">
        <f t="shared" si="8"/>
        <v>0.38959466666666653</v>
      </c>
      <c r="AE22" s="16">
        <f t="shared" si="8"/>
        <v>7.9709666666666568E-2</v>
      </c>
      <c r="AF22" s="17">
        <f t="shared" si="8"/>
        <v>1.6906750000000415E-2</v>
      </c>
      <c r="AG22" s="17">
        <f t="shared" si="8"/>
        <v>3.7029083333332657E-2</v>
      </c>
      <c r="AH22" s="17">
        <f t="shared" si="9"/>
        <v>0</v>
      </c>
      <c r="AI22" s="17">
        <f t="shared" si="9"/>
        <v>0.19741075000000041</v>
      </c>
      <c r="AK22" s="5">
        <v>20</v>
      </c>
      <c r="AL22" s="57">
        <f t="shared" si="5"/>
        <v>0.11496622916666677</v>
      </c>
      <c r="AM22">
        <f t="shared" si="2"/>
        <v>5.8079611111110964E-2</v>
      </c>
      <c r="AN22">
        <f t="shared" si="3"/>
        <v>0.17757272916666667</v>
      </c>
      <c r="AO22">
        <f t="shared" si="4"/>
        <v>6.2836645833333371E-2</v>
      </c>
      <c r="AQ22" s="52">
        <v>19</v>
      </c>
      <c r="AR22" s="53">
        <v>0.10135062499999969</v>
      </c>
      <c r="AS22" s="54">
        <v>6.0307520833332906E-2</v>
      </c>
      <c r="AT22" s="54">
        <v>0.11421081250000076</v>
      </c>
      <c r="AU22" s="55">
        <v>4.8945250000000051E-2</v>
      </c>
      <c r="AW22" s="52">
        <v>19</v>
      </c>
      <c r="AX22" s="53">
        <v>5.9740916666666109E-2</v>
      </c>
      <c r="AY22" s="54">
        <v>0.10986319444444466</v>
      </c>
      <c r="AZ22" s="54">
        <v>2.5205361111111085E-2</v>
      </c>
      <c r="BA22" s="55">
        <v>4.1488166666665847E-2</v>
      </c>
      <c r="BC22" s="52">
        <v>19</v>
      </c>
      <c r="BD22" s="53">
        <v>7.6614187499999931E-2</v>
      </c>
      <c r="BE22" s="54">
        <v>8.5296666666667686E-3</v>
      </c>
      <c r="BF22" s="54">
        <v>0.10943412499999994</v>
      </c>
      <c r="BG22" s="55">
        <v>8.7627791666666344E-2</v>
      </c>
      <c r="BI22" s="52">
        <v>19</v>
      </c>
      <c r="BJ22" s="53">
        <v>2.9656166666667039E-2</v>
      </c>
      <c r="BK22" s="54">
        <v>7.5192458333332102E-2</v>
      </c>
      <c r="BL22" s="54">
        <v>5.7253791666667997E-2</v>
      </c>
      <c r="BM22" s="55">
        <v>5.054247916666732E-2</v>
      </c>
    </row>
    <row r="23" spans="2:65" x14ac:dyDescent="0.2">
      <c r="B23" s="45">
        <v>21</v>
      </c>
      <c r="C23" s="14">
        <v>4.1935730000000007</v>
      </c>
      <c r="D23" s="14">
        <v>4.033701333333334</v>
      </c>
      <c r="E23" s="14">
        <v>3.800094000000001</v>
      </c>
      <c r="F23" s="14">
        <v>1.8379580000000002</v>
      </c>
      <c r="G23" s="15">
        <v>3.2669719166666664</v>
      </c>
      <c r="H23" s="15">
        <v>8.4780577499999978</v>
      </c>
      <c r="I23" s="15">
        <v>2.9003160000000001</v>
      </c>
      <c r="J23" s="16">
        <v>2.9832430000000003</v>
      </c>
      <c r="K23" s="16">
        <v>4.8032075000000001</v>
      </c>
      <c r="L23" s="16">
        <v>5.3052398333333342</v>
      </c>
      <c r="M23" s="16">
        <v>3.1354111666666662</v>
      </c>
      <c r="N23" s="17">
        <v>5.757544750000001</v>
      </c>
      <c r="O23" s="17">
        <v>6.1646679166666685</v>
      </c>
      <c r="P23" s="17">
        <v>2.8123369999999999</v>
      </c>
      <c r="Q23" s="17">
        <v>7.6717720833333338</v>
      </c>
      <c r="T23" s="45">
        <v>21</v>
      </c>
      <c r="U23" s="14">
        <f t="shared" si="6"/>
        <v>0.21442341666666698</v>
      </c>
      <c r="V23" s="14">
        <f t="shared" si="6"/>
        <v>0.11113083333333451</v>
      </c>
      <c r="W23" s="14">
        <f t="shared" si="6"/>
        <v>3.9042083333334254E-2</v>
      </c>
      <c r="X23" s="14">
        <f t="shared" si="6"/>
        <v>0</v>
      </c>
      <c r="Y23" s="15">
        <f t="shared" si="6"/>
        <v>5.0348333333336548E-3</v>
      </c>
      <c r="Z23" s="15">
        <f t="shared" si="7"/>
        <v>0.15501958333333121</v>
      </c>
      <c r="AA23" s="15">
        <f t="shared" si="7"/>
        <v>0</v>
      </c>
      <c r="AB23" s="16">
        <f t="shared" si="7"/>
        <v>1.7777249999999967E-2</v>
      </c>
      <c r="AC23" s="16">
        <f t="shared" si="7"/>
        <v>0.19912941666666661</v>
      </c>
      <c r="AD23" s="16">
        <f t="shared" si="8"/>
        <v>0.51745891666666743</v>
      </c>
      <c r="AE23" s="16">
        <f t="shared" si="8"/>
        <v>9.6487166666666013E-2</v>
      </c>
      <c r="AF23" s="17">
        <f t="shared" si="8"/>
        <v>0.190411000000001</v>
      </c>
      <c r="AG23" s="17">
        <f t="shared" si="8"/>
        <v>1.7458000000001306E-2</v>
      </c>
      <c r="AH23" s="17">
        <f t="shared" si="9"/>
        <v>0</v>
      </c>
      <c r="AI23" s="17">
        <f t="shared" si="9"/>
        <v>0.14320516666666716</v>
      </c>
      <c r="AK23" s="5">
        <v>21</v>
      </c>
      <c r="AL23" s="57">
        <f t="shared" si="5"/>
        <v>9.1149083333333936E-2</v>
      </c>
      <c r="AM23">
        <f t="shared" si="2"/>
        <v>5.335147222222162E-2</v>
      </c>
      <c r="AN23">
        <f t="shared" si="3"/>
        <v>0.20771318750000001</v>
      </c>
      <c r="AO23">
        <f t="shared" si="4"/>
        <v>8.7768541666667366E-2</v>
      </c>
      <c r="AQ23" s="52">
        <v>20</v>
      </c>
      <c r="AR23" s="53">
        <v>0.11496622916666677</v>
      </c>
      <c r="AS23" s="54">
        <v>5.6350666666666771E-2</v>
      </c>
      <c r="AT23" s="54">
        <v>0.10359387499999917</v>
      </c>
      <c r="AU23" s="55">
        <v>8.9060895833332099E-2</v>
      </c>
      <c r="AW23" s="52">
        <v>20</v>
      </c>
      <c r="AX23" s="53">
        <v>5.8079611111110964E-2</v>
      </c>
      <c r="AY23" s="54">
        <v>9.3284249999999666E-2</v>
      </c>
      <c r="AZ23" s="54">
        <v>5.9892472222222416E-2</v>
      </c>
      <c r="BA23" s="55">
        <v>0.10239072222222252</v>
      </c>
      <c r="BC23" s="52">
        <v>20</v>
      </c>
      <c r="BD23" s="53">
        <v>0.17757272916666667</v>
      </c>
      <c r="BE23" s="54">
        <v>8.9117333333333715E-2</v>
      </c>
      <c r="BF23" s="54">
        <v>9.9876249999999667E-2</v>
      </c>
      <c r="BG23" s="55">
        <v>0.10665945833333401</v>
      </c>
      <c r="BI23" s="52">
        <v>20</v>
      </c>
      <c r="BJ23" s="53">
        <v>6.2836645833333371E-2</v>
      </c>
      <c r="BK23" s="54">
        <v>6.223431250000111E-2</v>
      </c>
      <c r="BL23" s="54">
        <v>6.1388458333333285E-2</v>
      </c>
      <c r="BM23" s="55">
        <v>4.841766666666536E-2</v>
      </c>
    </row>
    <row r="24" spans="2:65" x14ac:dyDescent="0.2">
      <c r="B24" s="45">
        <v>22</v>
      </c>
      <c r="C24" s="14">
        <v>4.3497668333333346</v>
      </c>
      <c r="D24" s="14">
        <v>4.0432520000000007</v>
      </c>
      <c r="E24" s="14">
        <v>3.800094000000001</v>
      </c>
      <c r="F24" s="14">
        <v>1.8623214166666668</v>
      </c>
      <c r="G24" s="15">
        <v>3.4410557500000003</v>
      </c>
      <c r="H24" s="15">
        <v>8.6394195833333338</v>
      </c>
      <c r="I24" s="15">
        <v>2.9003160000000001</v>
      </c>
      <c r="J24" s="16">
        <v>2.9832430000000003</v>
      </c>
      <c r="K24" s="16">
        <v>4.9653210833333326</v>
      </c>
      <c r="L24" s="16">
        <v>5.5000500833333339</v>
      </c>
      <c r="M24" s="16">
        <v>3.4209134166666675</v>
      </c>
      <c r="N24" s="17">
        <v>5.8241319999999996</v>
      </c>
      <c r="O24" s="17">
        <v>6.1647140000000009</v>
      </c>
      <c r="P24" s="17">
        <v>2.8123369999999999</v>
      </c>
      <c r="Q24" s="17">
        <v>7.6783800000000006</v>
      </c>
      <c r="T24" s="45">
        <v>22</v>
      </c>
      <c r="U24" s="14">
        <f t="shared" si="6"/>
        <v>0.15619383333333392</v>
      </c>
      <c r="V24" s="14">
        <f t="shared" si="6"/>
        <v>9.5506666666667073E-3</v>
      </c>
      <c r="W24" s="14">
        <f t="shared" si="6"/>
        <v>0</v>
      </c>
      <c r="X24" s="14">
        <f t="shared" si="6"/>
        <v>2.4363416666666637E-2</v>
      </c>
      <c r="Y24" s="15">
        <f t="shared" si="6"/>
        <v>0.17408383333333388</v>
      </c>
      <c r="Z24" s="15">
        <f t="shared" si="7"/>
        <v>0.16136183333333598</v>
      </c>
      <c r="AA24" s="15">
        <f t="shared" si="7"/>
        <v>0</v>
      </c>
      <c r="AB24" s="16">
        <f t="shared" si="7"/>
        <v>0</v>
      </c>
      <c r="AC24" s="16">
        <f t="shared" si="7"/>
        <v>0.16211358333333248</v>
      </c>
      <c r="AD24" s="16">
        <f t="shared" si="8"/>
        <v>0.19481024999999974</v>
      </c>
      <c r="AE24" s="16">
        <f t="shared" si="8"/>
        <v>0.28550225000000129</v>
      </c>
      <c r="AF24" s="17">
        <f t="shared" si="8"/>
        <v>6.6587249999998654E-2</v>
      </c>
      <c r="AG24" s="17">
        <f t="shared" si="8"/>
        <v>4.6083333332447296E-5</v>
      </c>
      <c r="AH24" s="17">
        <f t="shared" si="9"/>
        <v>0</v>
      </c>
      <c r="AI24" s="17">
        <f t="shared" si="9"/>
        <v>6.6079166666668243E-3</v>
      </c>
      <c r="AK24" s="5">
        <v>22</v>
      </c>
      <c r="AL24" s="57">
        <f t="shared" si="5"/>
        <v>4.7526979166666816E-2</v>
      </c>
      <c r="AM24">
        <f t="shared" si="2"/>
        <v>0.11181522222222329</v>
      </c>
      <c r="AN24">
        <f t="shared" si="3"/>
        <v>0.16060652083333338</v>
      </c>
      <c r="AO24">
        <f t="shared" si="4"/>
        <v>1.8310312499999482E-2</v>
      </c>
      <c r="AQ24" s="52">
        <v>21</v>
      </c>
      <c r="AR24" s="53">
        <v>9.1149083333333936E-2</v>
      </c>
      <c r="AS24" s="54">
        <v>6.4264666666667525E-2</v>
      </c>
      <c r="AT24" s="54">
        <v>0.10471100000000022</v>
      </c>
      <c r="AU24" s="55">
        <v>0.13287106250000136</v>
      </c>
      <c r="AW24" s="52">
        <v>21</v>
      </c>
      <c r="AX24" s="53">
        <v>5.335147222222162E-2</v>
      </c>
      <c r="AY24" s="54">
        <v>7.8837944444444766E-2</v>
      </c>
      <c r="AZ24" s="54">
        <v>0.16040105555555506</v>
      </c>
      <c r="BA24" s="55">
        <v>0.20532408333333377</v>
      </c>
      <c r="BC24" s="52">
        <v>21</v>
      </c>
      <c r="BD24" s="53">
        <v>0.20771318750000001</v>
      </c>
      <c r="BE24" s="54">
        <v>0.14078522916666647</v>
      </c>
      <c r="BF24" s="54">
        <v>8.745470833333413E-2</v>
      </c>
      <c r="BG24" s="55">
        <v>0.12585385416666628</v>
      </c>
      <c r="BI24" s="52">
        <v>21</v>
      </c>
      <c r="BJ24" s="53">
        <v>8.7768541666667366E-2</v>
      </c>
      <c r="BK24" s="54">
        <v>2.7024875000000392E-2</v>
      </c>
      <c r="BL24" s="54">
        <v>7.6401124999999181E-2</v>
      </c>
      <c r="BM24" s="55">
        <v>5.4197729166667985E-2</v>
      </c>
    </row>
    <row r="25" spans="2:65" x14ac:dyDescent="0.2">
      <c r="B25" s="45">
        <v>23</v>
      </c>
      <c r="C25" s="14">
        <v>4.3571280000000012</v>
      </c>
      <c r="D25" s="14">
        <v>4.0432520000000007</v>
      </c>
      <c r="E25" s="14">
        <v>3.800094000000001</v>
      </c>
      <c r="F25" s="14">
        <v>2.0263680833333333</v>
      </c>
      <c r="G25" s="15">
        <v>3.708502333333334</v>
      </c>
      <c r="H25" s="15">
        <v>8.8007812500000018</v>
      </c>
      <c r="I25" s="15">
        <v>2.9107328333333338</v>
      </c>
      <c r="J25" s="16">
        <v>2.9832430000000003</v>
      </c>
      <c r="K25" s="16">
        <v>4.9803799999999994</v>
      </c>
      <c r="L25" s="16">
        <v>5.8408809166666664</v>
      </c>
      <c r="M25" s="16">
        <v>3.6126537499999998</v>
      </c>
      <c r="N25" s="17">
        <v>6.0106912499999998</v>
      </c>
      <c r="O25" s="17">
        <v>6.1647140000000009</v>
      </c>
      <c r="P25" s="17">
        <v>2.8232396666666664</v>
      </c>
      <c r="Q25" s="17">
        <v>7.6783800000000006</v>
      </c>
      <c r="T25" s="45">
        <v>23</v>
      </c>
      <c r="U25" s="14">
        <f t="shared" si="6"/>
        <v>7.3611666666666409E-3</v>
      </c>
      <c r="V25" s="14">
        <f t="shared" si="6"/>
        <v>0</v>
      </c>
      <c r="W25" s="14">
        <f t="shared" si="6"/>
        <v>0</v>
      </c>
      <c r="X25" s="14">
        <f t="shared" si="6"/>
        <v>0.16404666666666645</v>
      </c>
      <c r="Y25" s="15">
        <f t="shared" si="6"/>
        <v>0.26744658333333371</v>
      </c>
      <c r="Z25" s="15">
        <f t="shared" si="7"/>
        <v>0.16136166666666796</v>
      </c>
      <c r="AA25" s="15">
        <f t="shared" si="7"/>
        <v>1.0416833333333653E-2</v>
      </c>
      <c r="AB25" s="16">
        <f t="shared" si="7"/>
        <v>0</v>
      </c>
      <c r="AC25" s="16">
        <f t="shared" si="7"/>
        <v>1.5058916666666811E-2</v>
      </c>
      <c r="AD25" s="16">
        <f t="shared" si="8"/>
        <v>0.34083083333333253</v>
      </c>
      <c r="AE25" s="16">
        <f t="shared" si="8"/>
        <v>0.19174033333333229</v>
      </c>
      <c r="AF25" s="17">
        <f t="shared" si="8"/>
        <v>0.18655925000000018</v>
      </c>
      <c r="AG25" s="17">
        <f t="shared" si="8"/>
        <v>0</v>
      </c>
      <c r="AH25" s="17">
        <f t="shared" si="9"/>
        <v>1.0902666666666505E-2</v>
      </c>
      <c r="AI25" s="17">
        <f t="shared" si="9"/>
        <v>0</v>
      </c>
      <c r="AK25" s="5">
        <v>23</v>
      </c>
      <c r="AL25" s="57">
        <f t="shared" si="5"/>
        <v>4.2851958333333273E-2</v>
      </c>
      <c r="AM25">
        <f t="shared" si="2"/>
        <v>0.14640836111111177</v>
      </c>
      <c r="AN25">
        <f t="shared" si="3"/>
        <v>0.13690752083333291</v>
      </c>
      <c r="AO25">
        <f t="shared" si="4"/>
        <v>4.936547916666667E-2</v>
      </c>
      <c r="AQ25" s="52">
        <v>22</v>
      </c>
      <c r="AR25" s="53">
        <v>4.7526979166666816E-2</v>
      </c>
      <c r="AS25" s="54">
        <v>8.6725395833332941E-2</v>
      </c>
      <c r="AT25" s="54">
        <v>6.627835416666672E-2</v>
      </c>
      <c r="AU25" s="55">
        <v>7.7371958333332991E-2</v>
      </c>
      <c r="AW25" s="52">
        <v>22</v>
      </c>
      <c r="AX25" s="53">
        <v>0.11181522222222329</v>
      </c>
      <c r="AY25" s="54">
        <v>0.17116211111110977</v>
      </c>
      <c r="AZ25" s="54">
        <v>0.1750374999999981</v>
      </c>
      <c r="BA25" s="55">
        <v>0.11274366666666562</v>
      </c>
      <c r="BC25" s="52">
        <v>22</v>
      </c>
      <c r="BD25" s="53">
        <v>0.16060652083333338</v>
      </c>
      <c r="BE25" s="54">
        <v>0.17001647916666718</v>
      </c>
      <c r="BF25" s="54">
        <v>7.9008541666666154E-2</v>
      </c>
      <c r="BG25" s="55">
        <v>8.3695062499999917E-2</v>
      </c>
      <c r="BI25" s="52">
        <v>22</v>
      </c>
      <c r="BJ25" s="53">
        <v>1.8310312499999482E-2</v>
      </c>
      <c r="BK25" s="54">
        <v>5.1538270833333399E-2</v>
      </c>
      <c r="BL25" s="54">
        <v>5.2530854166666696E-2</v>
      </c>
      <c r="BM25" s="55">
        <v>4.8533979166666352E-2</v>
      </c>
    </row>
    <row r="26" spans="2:65" x14ac:dyDescent="0.2">
      <c r="B26" s="7">
        <v>0</v>
      </c>
      <c r="C26" s="14">
        <v>4.3571280000000012</v>
      </c>
      <c r="D26" s="14">
        <v>4.135313</v>
      </c>
      <c r="E26" s="14">
        <v>3.800094000000001</v>
      </c>
      <c r="F26" s="14">
        <v>2.2126268333333337</v>
      </c>
      <c r="G26" s="15">
        <v>3.7566350000000006</v>
      </c>
      <c r="H26" s="15">
        <v>8.9628419166666671</v>
      </c>
      <c r="I26" s="15">
        <v>3.1522649166666667</v>
      </c>
      <c r="J26" s="16">
        <v>2.9832430000000003</v>
      </c>
      <c r="K26" s="16">
        <v>4.9803799999999994</v>
      </c>
      <c r="L26" s="16">
        <v>6.4331649999999989</v>
      </c>
      <c r="M26" s="16">
        <v>3.6130929999999997</v>
      </c>
      <c r="N26" s="17">
        <v>6.2996432499999999</v>
      </c>
      <c r="O26" s="17">
        <v>6.1647140000000009</v>
      </c>
      <c r="P26" s="17">
        <v>3.0914584999999994</v>
      </c>
      <c r="Q26" s="17">
        <v>7.6783800000000006</v>
      </c>
      <c r="T26" s="7">
        <v>0</v>
      </c>
      <c r="U26" s="14">
        <f>C26-C25</f>
        <v>0</v>
      </c>
      <c r="V26" s="14">
        <f t="shared" si="6"/>
        <v>9.2060999999999282E-2</v>
      </c>
      <c r="W26" s="14">
        <f t="shared" si="6"/>
        <v>0</v>
      </c>
      <c r="X26" s="14">
        <f t="shared" si="6"/>
        <v>0.18625875000000036</v>
      </c>
      <c r="Y26" s="15">
        <f t="shared" si="6"/>
        <v>4.8132666666666601E-2</v>
      </c>
      <c r="Z26" s="15">
        <f t="shared" si="7"/>
        <v>0.1620606666666653</v>
      </c>
      <c r="AA26" s="15">
        <f t="shared" si="7"/>
        <v>0.24153208333333298</v>
      </c>
      <c r="AB26" s="16">
        <f t="shared" si="7"/>
        <v>0</v>
      </c>
      <c r="AC26" s="16">
        <f t="shared" si="7"/>
        <v>0</v>
      </c>
      <c r="AD26" s="16">
        <f t="shared" si="8"/>
        <v>0.59228408333333249</v>
      </c>
      <c r="AE26" s="16">
        <f t="shared" si="8"/>
        <v>4.3924999999989112E-4</v>
      </c>
      <c r="AF26" s="17">
        <f t="shared" si="8"/>
        <v>0.2889520000000001</v>
      </c>
      <c r="AG26" s="17">
        <f t="shared" si="8"/>
        <v>0</v>
      </c>
      <c r="AH26" s="17">
        <f t="shared" si="9"/>
        <v>0.26821883333333307</v>
      </c>
      <c r="AI26" s="17">
        <f t="shared" si="9"/>
        <v>0</v>
      </c>
      <c r="AK26" s="7">
        <v>0</v>
      </c>
      <c r="AL26" s="57">
        <f t="shared" si="5"/>
        <v>6.9579937499999911E-2</v>
      </c>
      <c r="AM26">
        <f t="shared" si="2"/>
        <v>0.15057513888888829</v>
      </c>
      <c r="AN26">
        <f t="shared" si="3"/>
        <v>0.1481808333333331</v>
      </c>
      <c r="AO26">
        <f t="shared" si="4"/>
        <v>0.13929270833333329</v>
      </c>
      <c r="AQ26" s="52">
        <v>23</v>
      </c>
      <c r="AR26" s="53">
        <v>4.2851958333333273E-2</v>
      </c>
      <c r="AS26" s="54">
        <v>7.6931895833333264E-2</v>
      </c>
      <c r="AT26" s="54">
        <v>3.0823645833333302E-2</v>
      </c>
      <c r="AU26" s="55">
        <v>6.1451249999999957E-2</v>
      </c>
      <c r="AW26" s="52">
        <v>23</v>
      </c>
      <c r="AX26" s="53">
        <v>0.14640836111111177</v>
      </c>
      <c r="AY26" s="54">
        <v>0.1421401666666687</v>
      </c>
      <c r="AZ26" s="54">
        <v>8.4505138888888887E-2</v>
      </c>
      <c r="BA26" s="55">
        <v>9.425886111111155E-2</v>
      </c>
      <c r="BC26" s="52">
        <v>23</v>
      </c>
      <c r="BD26" s="53">
        <v>0.13690752083333291</v>
      </c>
      <c r="BE26" s="54">
        <v>0.19429841666666658</v>
      </c>
      <c r="BF26" s="54">
        <v>7.1453854166666719E-2</v>
      </c>
      <c r="BG26" s="55">
        <v>0.11811058333333313</v>
      </c>
      <c r="BI26" s="52">
        <v>23</v>
      </c>
      <c r="BJ26" s="53">
        <v>4.936547916666667E-2</v>
      </c>
      <c r="BK26" s="54">
        <v>7.9562812499999858E-2</v>
      </c>
      <c r="BL26" s="54">
        <v>4.2898624999999413E-2</v>
      </c>
      <c r="BM26" s="55">
        <v>5.8190416666666689E-2</v>
      </c>
    </row>
    <row r="27" spans="2:65" x14ac:dyDescent="0.2">
      <c r="B27" s="45">
        <v>1</v>
      </c>
      <c r="C27" s="14">
        <v>4.3571280000000012</v>
      </c>
      <c r="D27" s="14">
        <v>4.2752689999999998</v>
      </c>
      <c r="E27" s="14">
        <v>3.800094000000001</v>
      </c>
      <c r="F27" s="14">
        <v>2.3908744166666662</v>
      </c>
      <c r="G27" s="15">
        <v>3.7566350000000006</v>
      </c>
      <c r="H27" s="15">
        <v>9.1786116666666668</v>
      </c>
      <c r="I27" s="15">
        <v>3.4353886666666664</v>
      </c>
      <c r="J27" s="16">
        <v>2.9832430000000003</v>
      </c>
      <c r="K27" s="16">
        <v>4.9890797499999993</v>
      </c>
      <c r="L27" s="16">
        <v>6.5464999999999991</v>
      </c>
      <c r="M27" s="16">
        <v>3.6174319999999991</v>
      </c>
      <c r="N27" s="17">
        <v>6.4949521666666667</v>
      </c>
      <c r="O27" s="17">
        <v>6.1647140000000009</v>
      </c>
      <c r="P27" s="17">
        <v>3.4647968333333332</v>
      </c>
      <c r="Q27" s="17">
        <v>7.6783800000000006</v>
      </c>
      <c r="T27" s="45">
        <v>1</v>
      </c>
      <c r="U27" s="14">
        <f t="shared" si="6"/>
        <v>0</v>
      </c>
      <c r="V27" s="14">
        <f t="shared" si="6"/>
        <v>0.13995599999999975</v>
      </c>
      <c r="W27" s="14">
        <f t="shared" si="6"/>
        <v>0</v>
      </c>
      <c r="X27" s="14">
        <f t="shared" si="6"/>
        <v>0.17824758333333257</v>
      </c>
      <c r="Y27" s="15">
        <f t="shared" si="6"/>
        <v>0</v>
      </c>
      <c r="Z27" s="15">
        <f t="shared" si="7"/>
        <v>0.21576974999999976</v>
      </c>
      <c r="AA27" s="15">
        <f t="shared" si="7"/>
        <v>0.28312374999999967</v>
      </c>
      <c r="AB27" s="16">
        <f t="shared" si="7"/>
        <v>0</v>
      </c>
      <c r="AC27" s="16">
        <f t="shared" si="7"/>
        <v>8.6997499999998951E-3</v>
      </c>
      <c r="AD27" s="16">
        <f t="shared" si="8"/>
        <v>0.11333500000000019</v>
      </c>
      <c r="AE27" s="16">
        <f t="shared" si="8"/>
        <v>4.3389999999994266E-3</v>
      </c>
      <c r="AF27" s="17">
        <f t="shared" si="8"/>
        <v>0.19530891666666683</v>
      </c>
      <c r="AG27" s="17">
        <f t="shared" si="8"/>
        <v>0</v>
      </c>
      <c r="AH27" s="17">
        <f t="shared" si="9"/>
        <v>0.37333833333333377</v>
      </c>
      <c r="AI27" s="17">
        <f t="shared" si="9"/>
        <v>0</v>
      </c>
      <c r="AK27" s="5">
        <v>1</v>
      </c>
      <c r="AL27" s="57">
        <f t="shared" si="5"/>
        <v>7.955089583333308E-2</v>
      </c>
      <c r="AM27">
        <f t="shared" si="2"/>
        <v>0.16629783333333314</v>
      </c>
      <c r="AN27">
        <f t="shared" si="3"/>
        <v>3.1593437499999877E-2</v>
      </c>
      <c r="AO27">
        <f t="shared" si="4"/>
        <v>0.14216181250000015</v>
      </c>
      <c r="AQ27" s="52">
        <v>24</v>
      </c>
      <c r="AR27" s="53">
        <v>6.9579937499999911E-2</v>
      </c>
      <c r="AS27" s="54">
        <v>5.4875374999999726E-2</v>
      </c>
      <c r="AT27" s="54">
        <v>1.7974083333333057E-2</v>
      </c>
      <c r="AU27" s="55">
        <v>7.6077937500000248E-2</v>
      </c>
      <c r="AW27" s="52">
        <v>24</v>
      </c>
      <c r="AX27" s="53">
        <v>0.15057513888888829</v>
      </c>
      <c r="AY27" s="54">
        <v>0.12108722222222153</v>
      </c>
      <c r="AZ27" s="54">
        <v>2.4153777777778867E-2</v>
      </c>
      <c r="BA27" s="55">
        <v>0.18916174999999905</v>
      </c>
      <c r="BC27" s="52">
        <v>24</v>
      </c>
      <c r="BD27" s="53">
        <v>0.1481808333333331</v>
      </c>
      <c r="BE27" s="54">
        <v>0.14330879166666644</v>
      </c>
      <c r="BF27" s="54">
        <v>2.3072687499999578E-2</v>
      </c>
      <c r="BG27" s="55">
        <v>9.8713083333333396E-2</v>
      </c>
      <c r="BI27" s="52">
        <v>24</v>
      </c>
      <c r="BJ27" s="53">
        <v>0.13929270833333329</v>
      </c>
      <c r="BK27" s="54">
        <v>8.2340833333333086E-2</v>
      </c>
      <c r="BL27" s="54">
        <v>5.5203854166667288E-2</v>
      </c>
      <c r="BM27" s="55">
        <v>2.3012145833332776E-2</v>
      </c>
    </row>
    <row r="28" spans="2:65" x14ac:dyDescent="0.2">
      <c r="B28" s="45">
        <v>2</v>
      </c>
      <c r="C28" s="14">
        <v>4.3571280000000012</v>
      </c>
      <c r="D28" s="14">
        <v>4.299069666666667</v>
      </c>
      <c r="E28" s="14">
        <v>3.800094000000001</v>
      </c>
      <c r="F28" s="14">
        <v>2.4397389999999999</v>
      </c>
      <c r="G28" s="15">
        <v>3.8013308333333331</v>
      </c>
      <c r="H28" s="15">
        <v>9.4155044999999991</v>
      </c>
      <c r="I28" s="15">
        <v>3.474421</v>
      </c>
      <c r="J28" s="16">
        <v>2.9832430000000003</v>
      </c>
      <c r="K28" s="16">
        <v>5.03742</v>
      </c>
      <c r="L28" s="16">
        <v>6.5464999999999991</v>
      </c>
      <c r="M28" s="16">
        <v>3.6281869999999992</v>
      </c>
      <c r="N28" s="17">
        <v>6.6874453333333337</v>
      </c>
      <c r="O28" s="17">
        <v>6.1647140000000009</v>
      </c>
      <c r="P28" s="17">
        <v>3.6045519999999986</v>
      </c>
      <c r="Q28" s="17">
        <v>7.6783800000000006</v>
      </c>
      <c r="T28" s="45">
        <v>2</v>
      </c>
      <c r="U28" s="14">
        <f t="shared" si="6"/>
        <v>0</v>
      </c>
      <c r="V28" s="14">
        <f t="shared" si="6"/>
        <v>2.3800666666667247E-2</v>
      </c>
      <c r="W28" s="14">
        <f t="shared" si="6"/>
        <v>0</v>
      </c>
      <c r="X28" s="14">
        <f t="shared" si="6"/>
        <v>4.8864583333333655E-2</v>
      </c>
      <c r="Y28" s="15">
        <f t="shared" si="6"/>
        <v>4.4695833333332491E-2</v>
      </c>
      <c r="Z28" s="15">
        <f t="shared" si="7"/>
        <v>0.23689283333333222</v>
      </c>
      <c r="AA28" s="15">
        <f t="shared" si="7"/>
        <v>3.9032333333333558E-2</v>
      </c>
      <c r="AB28" s="16">
        <f t="shared" si="7"/>
        <v>0</v>
      </c>
      <c r="AC28" s="16">
        <f t="shared" si="7"/>
        <v>4.8340250000000751E-2</v>
      </c>
      <c r="AD28" s="16">
        <f t="shared" si="8"/>
        <v>0</v>
      </c>
      <c r="AE28" s="16">
        <f t="shared" si="8"/>
        <v>1.075500000000007E-2</v>
      </c>
      <c r="AF28" s="17">
        <f t="shared" si="8"/>
        <v>0.19249316666666694</v>
      </c>
      <c r="AG28" s="17">
        <f t="shared" si="8"/>
        <v>0</v>
      </c>
      <c r="AH28" s="17">
        <f t="shared" si="9"/>
        <v>0.13975516666666543</v>
      </c>
      <c r="AI28" s="17">
        <f t="shared" si="9"/>
        <v>0</v>
      </c>
      <c r="AK28" s="5">
        <v>2</v>
      </c>
      <c r="AL28" s="57">
        <f t="shared" si="5"/>
        <v>1.8166312500000226E-2</v>
      </c>
      <c r="AM28">
        <f t="shared" si="2"/>
        <v>0.10687366666666609</v>
      </c>
      <c r="AN28">
        <f t="shared" si="3"/>
        <v>1.4773812500000205E-2</v>
      </c>
      <c r="AO28">
        <f t="shared" si="4"/>
        <v>8.3062083333333092E-2</v>
      </c>
    </row>
    <row r="29" spans="2:65" x14ac:dyDescent="0.2">
      <c r="B29" s="45">
        <v>3</v>
      </c>
      <c r="C29" s="14">
        <v>4.3571827500000007</v>
      </c>
      <c r="D29" s="14">
        <v>4.3197693333333342</v>
      </c>
      <c r="E29" s="14">
        <v>3.800094000000001</v>
      </c>
      <c r="F29" s="14">
        <v>2.4397389999999999</v>
      </c>
      <c r="G29" s="15">
        <v>4.0299054999999999</v>
      </c>
      <c r="H29" s="15">
        <v>9.6148562500000008</v>
      </c>
      <c r="I29" s="15">
        <v>3.474421</v>
      </c>
      <c r="J29" s="16">
        <v>2.9832430000000003</v>
      </c>
      <c r="K29" s="16">
        <v>5.0770785833333321</v>
      </c>
      <c r="L29" s="16">
        <v>6.5464999999999991</v>
      </c>
      <c r="M29" s="16">
        <v>3.6281869999999992</v>
      </c>
      <c r="N29" s="17">
        <v>6.8730559166666678</v>
      </c>
      <c r="O29" s="17">
        <v>6.1647140000000009</v>
      </c>
      <c r="P29" s="17">
        <v>3.6045519999999986</v>
      </c>
      <c r="Q29" s="17">
        <v>7.6783800000000006</v>
      </c>
      <c r="T29" s="45">
        <v>3</v>
      </c>
      <c r="U29" s="14">
        <f t="shared" si="6"/>
        <v>5.4749999999437193E-5</v>
      </c>
      <c r="V29" s="14">
        <f t="shared" si="6"/>
        <v>2.0699666666667227E-2</v>
      </c>
      <c r="W29" s="14">
        <f t="shared" si="6"/>
        <v>0</v>
      </c>
      <c r="X29" s="14">
        <f t="shared" si="6"/>
        <v>0</v>
      </c>
      <c r="Y29" s="15">
        <f t="shared" si="6"/>
        <v>0.22857466666666681</v>
      </c>
      <c r="Z29" s="15">
        <f t="shared" si="7"/>
        <v>0.19935175000000172</v>
      </c>
      <c r="AA29" s="15">
        <f t="shared" si="7"/>
        <v>0</v>
      </c>
      <c r="AB29" s="16">
        <f t="shared" si="7"/>
        <v>0</v>
      </c>
      <c r="AC29" s="16">
        <f t="shared" si="7"/>
        <v>3.9658583333332054E-2</v>
      </c>
      <c r="AD29" s="16">
        <f t="shared" si="8"/>
        <v>0</v>
      </c>
      <c r="AE29" s="16">
        <f t="shared" si="8"/>
        <v>0</v>
      </c>
      <c r="AF29" s="17">
        <f t="shared" si="8"/>
        <v>0.18561058333333413</v>
      </c>
      <c r="AG29" s="17">
        <f t="shared" si="8"/>
        <v>0</v>
      </c>
      <c r="AH29" s="17">
        <f t="shared" si="9"/>
        <v>0</v>
      </c>
      <c r="AI29" s="17">
        <f t="shared" si="9"/>
        <v>0</v>
      </c>
      <c r="AK29" s="5">
        <v>3</v>
      </c>
      <c r="AL29" s="57">
        <f t="shared" si="5"/>
        <v>5.188604166666666E-3</v>
      </c>
      <c r="AM29">
        <f t="shared" si="2"/>
        <v>0.14264213888888952</v>
      </c>
      <c r="AN29">
        <f t="shared" si="3"/>
        <v>9.9146458333330134E-3</v>
      </c>
      <c r="AO29">
        <f t="shared" si="4"/>
        <v>4.6402645833333533E-2</v>
      </c>
    </row>
    <row r="30" spans="2:65" x14ac:dyDescent="0.2">
      <c r="B30" s="45">
        <v>4</v>
      </c>
      <c r="C30" s="14">
        <v>4.3584198333333335</v>
      </c>
      <c r="D30" s="14">
        <v>4.3367801666666672</v>
      </c>
      <c r="E30" s="14">
        <v>3.800094000000001</v>
      </c>
      <c r="F30" s="14">
        <v>2.4397389999999999</v>
      </c>
      <c r="G30" s="15">
        <v>4.2572774999999998</v>
      </c>
      <c r="H30" s="15">
        <v>9.6373940000000005</v>
      </c>
      <c r="I30" s="15">
        <v>3.526626166666667</v>
      </c>
      <c r="J30" s="16">
        <v>2.9832430000000003</v>
      </c>
      <c r="K30" s="16">
        <v>5.0950035833333329</v>
      </c>
      <c r="L30" s="16">
        <v>6.5464999999999991</v>
      </c>
      <c r="M30" s="16">
        <v>3.6293325000000003</v>
      </c>
      <c r="N30" s="17">
        <v>7.0704665000000011</v>
      </c>
      <c r="O30" s="17">
        <v>6.1647140000000009</v>
      </c>
      <c r="P30" s="17">
        <v>3.6130475</v>
      </c>
      <c r="Q30" s="17">
        <v>7.6783800000000006</v>
      </c>
      <c r="T30" s="45">
        <v>4</v>
      </c>
      <c r="U30" s="14">
        <f t="shared" si="6"/>
        <v>1.2370833333328335E-3</v>
      </c>
      <c r="V30" s="14">
        <f t="shared" si="6"/>
        <v>1.7010833333332975E-2</v>
      </c>
      <c r="W30" s="14">
        <f t="shared" si="6"/>
        <v>0</v>
      </c>
      <c r="X30" s="14">
        <f t="shared" si="6"/>
        <v>0</v>
      </c>
      <c r="Y30" s="15">
        <f t="shared" si="6"/>
        <v>0.22737199999999991</v>
      </c>
      <c r="Z30" s="15">
        <f t="shared" si="7"/>
        <v>2.253774999999969E-2</v>
      </c>
      <c r="AA30" s="15">
        <f t="shared" si="7"/>
        <v>5.2205166666666969E-2</v>
      </c>
      <c r="AB30" s="16">
        <f t="shared" si="7"/>
        <v>0</v>
      </c>
      <c r="AC30" s="16">
        <f t="shared" si="7"/>
        <v>1.7925000000000857E-2</v>
      </c>
      <c r="AD30" s="16">
        <f t="shared" si="8"/>
        <v>0</v>
      </c>
      <c r="AE30" s="16">
        <f t="shared" si="8"/>
        <v>1.1455000000011317E-3</v>
      </c>
      <c r="AF30" s="17">
        <f t="shared" si="8"/>
        <v>0.19741058333333328</v>
      </c>
      <c r="AG30" s="17">
        <f t="shared" si="8"/>
        <v>0</v>
      </c>
      <c r="AH30" s="17">
        <f t="shared" si="9"/>
        <v>8.4955000000013214E-3</v>
      </c>
      <c r="AI30" s="17">
        <f t="shared" si="9"/>
        <v>0</v>
      </c>
      <c r="AK30" s="5">
        <v>4</v>
      </c>
      <c r="AL30" s="57">
        <f t="shared" si="5"/>
        <v>4.5619791666664522E-3</v>
      </c>
      <c r="AM30">
        <f t="shared" si="2"/>
        <v>0.10070497222222219</v>
      </c>
      <c r="AN30">
        <f t="shared" si="3"/>
        <v>4.7676250000004972E-3</v>
      </c>
      <c r="AO30">
        <f t="shared" si="4"/>
        <v>5.147652083333365E-2</v>
      </c>
      <c r="AR30" s="85" t="s">
        <v>75</v>
      </c>
      <c r="AS30" s="85"/>
      <c r="AT30" s="85"/>
      <c r="AU30" s="85"/>
      <c r="AX30" s="85" t="s">
        <v>76</v>
      </c>
      <c r="AY30" s="85"/>
      <c r="AZ30" s="85"/>
      <c r="BA30" s="85"/>
      <c r="BE30" s="85" t="s">
        <v>78</v>
      </c>
      <c r="BF30" s="85"/>
      <c r="BG30" s="85"/>
      <c r="BJ30" s="85" t="s">
        <v>79</v>
      </c>
      <c r="BK30" s="85"/>
      <c r="BL30" s="85"/>
    </row>
    <row r="31" spans="2:65" x14ac:dyDescent="0.2">
      <c r="B31" s="45">
        <v>5</v>
      </c>
      <c r="C31" s="14">
        <v>4.3596572500000006</v>
      </c>
      <c r="D31" s="14">
        <v>4.3420891666666668</v>
      </c>
      <c r="E31" s="14">
        <v>3.800094000000001</v>
      </c>
      <c r="F31" s="14">
        <v>2.4397389999999999</v>
      </c>
      <c r="G31" s="15">
        <v>4.4924480000000004</v>
      </c>
      <c r="H31" s="15">
        <v>9.6373940000000005</v>
      </c>
      <c r="I31" s="15">
        <v>3.9415873333333331</v>
      </c>
      <c r="J31" s="16">
        <v>2.9832430000000003</v>
      </c>
      <c r="K31" s="16">
        <v>5.1246116666666675</v>
      </c>
      <c r="L31" s="16">
        <v>6.5468274166666669</v>
      </c>
      <c r="M31" s="16">
        <v>3.6542274999999997</v>
      </c>
      <c r="N31" s="17">
        <v>7.2678770833333326</v>
      </c>
      <c r="O31" s="17">
        <v>6.1647140000000009</v>
      </c>
      <c r="P31" s="17">
        <v>3.7444816666666667</v>
      </c>
      <c r="Q31" s="17">
        <v>7.6783800000000006</v>
      </c>
      <c r="T31" s="45">
        <v>5</v>
      </c>
      <c r="U31" s="14">
        <f t="shared" si="6"/>
        <v>1.2374166666671016E-3</v>
      </c>
      <c r="V31" s="14">
        <f t="shared" si="6"/>
        <v>5.3089999999995641E-3</v>
      </c>
      <c r="W31" s="14">
        <f t="shared" si="6"/>
        <v>0</v>
      </c>
      <c r="X31" s="14">
        <f t="shared" si="6"/>
        <v>0</v>
      </c>
      <c r="Y31" s="15">
        <f t="shared" si="6"/>
        <v>0.23517050000000062</v>
      </c>
      <c r="Z31" s="15">
        <f t="shared" si="7"/>
        <v>0</v>
      </c>
      <c r="AA31" s="15">
        <f t="shared" si="7"/>
        <v>0.41496116666666616</v>
      </c>
      <c r="AB31" s="16">
        <f t="shared" si="7"/>
        <v>0</v>
      </c>
      <c r="AC31" s="16">
        <f t="shared" si="7"/>
        <v>2.9608083333334534E-2</v>
      </c>
      <c r="AD31" s="16">
        <f t="shared" si="8"/>
        <v>3.2741666666780134E-4</v>
      </c>
      <c r="AE31" s="16">
        <f t="shared" si="8"/>
        <v>2.4894999999999445E-2</v>
      </c>
      <c r="AF31" s="17">
        <f t="shared" si="8"/>
        <v>0.1974105833333315</v>
      </c>
      <c r="AG31" s="17">
        <f t="shared" si="8"/>
        <v>0</v>
      </c>
      <c r="AH31" s="17">
        <f t="shared" si="9"/>
        <v>0.13143416666666674</v>
      </c>
      <c r="AI31" s="17">
        <f t="shared" si="9"/>
        <v>0</v>
      </c>
      <c r="AK31" s="5">
        <v>5</v>
      </c>
      <c r="AL31" s="57">
        <f t="shared" si="5"/>
        <v>1.6366041666666664E-3</v>
      </c>
      <c r="AM31">
        <f t="shared" si="2"/>
        <v>0.2167105555555556</v>
      </c>
      <c r="AN31">
        <f t="shared" si="3"/>
        <v>1.3707625000000445E-2</v>
      </c>
      <c r="AO31">
        <f t="shared" si="4"/>
        <v>8.2211187499999561E-2</v>
      </c>
      <c r="AQ31" s="32" t="s">
        <v>77</v>
      </c>
      <c r="AR31" s="58" t="s">
        <v>52</v>
      </c>
      <c r="AS31" s="59" t="s">
        <v>38</v>
      </c>
      <c r="AT31" s="60" t="s">
        <v>39</v>
      </c>
      <c r="AU31" s="61" t="s">
        <v>40</v>
      </c>
      <c r="AW31" s="32" t="s">
        <v>77</v>
      </c>
      <c r="AX31" s="58" t="s">
        <v>52</v>
      </c>
      <c r="AY31" s="59" t="s">
        <v>38</v>
      </c>
      <c r="AZ31" s="60" t="s">
        <v>39</v>
      </c>
      <c r="BA31" s="61" t="s">
        <v>40</v>
      </c>
      <c r="BD31" s="32" t="s">
        <v>77</v>
      </c>
      <c r="BE31" s="65" t="s">
        <v>52</v>
      </c>
      <c r="BF31" s="66" t="s">
        <v>38</v>
      </c>
      <c r="BG31" t="s">
        <v>80</v>
      </c>
      <c r="BI31" s="32" t="s">
        <v>77</v>
      </c>
      <c r="BJ31" s="67" t="s">
        <v>39</v>
      </c>
      <c r="BK31" s="68" t="s">
        <v>40</v>
      </c>
      <c r="BL31" t="s">
        <v>80</v>
      </c>
    </row>
    <row r="32" spans="2:65" x14ac:dyDescent="0.2">
      <c r="B32" s="45">
        <v>6</v>
      </c>
      <c r="C32" s="14">
        <v>4.3633727500000008</v>
      </c>
      <c r="D32" s="14">
        <v>4.3472389999999992</v>
      </c>
      <c r="E32" s="14">
        <v>3.8004472499999999</v>
      </c>
      <c r="F32" s="14">
        <v>2.4397389999999999</v>
      </c>
      <c r="G32" s="15">
        <v>4.7134810000000007</v>
      </c>
      <c r="H32" s="15">
        <v>9.6373940000000005</v>
      </c>
      <c r="I32" s="15">
        <v>4.0914062500000004</v>
      </c>
      <c r="J32" s="16">
        <v>2.9832430000000003</v>
      </c>
      <c r="K32" s="16">
        <v>5.1256800000000009</v>
      </c>
      <c r="L32" s="16">
        <v>6.5529675833333334</v>
      </c>
      <c r="M32" s="16">
        <v>3.6885603333333337</v>
      </c>
      <c r="N32" s="17">
        <v>7.4286770000000004</v>
      </c>
      <c r="O32" s="17">
        <v>6.1647140000000009</v>
      </c>
      <c r="P32" s="17">
        <v>3.9161450000000002</v>
      </c>
      <c r="Q32" s="17">
        <v>7.6783800000000006</v>
      </c>
      <c r="T32" s="45">
        <v>6</v>
      </c>
      <c r="U32" s="14">
        <f t="shared" si="6"/>
        <v>3.7155000000002047E-3</v>
      </c>
      <c r="V32" s="14">
        <f t="shared" si="6"/>
        <v>5.1498333333324098E-3</v>
      </c>
      <c r="W32" s="14">
        <f t="shared" si="6"/>
        <v>3.5324999999897244E-4</v>
      </c>
      <c r="X32" s="14">
        <f t="shared" si="6"/>
        <v>0</v>
      </c>
      <c r="Y32" s="15">
        <f t="shared" si="6"/>
        <v>0.22103300000000026</v>
      </c>
      <c r="Z32" s="15">
        <f t="shared" si="7"/>
        <v>0</v>
      </c>
      <c r="AA32" s="15">
        <f t="shared" si="7"/>
        <v>0.14981891666666725</v>
      </c>
      <c r="AB32" s="16">
        <f t="shared" si="7"/>
        <v>0</v>
      </c>
      <c r="AC32" s="16">
        <f t="shared" si="7"/>
        <v>1.0683333333334488E-3</v>
      </c>
      <c r="AD32" s="16">
        <f t="shared" si="8"/>
        <v>6.1401666666665022E-3</v>
      </c>
      <c r="AE32" s="16">
        <f t="shared" si="8"/>
        <v>3.4332833333333923E-2</v>
      </c>
      <c r="AF32" s="17">
        <f t="shared" si="8"/>
        <v>0.16079991666666782</v>
      </c>
      <c r="AG32" s="17">
        <f t="shared" si="8"/>
        <v>0</v>
      </c>
      <c r="AH32" s="17">
        <f t="shared" si="9"/>
        <v>0.1716633333333335</v>
      </c>
      <c r="AI32" s="17">
        <f t="shared" si="9"/>
        <v>0</v>
      </c>
      <c r="AK32" s="5">
        <v>6</v>
      </c>
      <c r="AL32" s="57">
        <f t="shared" si="5"/>
        <v>2.3046458333328967E-3</v>
      </c>
      <c r="AM32">
        <f t="shared" si="2"/>
        <v>0.12361730555555583</v>
      </c>
      <c r="AN32">
        <f t="shared" si="3"/>
        <v>1.0385333333333469E-2</v>
      </c>
      <c r="AO32">
        <f t="shared" si="4"/>
        <v>8.311581250000033E-2</v>
      </c>
      <c r="AQ32" s="52">
        <v>0</v>
      </c>
      <c r="AR32" s="62">
        <f>AVERAGE(AR3:AU3)</f>
        <v>3.5607348958333174E-2</v>
      </c>
      <c r="AS32" s="63">
        <f>AVERAGE(AX3:BA3)</f>
        <v>7.3954034722222173E-2</v>
      </c>
      <c r="AT32" s="63">
        <f>AVERAGE(BD3:BG3)</f>
        <v>7.8640578124999777E-2</v>
      </c>
      <c r="AU32" s="64">
        <f>AVERAGE(BJ3:BM3)</f>
        <v>6.9209348958333416E-2</v>
      </c>
      <c r="AW32" s="52">
        <v>0</v>
      </c>
      <c r="AX32" s="62">
        <f>STDEV(AR3:AU3)/SQRT(COUNT(AR3:AU3))</f>
        <v>1.6083658777897442E-2</v>
      </c>
      <c r="AY32" s="63">
        <f>STDEV(AX3:BA3)/SQRT(COUNT(AX3:BA3))</f>
        <v>3.6562270866583917E-2</v>
      </c>
      <c r="AZ32" s="63">
        <f>STDEV(BD3:BG3)/SQRT(COUNT(BD3:BG3))</f>
        <v>3.9040530150789989E-2</v>
      </c>
      <c r="BA32" s="64">
        <f>STDEV(BJ3:BM3)/SQRT(COUNT(BJ3:BM3))</f>
        <v>2.8968662681669186E-2</v>
      </c>
      <c r="BD32" s="52">
        <v>0</v>
      </c>
      <c r="BE32" s="63">
        <v>3.5607348958333174E-2</v>
      </c>
      <c r="BF32" s="63">
        <v>7.3954034722222173E-2</v>
      </c>
      <c r="BI32" s="52">
        <v>0</v>
      </c>
      <c r="BJ32" s="63">
        <v>7.8640578124999777E-2</v>
      </c>
      <c r="BK32" s="63">
        <v>6.9209348958333416E-2</v>
      </c>
    </row>
    <row r="33" spans="2:63" x14ac:dyDescent="0.2">
      <c r="B33" s="45">
        <v>7</v>
      </c>
      <c r="C33" s="14">
        <v>4.4076372500000005</v>
      </c>
      <c r="D33" s="14">
        <v>4.3524236666666676</v>
      </c>
      <c r="E33" s="14">
        <v>3.8013020000000002</v>
      </c>
      <c r="F33" s="14">
        <v>2.4404883333333331</v>
      </c>
      <c r="G33" s="15">
        <v>4.7635870000000002</v>
      </c>
      <c r="H33" s="15">
        <v>9.6373940000000005</v>
      </c>
      <c r="I33" s="15">
        <v>4.2158235833333331</v>
      </c>
      <c r="J33" s="16">
        <v>2.9832430000000003</v>
      </c>
      <c r="K33" s="16">
        <v>5.1256800000000009</v>
      </c>
      <c r="L33" s="16">
        <v>6.5555669999999973</v>
      </c>
      <c r="M33" s="16">
        <v>3.7228915000000007</v>
      </c>
      <c r="N33" s="17">
        <v>7.4770582500000016</v>
      </c>
      <c r="O33" s="17">
        <v>6.1647140000000009</v>
      </c>
      <c r="P33" s="17">
        <v>4.0845559166666661</v>
      </c>
      <c r="Q33" s="17">
        <v>7.6783800000000006</v>
      </c>
      <c r="T33" s="45">
        <v>7</v>
      </c>
      <c r="U33" s="14">
        <f t="shared" si="6"/>
        <v>4.4264499999999707E-2</v>
      </c>
      <c r="V33" s="14">
        <f t="shared" si="6"/>
        <v>5.1846666666683916E-3</v>
      </c>
      <c r="W33" s="14">
        <f t="shared" si="6"/>
        <v>8.5475000000023726E-4</v>
      </c>
      <c r="X33" s="14">
        <f t="shared" si="6"/>
        <v>7.4933333333326857E-4</v>
      </c>
      <c r="Y33" s="15">
        <f t="shared" si="6"/>
        <v>5.010599999999954E-2</v>
      </c>
      <c r="Z33" s="15">
        <f t="shared" si="7"/>
        <v>0</v>
      </c>
      <c r="AA33" s="15">
        <f t="shared" si="7"/>
        <v>0.12441733333333271</v>
      </c>
      <c r="AB33" s="16">
        <f t="shared" si="7"/>
        <v>0</v>
      </c>
      <c r="AC33" s="16">
        <f t="shared" si="7"/>
        <v>0</v>
      </c>
      <c r="AD33" s="16">
        <f t="shared" si="8"/>
        <v>2.5994166666638563E-3</v>
      </c>
      <c r="AE33" s="16">
        <f t="shared" si="8"/>
        <v>3.4331166666667023E-2</v>
      </c>
      <c r="AF33" s="17">
        <f t="shared" si="8"/>
        <v>4.8381250000001153E-2</v>
      </c>
      <c r="AG33" s="17">
        <f t="shared" si="8"/>
        <v>0</v>
      </c>
      <c r="AH33" s="17">
        <f t="shared" si="9"/>
        <v>0.16841091666666586</v>
      </c>
      <c r="AI33" s="17">
        <f t="shared" si="9"/>
        <v>0</v>
      </c>
      <c r="AK33" s="5">
        <v>7</v>
      </c>
      <c r="AL33" s="57">
        <f t="shared" si="5"/>
        <v>1.2763312500000401E-2</v>
      </c>
      <c r="AM33">
        <f t="shared" si="2"/>
        <v>5.8174444444444084E-2</v>
      </c>
      <c r="AN33">
        <f t="shared" si="3"/>
        <v>9.2326458333327199E-3</v>
      </c>
      <c r="AO33">
        <f t="shared" si="4"/>
        <v>5.4198041666666752E-2</v>
      </c>
      <c r="AQ33" s="52">
        <v>1</v>
      </c>
      <c r="AR33" s="62">
        <f>AVERAGE(AR4:AU4)</f>
        <v>4.0733958333333375E-2</v>
      </c>
      <c r="AS33" s="63">
        <f t="shared" ref="AS33:AS56" si="10">AVERAGE(AX4:BA4)</f>
        <v>7.4669048611111316E-2</v>
      </c>
      <c r="AT33" s="63">
        <f t="shared" ref="AT33:AT56" si="11">AVERAGE(BD4:BG4)</f>
        <v>3.8407114583333485E-2</v>
      </c>
      <c r="AU33" s="64">
        <f t="shared" ref="AU33:AU56" si="12">AVERAGE(BJ4:BM4)</f>
        <v>9.0793973958333371E-2</v>
      </c>
      <c r="AW33" s="52">
        <v>1</v>
      </c>
      <c r="AX33" s="62">
        <f t="shared" ref="AX33:AX56" si="13">STDEV(AR4:AU4)/SQRT(COUNT(AR4:AU4))</f>
        <v>1.7273142853943216E-2</v>
      </c>
      <c r="AY33" s="63">
        <f t="shared" ref="AY33:AY56" si="14">STDEV(AX4:BA4)/SQRT(COUNT(AX4:BA4))</f>
        <v>3.7409850466483686E-2</v>
      </c>
      <c r="AZ33" s="63">
        <f t="shared" ref="AZ33:AZ56" si="15">STDEV(BD4:BG4)/SQRT(COUNT(BD4:BG4))</f>
        <v>2.0428897952069369E-2</v>
      </c>
      <c r="BA33" s="64">
        <f t="shared" ref="BA33:BA55" si="16">STDEV(BJ4:BM4)/SQRT(COUNT(BJ4:BM4))</f>
        <v>2.1078246818756911E-2</v>
      </c>
      <c r="BD33" s="52">
        <v>1</v>
      </c>
      <c r="BE33" s="63">
        <v>4.0733958333333375E-2</v>
      </c>
      <c r="BF33" s="63">
        <v>7.4669048611111316E-2</v>
      </c>
      <c r="BI33" s="52">
        <v>1</v>
      </c>
      <c r="BJ33" s="63">
        <v>3.8407114583333485E-2</v>
      </c>
      <c r="BK33" s="63">
        <v>9.0793973958333371E-2</v>
      </c>
    </row>
    <row r="34" spans="2:63" x14ac:dyDescent="0.2">
      <c r="B34" s="45">
        <v>8</v>
      </c>
      <c r="C34" s="14">
        <v>4.4983959999999987</v>
      </c>
      <c r="D34" s="14">
        <v>4.3618688333333333</v>
      </c>
      <c r="E34" s="14">
        <v>3.8021603333333331</v>
      </c>
      <c r="F34" s="14">
        <v>2.4482250833333334</v>
      </c>
      <c r="G34" s="15">
        <v>4.7635870000000002</v>
      </c>
      <c r="H34" s="15">
        <v>9.6664619166666679</v>
      </c>
      <c r="I34" s="15">
        <v>4.3950145000000012</v>
      </c>
      <c r="J34" s="16">
        <v>2.9832430000000003</v>
      </c>
      <c r="K34" s="16">
        <v>5.1290500833333335</v>
      </c>
      <c r="L34" s="16">
        <v>6.5555669999999973</v>
      </c>
      <c r="M34" s="16">
        <v>3.7572234999999998</v>
      </c>
      <c r="N34" s="17">
        <v>7.4820650000000013</v>
      </c>
      <c r="O34" s="17">
        <v>6.1647140000000009</v>
      </c>
      <c r="P34" s="17">
        <v>4.139848999999999</v>
      </c>
      <c r="Q34" s="17">
        <v>7.6783800000000006</v>
      </c>
      <c r="T34" s="45">
        <v>8</v>
      </c>
      <c r="U34" s="14">
        <f t="shared" si="6"/>
        <v>9.0758749999998223E-2</v>
      </c>
      <c r="V34" s="14">
        <f t="shared" si="6"/>
        <v>9.4451666666657275E-3</v>
      </c>
      <c r="W34" s="14">
        <f t="shared" si="6"/>
        <v>8.5833333333296125E-4</v>
      </c>
      <c r="X34" s="14">
        <f t="shared" si="6"/>
        <v>7.736750000000292E-3</v>
      </c>
      <c r="Y34" s="15">
        <f t="shared" si="6"/>
        <v>0</v>
      </c>
      <c r="Z34" s="15">
        <f t="shared" si="7"/>
        <v>2.9067916666667415E-2</v>
      </c>
      <c r="AA34" s="15">
        <f t="shared" si="7"/>
        <v>0.17919091666666809</v>
      </c>
      <c r="AB34" s="16">
        <f t="shared" si="7"/>
        <v>0</v>
      </c>
      <c r="AC34" s="16">
        <f t="shared" si="7"/>
        <v>3.3700833333325519E-3</v>
      </c>
      <c r="AD34" s="16">
        <f t="shared" si="8"/>
        <v>0</v>
      </c>
      <c r="AE34" s="16">
        <f t="shared" si="8"/>
        <v>3.4331999999999141E-2</v>
      </c>
      <c r="AF34" s="17">
        <f t="shared" si="8"/>
        <v>5.0067499999997267E-3</v>
      </c>
      <c r="AG34" s="17">
        <f t="shared" si="8"/>
        <v>0</v>
      </c>
      <c r="AH34" s="17">
        <f t="shared" si="9"/>
        <v>5.5293083333332937E-2</v>
      </c>
      <c r="AI34" s="17">
        <f t="shared" si="9"/>
        <v>0</v>
      </c>
      <c r="AK34" s="5">
        <v>8</v>
      </c>
      <c r="AL34" s="57">
        <f t="shared" si="5"/>
        <v>2.7199749999999301E-2</v>
      </c>
      <c r="AM34">
        <f t="shared" si="2"/>
        <v>6.9419611111111834E-2</v>
      </c>
      <c r="AN34">
        <f t="shared" si="3"/>
        <v>9.4255208333329232E-3</v>
      </c>
      <c r="AO34">
        <f t="shared" si="4"/>
        <v>1.5074958333333166E-2</v>
      </c>
      <c r="AQ34" s="52">
        <v>2</v>
      </c>
      <c r="AR34" s="62">
        <f t="shared" ref="AR34:AR55" si="17">AVERAGE(AR5:AU5)</f>
        <v>2.1288453125000134E-2</v>
      </c>
      <c r="AS34" s="63">
        <f t="shared" si="10"/>
        <v>7.8962493055555583E-2</v>
      </c>
      <c r="AT34" s="63">
        <f t="shared" si="11"/>
        <v>3.3850619791666536E-2</v>
      </c>
      <c r="AU34" s="64">
        <f t="shared" si="12"/>
        <v>0.11799618749999992</v>
      </c>
      <c r="AW34" s="52">
        <v>2</v>
      </c>
      <c r="AX34" s="62">
        <f t="shared" si="13"/>
        <v>8.0977644248679051E-3</v>
      </c>
      <c r="AY34" s="63">
        <f t="shared" si="14"/>
        <v>3.2660408322615034E-2</v>
      </c>
      <c r="AZ34" s="63">
        <f t="shared" si="15"/>
        <v>1.5774738473244312E-2</v>
      </c>
      <c r="BA34" s="64">
        <f t="shared" si="16"/>
        <v>3.4269009402698856E-2</v>
      </c>
      <c r="BD34" s="52">
        <v>2</v>
      </c>
      <c r="BE34" s="63">
        <v>2.1288453125000134E-2</v>
      </c>
      <c r="BF34" s="63">
        <v>7.8962493055555583E-2</v>
      </c>
      <c r="BI34" s="52">
        <v>2</v>
      </c>
      <c r="BJ34" s="63">
        <v>3.3850619791666536E-2</v>
      </c>
      <c r="BK34" s="63">
        <v>0.11799618749999992</v>
      </c>
    </row>
    <row r="35" spans="2:63" x14ac:dyDescent="0.2">
      <c r="B35" s="45">
        <v>9</v>
      </c>
      <c r="C35" s="14">
        <v>4.5996759999999997</v>
      </c>
      <c r="D35" s="14">
        <v>4.3738851666666667</v>
      </c>
      <c r="E35" s="14">
        <v>3.8031499166666669</v>
      </c>
      <c r="F35" s="14">
        <v>2.4611776666666665</v>
      </c>
      <c r="G35" s="15">
        <v>4.7635870000000002</v>
      </c>
      <c r="H35" s="15">
        <v>9.8743937500000012</v>
      </c>
      <c r="I35" s="15">
        <v>4.4695841666666665</v>
      </c>
      <c r="J35" s="16">
        <v>2.9832430000000003</v>
      </c>
      <c r="K35" s="16">
        <v>5.1435380000000004</v>
      </c>
      <c r="L35" s="16">
        <v>6.5555669999999973</v>
      </c>
      <c r="M35" s="16">
        <v>3.7908221666666666</v>
      </c>
      <c r="N35" s="17">
        <v>7.4834543333333334</v>
      </c>
      <c r="O35" s="17">
        <v>6.1806970833333326</v>
      </c>
      <c r="P35" s="17">
        <v>4.1547776666666669</v>
      </c>
      <c r="Q35" s="17">
        <v>7.8982849999999987</v>
      </c>
      <c r="T35" s="45">
        <v>9</v>
      </c>
      <c r="U35" s="14">
        <f t="shared" si="6"/>
        <v>0.10128000000000092</v>
      </c>
      <c r="V35" s="14">
        <f t="shared" si="6"/>
        <v>1.2016333333333407E-2</v>
      </c>
      <c r="W35" s="14">
        <f t="shared" si="6"/>
        <v>9.8958333333376558E-4</v>
      </c>
      <c r="X35" s="14">
        <f t="shared" si="6"/>
        <v>1.2952583333333045E-2</v>
      </c>
      <c r="Y35" s="15">
        <f t="shared" si="6"/>
        <v>0</v>
      </c>
      <c r="Z35" s="15">
        <f t="shared" si="7"/>
        <v>0.20793183333333332</v>
      </c>
      <c r="AA35" s="15">
        <f t="shared" si="7"/>
        <v>7.4569666666665313E-2</v>
      </c>
      <c r="AB35" s="16">
        <f t="shared" si="7"/>
        <v>0</v>
      </c>
      <c r="AC35" s="16">
        <f t="shared" si="7"/>
        <v>1.4487916666666933E-2</v>
      </c>
      <c r="AD35" s="16">
        <f t="shared" si="8"/>
        <v>0</v>
      </c>
      <c r="AE35" s="16">
        <f t="shared" si="8"/>
        <v>3.3598666666666777E-2</v>
      </c>
      <c r="AF35" s="17">
        <f t="shared" si="8"/>
        <v>1.3893333333321323E-3</v>
      </c>
      <c r="AG35" s="17">
        <f t="shared" si="8"/>
        <v>1.5983083333331649E-2</v>
      </c>
      <c r="AH35" s="17">
        <f t="shared" si="9"/>
        <v>1.4928666666667922E-2</v>
      </c>
      <c r="AI35" s="17">
        <f t="shared" si="9"/>
        <v>0.21990499999999802</v>
      </c>
      <c r="AK35" s="5">
        <v>9</v>
      </c>
      <c r="AL35" s="57">
        <f t="shared" si="5"/>
        <v>3.1809625000000286E-2</v>
      </c>
      <c r="AM35">
        <f t="shared" si="2"/>
        <v>9.4167166666666205E-2</v>
      </c>
      <c r="AN35">
        <f t="shared" si="3"/>
        <v>1.2021645833333428E-2</v>
      </c>
      <c r="AO35">
        <f t="shared" si="4"/>
        <v>6.3051520833332431E-2</v>
      </c>
      <c r="AQ35" s="52">
        <v>3</v>
      </c>
      <c r="AR35" s="62">
        <f t="shared" si="17"/>
        <v>1.2452630208333232E-2</v>
      </c>
      <c r="AS35" s="63">
        <f t="shared" si="10"/>
        <v>6.5526951388888866E-2</v>
      </c>
      <c r="AT35" s="63">
        <f t="shared" si="11"/>
        <v>3.1896859374999934E-2</v>
      </c>
      <c r="AU35" s="64">
        <f t="shared" si="12"/>
        <v>0.10147771354166674</v>
      </c>
      <c r="AW35" s="52">
        <v>3</v>
      </c>
      <c r="AX35" s="62">
        <f t="shared" si="13"/>
        <v>3.6959431477501851E-3</v>
      </c>
      <c r="AY35" s="63">
        <f t="shared" si="14"/>
        <v>2.7914680613395457E-2</v>
      </c>
      <c r="AZ35" s="63">
        <f t="shared" si="15"/>
        <v>1.2596394267093899E-2</v>
      </c>
      <c r="BA35" s="64">
        <f t="shared" si="16"/>
        <v>3.4746372626800165E-2</v>
      </c>
      <c r="BD35" s="52">
        <v>3</v>
      </c>
      <c r="BE35" s="63">
        <v>1.2452630208333232E-2</v>
      </c>
      <c r="BF35" s="63">
        <v>6.5526951388888866E-2</v>
      </c>
      <c r="BI35" s="52">
        <v>3</v>
      </c>
      <c r="BJ35" s="63">
        <v>3.1896859374999934E-2</v>
      </c>
      <c r="BK35" s="63">
        <v>0.10147771354166674</v>
      </c>
    </row>
    <row r="36" spans="2:63" x14ac:dyDescent="0.2">
      <c r="B36" s="45">
        <v>10</v>
      </c>
      <c r="C36" s="14">
        <v>4.7009560000000015</v>
      </c>
      <c r="D36" s="14">
        <v>4.385901416666667</v>
      </c>
      <c r="E36" s="14">
        <v>3.8394753333333331</v>
      </c>
      <c r="F36" s="14">
        <v>2.5147826666666666</v>
      </c>
      <c r="G36" s="15">
        <v>4.7635870000000002</v>
      </c>
      <c r="H36" s="15">
        <v>9.9240291666666653</v>
      </c>
      <c r="I36" s="15">
        <v>4.4727469999999991</v>
      </c>
      <c r="J36" s="16">
        <v>2.9832430000000003</v>
      </c>
      <c r="K36" s="16">
        <v>5.1435380000000004</v>
      </c>
      <c r="L36" s="16">
        <v>6.5555669999999973</v>
      </c>
      <c r="M36" s="16">
        <v>3.8401174999999994</v>
      </c>
      <c r="N36" s="17">
        <v>7.5079765833333321</v>
      </c>
      <c r="O36" s="17">
        <v>6.2248063333333334</v>
      </c>
      <c r="P36" s="17">
        <v>4.2469211666666666</v>
      </c>
      <c r="Q36" s="17">
        <v>8.0772767500000011</v>
      </c>
      <c r="T36" s="45">
        <v>10</v>
      </c>
      <c r="U36" s="14">
        <f t="shared" si="6"/>
        <v>0.10128000000000181</v>
      </c>
      <c r="V36" s="14">
        <f t="shared" si="6"/>
        <v>1.2016250000000284E-2</v>
      </c>
      <c r="W36" s="14">
        <f t="shared" si="6"/>
        <v>3.6325416666666221E-2</v>
      </c>
      <c r="X36" s="14">
        <f t="shared" si="6"/>
        <v>5.3605000000000125E-2</v>
      </c>
      <c r="Y36" s="15">
        <f t="shared" si="6"/>
        <v>0</v>
      </c>
      <c r="Z36" s="15">
        <f t="shared" si="7"/>
        <v>4.9635416666664156E-2</v>
      </c>
      <c r="AA36" s="15">
        <f t="shared" si="7"/>
        <v>3.1628333333326708E-3</v>
      </c>
      <c r="AB36" s="16">
        <f t="shared" si="7"/>
        <v>0</v>
      </c>
      <c r="AC36" s="16">
        <f t="shared" si="7"/>
        <v>0</v>
      </c>
      <c r="AD36" s="16">
        <f t="shared" si="8"/>
        <v>0</v>
      </c>
      <c r="AE36" s="16">
        <f t="shared" si="8"/>
        <v>4.9295333333332803E-2</v>
      </c>
      <c r="AF36" s="17">
        <f t="shared" si="8"/>
        <v>2.4522249999998635E-2</v>
      </c>
      <c r="AG36" s="17">
        <f t="shared" si="8"/>
        <v>4.4109250000000877E-2</v>
      </c>
      <c r="AH36" s="17">
        <f t="shared" si="9"/>
        <v>9.2143499999999712E-2</v>
      </c>
      <c r="AI36" s="17">
        <f t="shared" si="9"/>
        <v>0.17899175000000245</v>
      </c>
      <c r="AK36" s="5">
        <v>10</v>
      </c>
      <c r="AL36" s="57">
        <f t="shared" si="5"/>
        <v>5.0806666666667111E-2</v>
      </c>
      <c r="AM36">
        <f t="shared" si="2"/>
        <v>1.7599416666665608E-2</v>
      </c>
      <c r="AN36">
        <f t="shared" si="3"/>
        <v>1.2323833333333201E-2</v>
      </c>
      <c r="AO36">
        <f t="shared" si="4"/>
        <v>8.4941687500000418E-2</v>
      </c>
      <c r="AQ36" s="52">
        <v>4</v>
      </c>
      <c r="AR36" s="62">
        <f t="shared" si="17"/>
        <v>9.3873906249999362E-3</v>
      </c>
      <c r="AS36" s="63">
        <f t="shared" si="10"/>
        <v>5.140840972222209E-2</v>
      </c>
      <c r="AT36" s="63">
        <f t="shared" si="11"/>
        <v>1.8692213541666863E-2</v>
      </c>
      <c r="AU36" s="64">
        <f t="shared" si="12"/>
        <v>6.9136703125000226E-2</v>
      </c>
      <c r="AW36" s="52">
        <v>4</v>
      </c>
      <c r="AX36" s="62">
        <f t="shared" si="13"/>
        <v>3.9347704350963424E-3</v>
      </c>
      <c r="AY36" s="63">
        <f t="shared" si="14"/>
        <v>1.7331863554287837E-2</v>
      </c>
      <c r="AZ36" s="63">
        <f t="shared" si="15"/>
        <v>8.2394992086253869E-3</v>
      </c>
      <c r="BA36" s="64">
        <f t="shared" si="16"/>
        <v>1.5611042656048858E-2</v>
      </c>
      <c r="BD36" s="52">
        <v>4</v>
      </c>
      <c r="BE36" s="63">
        <v>9.3873906249999362E-3</v>
      </c>
      <c r="BF36" s="63">
        <v>5.140840972222209E-2</v>
      </c>
      <c r="BI36" s="52">
        <v>4</v>
      </c>
      <c r="BJ36" s="63">
        <v>1.8692213541666863E-2</v>
      </c>
      <c r="BK36" s="63">
        <v>6.9136703125000226E-2</v>
      </c>
    </row>
    <row r="37" spans="2:63" x14ac:dyDescent="0.2">
      <c r="B37" s="45">
        <v>11</v>
      </c>
      <c r="C37" s="14">
        <v>4.7935563333333331</v>
      </c>
      <c r="D37" s="14">
        <v>4.3979177500000004</v>
      </c>
      <c r="E37" s="14">
        <v>3.8887879166666672</v>
      </c>
      <c r="F37" s="14">
        <v>2.6107678333333331</v>
      </c>
      <c r="G37" s="15">
        <v>4.7698345</v>
      </c>
      <c r="H37" s="15">
        <v>10.038073249999998</v>
      </c>
      <c r="I37" s="15">
        <v>4.4727469999999991</v>
      </c>
      <c r="J37" s="16">
        <v>2.9832430000000003</v>
      </c>
      <c r="K37" s="16">
        <v>5.1435380000000004</v>
      </c>
      <c r="L37" s="16">
        <v>6.5555669999999973</v>
      </c>
      <c r="M37" s="16">
        <v>3.848320999999999</v>
      </c>
      <c r="N37" s="17">
        <v>7.5404727499999993</v>
      </c>
      <c r="O37" s="17">
        <v>6.2694383333333334</v>
      </c>
      <c r="P37" s="17">
        <v>4.3048419999999998</v>
      </c>
      <c r="Q37" s="17">
        <v>8.1236562499999998</v>
      </c>
      <c r="T37" s="45">
        <v>11</v>
      </c>
      <c r="U37" s="14">
        <f t="shared" si="6"/>
        <v>9.2600333333331619E-2</v>
      </c>
      <c r="V37" s="14">
        <f t="shared" si="6"/>
        <v>1.2016333333333407E-2</v>
      </c>
      <c r="W37" s="14">
        <f t="shared" si="6"/>
        <v>4.9312583333334103E-2</v>
      </c>
      <c r="X37" s="14">
        <f t="shared" si="6"/>
        <v>9.5985166666666455E-2</v>
      </c>
      <c r="Y37" s="15">
        <f t="shared" si="6"/>
        <v>6.2474999999997394E-3</v>
      </c>
      <c r="Z37" s="15">
        <f t="shared" si="7"/>
        <v>0.11404408333333294</v>
      </c>
      <c r="AA37" s="15">
        <f t="shared" si="7"/>
        <v>0</v>
      </c>
      <c r="AB37" s="16">
        <f t="shared" si="7"/>
        <v>0</v>
      </c>
      <c r="AC37" s="16">
        <f t="shared" si="7"/>
        <v>0</v>
      </c>
      <c r="AD37" s="16">
        <f t="shared" si="8"/>
        <v>0</v>
      </c>
      <c r="AE37" s="16">
        <f t="shared" si="8"/>
        <v>8.2034999999995861E-3</v>
      </c>
      <c r="AF37" s="17">
        <f t="shared" si="8"/>
        <v>3.2496166666667214E-2</v>
      </c>
      <c r="AG37" s="17">
        <f t="shared" si="8"/>
        <v>4.4632000000000005E-2</v>
      </c>
      <c r="AH37" s="17">
        <f t="shared" si="9"/>
        <v>5.7920833333333199E-2</v>
      </c>
      <c r="AI37" s="17">
        <f t="shared" si="9"/>
        <v>4.6379499999998686E-2</v>
      </c>
      <c r="AK37" s="5">
        <v>11</v>
      </c>
      <c r="AL37" s="57">
        <f t="shared" si="5"/>
        <v>6.2478604166666396E-2</v>
      </c>
      <c r="AM37">
        <f t="shared" si="2"/>
        <v>4.0097194444444227E-2</v>
      </c>
      <c r="AN37">
        <f t="shared" si="3"/>
        <v>2.0508749999998965E-3</v>
      </c>
      <c r="AO37">
        <f t="shared" si="4"/>
        <v>4.5357124999999776E-2</v>
      </c>
      <c r="AQ37" s="52">
        <v>5</v>
      </c>
      <c r="AR37" s="62">
        <f t="shared" si="17"/>
        <v>8.501489583333216E-3</v>
      </c>
      <c r="AS37" s="63">
        <f t="shared" si="10"/>
        <v>0.10013052777777773</v>
      </c>
      <c r="AT37" s="63">
        <f t="shared" si="11"/>
        <v>1.7984489583333346E-2</v>
      </c>
      <c r="AU37" s="64">
        <f t="shared" si="12"/>
        <v>9.1052765624999671E-2</v>
      </c>
      <c r="AW37" s="52">
        <v>5</v>
      </c>
      <c r="AX37" s="62">
        <f t="shared" si="13"/>
        <v>4.691105338346665E-3</v>
      </c>
      <c r="AY37" s="63">
        <f t="shared" si="14"/>
        <v>4.2087589593578029E-2</v>
      </c>
      <c r="AZ37" s="63">
        <f t="shared" si="15"/>
        <v>5.9502405627923421E-3</v>
      </c>
      <c r="BA37" s="64">
        <f t="shared" si="16"/>
        <v>2.7185002603656246E-2</v>
      </c>
      <c r="BD37" s="52">
        <v>5</v>
      </c>
      <c r="BE37" s="63">
        <v>8.501489583333216E-3</v>
      </c>
      <c r="BF37" s="63">
        <v>0.10013052777777773</v>
      </c>
      <c r="BI37" s="52">
        <v>5</v>
      </c>
      <c r="BJ37" s="63">
        <v>1.7984489583333346E-2</v>
      </c>
      <c r="BK37" s="63">
        <v>9.1052765624999671E-2</v>
      </c>
    </row>
    <row r="38" spans="2:63" x14ac:dyDescent="0.2">
      <c r="B38" s="45">
        <v>12</v>
      </c>
      <c r="C38" s="14">
        <v>4.8302548333333339</v>
      </c>
      <c r="D38" s="14">
        <v>4.4090008333333328</v>
      </c>
      <c r="E38" s="14">
        <v>3.9001989166666657</v>
      </c>
      <c r="F38" s="14">
        <v>2.7077565000000003</v>
      </c>
      <c r="G38" s="15">
        <v>4.8147058333333339</v>
      </c>
      <c r="H38" s="15">
        <v>10.148917499999998</v>
      </c>
      <c r="I38" s="15">
        <v>4.4727469999999991</v>
      </c>
      <c r="J38" s="16">
        <v>2.9832430000000003</v>
      </c>
      <c r="K38" s="16">
        <v>5.1435380000000004</v>
      </c>
      <c r="L38" s="16">
        <v>6.5555669999999973</v>
      </c>
      <c r="M38" s="16">
        <v>3.848320999999999</v>
      </c>
      <c r="N38" s="17">
        <v>7.5604741666666682</v>
      </c>
      <c r="O38" s="17">
        <v>6.3243064166666656</v>
      </c>
      <c r="P38" s="17">
        <v>4.3580570000000005</v>
      </c>
      <c r="Q38" s="17">
        <v>8.1717214166666672</v>
      </c>
      <c r="T38" s="45">
        <v>12</v>
      </c>
      <c r="U38" s="14">
        <f t="shared" si="6"/>
        <v>3.6698500000000855E-2</v>
      </c>
      <c r="V38" s="14">
        <f t="shared" si="6"/>
        <v>1.1083083333332411E-2</v>
      </c>
      <c r="W38" s="14">
        <f t="shared" si="6"/>
        <v>1.1410999999998506E-2</v>
      </c>
      <c r="X38" s="14">
        <f t="shared" si="6"/>
        <v>9.6988666666667278E-2</v>
      </c>
      <c r="Y38" s="15">
        <f t="shared" si="6"/>
        <v>4.4871333333333929E-2</v>
      </c>
      <c r="Z38" s="15">
        <f t="shared" si="7"/>
        <v>0.11084424999999953</v>
      </c>
      <c r="AA38" s="15">
        <f t="shared" si="7"/>
        <v>0</v>
      </c>
      <c r="AB38" s="16">
        <f t="shared" si="7"/>
        <v>0</v>
      </c>
      <c r="AC38" s="16">
        <f t="shared" si="7"/>
        <v>0</v>
      </c>
      <c r="AD38" s="16">
        <f t="shared" si="8"/>
        <v>0</v>
      </c>
      <c r="AE38" s="16">
        <f t="shared" si="8"/>
        <v>0</v>
      </c>
      <c r="AF38" s="17">
        <f t="shared" si="8"/>
        <v>2.0001416666668881E-2</v>
      </c>
      <c r="AG38" s="17">
        <f t="shared" si="8"/>
        <v>5.4868083333332152E-2</v>
      </c>
      <c r="AH38" s="17">
        <f t="shared" si="9"/>
        <v>5.3215000000000678E-2</v>
      </c>
      <c r="AI38" s="17">
        <f t="shared" si="9"/>
        <v>4.806516666666738E-2</v>
      </c>
      <c r="AK38" s="5">
        <v>12</v>
      </c>
      <c r="AL38" s="57">
        <f t="shared" si="5"/>
        <v>3.9045312499999763E-2</v>
      </c>
      <c r="AM38">
        <f t="shared" si="2"/>
        <v>5.190519444444449E-2</v>
      </c>
      <c r="AN38">
        <f t="shared" si="3"/>
        <v>0</v>
      </c>
      <c r="AO38">
        <f t="shared" si="4"/>
        <v>4.4037416666667273E-2</v>
      </c>
      <c r="AQ38" s="52">
        <v>6</v>
      </c>
      <c r="AR38" s="62">
        <f t="shared" si="17"/>
        <v>7.6194635416665379E-3</v>
      </c>
      <c r="AS38" s="63">
        <f t="shared" si="10"/>
        <v>7.9428395833333276E-2</v>
      </c>
      <c r="AT38" s="63">
        <f t="shared" si="11"/>
        <v>1.7340598958333425E-2</v>
      </c>
      <c r="AU38" s="64">
        <f t="shared" si="12"/>
        <v>0.11183265104166679</v>
      </c>
      <c r="AW38" s="52">
        <v>6</v>
      </c>
      <c r="AX38" s="62">
        <f t="shared" si="13"/>
        <v>3.3298939384790939E-3</v>
      </c>
      <c r="AY38" s="63">
        <f t="shared" si="14"/>
        <v>1.8830624485722643E-2</v>
      </c>
      <c r="AZ38" s="63">
        <f t="shared" si="15"/>
        <v>5.5518716403798992E-3</v>
      </c>
      <c r="BA38" s="64">
        <f t="shared" si="16"/>
        <v>3.0881646179511536E-2</v>
      </c>
      <c r="BD38" s="52">
        <v>6</v>
      </c>
      <c r="BE38" s="63">
        <v>7.6194635416665379E-3</v>
      </c>
      <c r="BF38" s="63">
        <v>7.9428395833333276E-2</v>
      </c>
      <c r="BI38" s="52">
        <v>6</v>
      </c>
      <c r="BJ38" s="63">
        <v>1.7340598958333425E-2</v>
      </c>
      <c r="BK38" s="63">
        <v>0.11183265104166679</v>
      </c>
    </row>
    <row r="39" spans="2:63" x14ac:dyDescent="0.2">
      <c r="B39" s="45">
        <v>13</v>
      </c>
      <c r="C39" s="14">
        <v>4.8306180000000003</v>
      </c>
      <c r="D39" s="14">
        <v>4.4248174999999996</v>
      </c>
      <c r="E39" s="14">
        <v>3.9184025833333336</v>
      </c>
      <c r="F39" s="14">
        <v>2.8047451666666667</v>
      </c>
      <c r="G39" s="15">
        <v>4.8622314166666669</v>
      </c>
      <c r="H39" s="15">
        <v>10.17118</v>
      </c>
      <c r="I39" s="15">
        <v>4.4738601666666655</v>
      </c>
      <c r="J39" s="16">
        <v>2.9832430000000003</v>
      </c>
      <c r="K39" s="16">
        <v>5.1435380000000004</v>
      </c>
      <c r="L39" s="16">
        <v>6.5555669999999973</v>
      </c>
      <c r="M39" s="16">
        <v>3.848320999999999</v>
      </c>
      <c r="N39" s="17">
        <v>7.6613214999999988</v>
      </c>
      <c r="O39" s="17">
        <v>6.5065617499999995</v>
      </c>
      <c r="P39" s="17">
        <v>4.4112720833333334</v>
      </c>
      <c r="Q39" s="17">
        <v>8.2187601666666641</v>
      </c>
      <c r="T39" s="45">
        <v>13</v>
      </c>
      <c r="U39" s="14">
        <f t="shared" si="6"/>
        <v>3.6316666666635911E-4</v>
      </c>
      <c r="V39" s="14">
        <f t="shared" si="6"/>
        <v>1.5816666666666812E-2</v>
      </c>
      <c r="W39" s="14">
        <f t="shared" si="6"/>
        <v>1.8203666666667839E-2</v>
      </c>
      <c r="X39" s="14">
        <f t="shared" si="6"/>
        <v>9.698866666666639E-2</v>
      </c>
      <c r="Y39" s="15">
        <f t="shared" si="6"/>
        <v>4.752558333333301E-2</v>
      </c>
      <c r="Z39" s="15">
        <f t="shared" si="7"/>
        <v>2.226250000000185E-2</v>
      </c>
      <c r="AA39" s="15">
        <f t="shared" si="7"/>
        <v>1.1131666666663875E-3</v>
      </c>
      <c r="AB39" s="16">
        <f t="shared" si="7"/>
        <v>0</v>
      </c>
      <c r="AC39" s="16">
        <f t="shared" si="7"/>
        <v>0</v>
      </c>
      <c r="AD39" s="16">
        <f t="shared" si="8"/>
        <v>0</v>
      </c>
      <c r="AE39" s="16">
        <f t="shared" si="8"/>
        <v>0</v>
      </c>
      <c r="AF39" s="17">
        <f t="shared" si="8"/>
        <v>0.10084733333333062</v>
      </c>
      <c r="AG39" s="17">
        <f t="shared" si="8"/>
        <v>0.18225533333333388</v>
      </c>
      <c r="AH39" s="17">
        <f t="shared" si="9"/>
        <v>5.3215083333332913E-2</v>
      </c>
      <c r="AI39" s="17">
        <f t="shared" si="9"/>
        <v>4.7038749999996909E-2</v>
      </c>
      <c r="AK39" s="5">
        <v>13</v>
      </c>
      <c r="AL39" s="57">
        <f t="shared" si="5"/>
        <v>3.284304166666685E-2</v>
      </c>
      <c r="AM39">
        <f t="shared" si="2"/>
        <v>2.3633750000000415E-2</v>
      </c>
      <c r="AN39">
        <f t="shared" si="3"/>
        <v>0</v>
      </c>
      <c r="AO39">
        <f t="shared" si="4"/>
        <v>9.5839124999998582E-2</v>
      </c>
      <c r="AQ39" s="52">
        <v>7</v>
      </c>
      <c r="AR39" s="62">
        <f t="shared" si="17"/>
        <v>9.8871718750002113E-3</v>
      </c>
      <c r="AS39" s="63">
        <f t="shared" si="10"/>
        <v>9.6671888888888724E-2</v>
      </c>
      <c r="AT39" s="63">
        <f t="shared" si="11"/>
        <v>1.8115197916666492E-2</v>
      </c>
      <c r="AU39" s="64">
        <f t="shared" si="12"/>
        <v>9.1775427083333472E-2</v>
      </c>
      <c r="AW39" s="52">
        <v>7</v>
      </c>
      <c r="AX39" s="62">
        <f t="shared" si="13"/>
        <v>2.2659511993361908E-3</v>
      </c>
      <c r="AY39" s="63">
        <f t="shared" si="14"/>
        <v>1.5985816312897149E-2</v>
      </c>
      <c r="AZ39" s="63">
        <f t="shared" si="15"/>
        <v>5.5890625858397514E-3</v>
      </c>
      <c r="BA39" s="64">
        <f t="shared" si="16"/>
        <v>2.5639802097586602E-2</v>
      </c>
      <c r="BD39" s="52">
        <v>7</v>
      </c>
      <c r="BE39" s="63">
        <v>9.8871718750002113E-3</v>
      </c>
      <c r="BF39" s="63">
        <v>9.6671888888888724E-2</v>
      </c>
      <c r="BI39" s="52">
        <v>7</v>
      </c>
      <c r="BJ39" s="63">
        <v>1.8115197916666492E-2</v>
      </c>
      <c r="BK39" s="63">
        <v>9.1775427083333472E-2</v>
      </c>
    </row>
    <row r="40" spans="2:63" x14ac:dyDescent="0.2">
      <c r="B40" s="45">
        <v>14</v>
      </c>
      <c r="C40" s="14">
        <v>4.8306180000000003</v>
      </c>
      <c r="D40" s="14">
        <v>4.6122718333333328</v>
      </c>
      <c r="E40" s="14">
        <v>3.9750922499999994</v>
      </c>
      <c r="F40" s="14">
        <v>2.9017339166666667</v>
      </c>
      <c r="G40" s="15">
        <v>4.8716900000000001</v>
      </c>
      <c r="H40" s="15">
        <v>10.184505000000001</v>
      </c>
      <c r="I40" s="15">
        <v>4.5040216666666675</v>
      </c>
      <c r="J40" s="16">
        <v>2.9832430000000003</v>
      </c>
      <c r="K40" s="16">
        <v>5.1435380000000004</v>
      </c>
      <c r="L40" s="16">
        <v>6.5555669999999973</v>
      </c>
      <c r="M40" s="16">
        <v>3.848320999999999</v>
      </c>
      <c r="N40" s="17">
        <v>7.7935008333333338</v>
      </c>
      <c r="O40" s="17">
        <v>6.6990667499999992</v>
      </c>
      <c r="P40" s="17">
        <v>4.4644870833333332</v>
      </c>
      <c r="Q40" s="17">
        <v>8.2611038333333351</v>
      </c>
      <c r="T40" s="45">
        <v>14</v>
      </c>
      <c r="U40" s="14">
        <f t="shared" si="6"/>
        <v>0</v>
      </c>
      <c r="V40" s="14">
        <f t="shared" si="6"/>
        <v>0.18745433333333317</v>
      </c>
      <c r="W40" s="14">
        <f t="shared" si="6"/>
        <v>5.6689666666665861E-2</v>
      </c>
      <c r="X40" s="14">
        <f t="shared" si="6"/>
        <v>9.6988749999999957E-2</v>
      </c>
      <c r="Y40" s="15">
        <f t="shared" si="6"/>
        <v>9.4585833333331593E-3</v>
      </c>
      <c r="Z40" s="15">
        <f t="shared" si="7"/>
        <v>1.3325000000001808E-2</v>
      </c>
      <c r="AA40" s="15">
        <f t="shared" si="7"/>
        <v>3.0161500000001951E-2</v>
      </c>
      <c r="AB40" s="16">
        <f t="shared" si="7"/>
        <v>0</v>
      </c>
      <c r="AC40" s="16">
        <f t="shared" si="7"/>
        <v>0</v>
      </c>
      <c r="AD40" s="16">
        <f t="shared" si="8"/>
        <v>0</v>
      </c>
      <c r="AE40" s="16">
        <f t="shared" si="8"/>
        <v>0</v>
      </c>
      <c r="AF40" s="17">
        <f t="shared" si="8"/>
        <v>0.13217933333333498</v>
      </c>
      <c r="AG40" s="17">
        <f t="shared" si="8"/>
        <v>0.1925049999999997</v>
      </c>
      <c r="AH40" s="17">
        <f t="shared" si="9"/>
        <v>5.321499999999979E-2</v>
      </c>
      <c r="AI40" s="17">
        <f t="shared" si="9"/>
        <v>4.2343666666670998E-2</v>
      </c>
      <c r="AK40" s="5">
        <v>14</v>
      </c>
      <c r="AL40" s="57">
        <f t="shared" si="5"/>
        <v>8.5283187499999746E-2</v>
      </c>
      <c r="AM40">
        <f t="shared" si="2"/>
        <v>1.7648361111112305E-2</v>
      </c>
      <c r="AN40">
        <f t="shared" si="3"/>
        <v>0</v>
      </c>
      <c r="AO40">
        <f t="shared" si="4"/>
        <v>0.10506075000000137</v>
      </c>
      <c r="AQ40" s="52">
        <v>8</v>
      </c>
      <c r="AR40" s="62">
        <f t="shared" si="17"/>
        <v>1.4753729166666604E-2</v>
      </c>
      <c r="AS40" s="63">
        <f t="shared" si="10"/>
        <v>8.4850868055556194E-2</v>
      </c>
      <c r="AT40" s="63">
        <f t="shared" si="11"/>
        <v>1.9349682291666476E-2</v>
      </c>
      <c r="AU40" s="64">
        <f t="shared" si="12"/>
        <v>9.4321510416666837E-2</v>
      </c>
      <c r="AW40" s="52">
        <v>8</v>
      </c>
      <c r="AX40" s="62">
        <f t="shared" si="13"/>
        <v>7.2079064326611491E-3</v>
      </c>
      <c r="AY40" s="63">
        <f t="shared" si="14"/>
        <v>6.9881268463295679E-3</v>
      </c>
      <c r="AZ40" s="63">
        <f t="shared" si="15"/>
        <v>6.9389526532520245E-3</v>
      </c>
      <c r="BA40" s="64">
        <f t="shared" si="16"/>
        <v>4.0687779560602551E-2</v>
      </c>
      <c r="BD40" s="52">
        <v>8</v>
      </c>
      <c r="BE40" s="63">
        <v>1.4753729166666604E-2</v>
      </c>
      <c r="BF40" s="63">
        <v>8.4850868055556194E-2</v>
      </c>
      <c r="BI40" s="52">
        <v>8</v>
      </c>
      <c r="BJ40" s="63">
        <v>1.9349682291666476E-2</v>
      </c>
      <c r="BK40" s="63">
        <v>9.4321510416666837E-2</v>
      </c>
    </row>
    <row r="41" spans="2:63" x14ac:dyDescent="0.2">
      <c r="B41" s="45">
        <v>15</v>
      </c>
      <c r="C41" s="14">
        <v>4.8306180000000003</v>
      </c>
      <c r="D41" s="14">
        <v>4.852597666666667</v>
      </c>
      <c r="E41" s="14">
        <v>4.110488000000001</v>
      </c>
      <c r="F41" s="14">
        <v>3.0033764166666668</v>
      </c>
      <c r="G41" s="15">
        <v>4.8731523333333335</v>
      </c>
      <c r="H41" s="15">
        <v>10.20096</v>
      </c>
      <c r="I41" s="15">
        <v>4.5469369999999998</v>
      </c>
      <c r="J41" s="16">
        <v>3.0327248333333334</v>
      </c>
      <c r="K41" s="16">
        <v>5.1435380000000004</v>
      </c>
      <c r="L41" s="16">
        <v>6.5555669999999973</v>
      </c>
      <c r="M41" s="16">
        <v>3.848320999999999</v>
      </c>
      <c r="N41" s="17">
        <v>7.9256802499999992</v>
      </c>
      <c r="O41" s="17">
        <v>6.7463628333333334</v>
      </c>
      <c r="P41" s="17">
        <v>4.5159781666666676</v>
      </c>
      <c r="Q41" s="17">
        <v>8.2820720000000012</v>
      </c>
      <c r="T41" s="45">
        <v>15</v>
      </c>
      <c r="U41" s="14">
        <f t="shared" si="6"/>
        <v>0</v>
      </c>
      <c r="V41" s="14">
        <f t="shared" si="6"/>
        <v>0.24032583333333424</v>
      </c>
      <c r="W41" s="14">
        <f t="shared" si="6"/>
        <v>0.13539575000000159</v>
      </c>
      <c r="X41" s="14">
        <f t="shared" si="6"/>
        <v>0.10164250000000008</v>
      </c>
      <c r="Y41" s="15">
        <f t="shared" si="6"/>
        <v>1.4623333333334543E-3</v>
      </c>
      <c r="Z41" s="15">
        <f t="shared" si="7"/>
        <v>1.6454999999998776E-2</v>
      </c>
      <c r="AA41" s="15">
        <f t="shared" si="7"/>
        <v>4.2915333333332306E-2</v>
      </c>
      <c r="AB41" s="16">
        <f t="shared" si="7"/>
        <v>4.9481833333333114E-2</v>
      </c>
      <c r="AC41" s="16">
        <f t="shared" si="7"/>
        <v>0</v>
      </c>
      <c r="AD41" s="16">
        <f t="shared" si="8"/>
        <v>0</v>
      </c>
      <c r="AE41" s="16">
        <f t="shared" si="8"/>
        <v>0</v>
      </c>
      <c r="AF41" s="17">
        <f t="shared" si="8"/>
        <v>0.13217941666666544</v>
      </c>
      <c r="AG41" s="17">
        <f t="shared" si="8"/>
        <v>4.7296083333334238E-2</v>
      </c>
      <c r="AH41" s="17">
        <f t="shared" si="9"/>
        <v>5.1491083333334409E-2</v>
      </c>
      <c r="AI41" s="17">
        <f t="shared" si="9"/>
        <v>2.0968166666666122E-2</v>
      </c>
      <c r="AK41" s="5">
        <v>15</v>
      </c>
      <c r="AL41" s="57">
        <f t="shared" si="5"/>
        <v>0.11934102083333398</v>
      </c>
      <c r="AM41">
        <f t="shared" si="2"/>
        <v>2.0277555555554844E-2</v>
      </c>
      <c r="AN41">
        <f t="shared" si="3"/>
        <v>1.2370458333333278E-2</v>
      </c>
      <c r="AO41">
        <f t="shared" si="4"/>
        <v>6.2983687500000052E-2</v>
      </c>
      <c r="AQ41" s="52">
        <v>9</v>
      </c>
      <c r="AR41" s="62">
        <f t="shared" si="17"/>
        <v>1.7035463541666407E-2</v>
      </c>
      <c r="AS41" s="63">
        <f t="shared" si="10"/>
        <v>7.6903118055555358E-2</v>
      </c>
      <c r="AT41" s="63">
        <f t="shared" si="11"/>
        <v>3.4631916666666623E-2</v>
      </c>
      <c r="AU41" s="64">
        <f t="shared" si="12"/>
        <v>0.11997707291666646</v>
      </c>
      <c r="AW41" s="52">
        <v>9</v>
      </c>
      <c r="AX41" s="62">
        <f t="shared" si="13"/>
        <v>8.7883634464319908E-3</v>
      </c>
      <c r="AY41" s="63">
        <f t="shared" si="14"/>
        <v>1.1820503651609714E-2</v>
      </c>
      <c r="AZ41" s="63">
        <f t="shared" si="15"/>
        <v>2.2103632080694588E-2</v>
      </c>
      <c r="BA41" s="64">
        <f t="shared" si="16"/>
        <v>2.6222774987427828E-2</v>
      </c>
      <c r="BD41" s="52">
        <v>9</v>
      </c>
      <c r="BE41" s="63">
        <v>1.7035463541666407E-2</v>
      </c>
      <c r="BF41" s="63">
        <v>7.6903118055555358E-2</v>
      </c>
      <c r="BI41" s="52">
        <v>9</v>
      </c>
      <c r="BJ41" s="63">
        <v>3.4631916666666623E-2</v>
      </c>
      <c r="BK41" s="63">
        <v>0.11997707291666646</v>
      </c>
    </row>
    <row r="42" spans="2:63" x14ac:dyDescent="0.2">
      <c r="B42" s="45">
        <v>16</v>
      </c>
      <c r="C42" s="14">
        <v>4.8306180000000003</v>
      </c>
      <c r="D42" s="14">
        <v>5.0929236666666649</v>
      </c>
      <c r="E42" s="14">
        <v>4.2254194166666661</v>
      </c>
      <c r="F42" s="14">
        <v>3.1535658333333334</v>
      </c>
      <c r="G42" s="15">
        <v>4.888411500000001</v>
      </c>
      <c r="H42" s="15">
        <v>10.2259525</v>
      </c>
      <c r="I42" s="15">
        <v>4.5784294166666664</v>
      </c>
      <c r="J42" s="16">
        <v>3.3176694999999992</v>
      </c>
      <c r="K42" s="16">
        <v>5.1435380000000004</v>
      </c>
      <c r="L42" s="16">
        <v>6.5555669999999973</v>
      </c>
      <c r="M42" s="16">
        <v>3.848320999999999</v>
      </c>
      <c r="N42" s="17">
        <v>8.0292286666666666</v>
      </c>
      <c r="O42" s="17">
        <v>6.79748675</v>
      </c>
      <c r="P42" s="17">
        <v>4.5425074166666661</v>
      </c>
      <c r="Q42" s="17">
        <v>8.3026825833333344</v>
      </c>
      <c r="T42" s="45">
        <v>16</v>
      </c>
      <c r="U42" s="14">
        <f t="shared" si="6"/>
        <v>0</v>
      </c>
      <c r="V42" s="14">
        <f t="shared" si="6"/>
        <v>0.24032599999999782</v>
      </c>
      <c r="W42" s="14">
        <f t="shared" si="6"/>
        <v>0.11493141666666506</v>
      </c>
      <c r="X42" s="14">
        <f t="shared" si="6"/>
        <v>0.15018941666666663</v>
      </c>
      <c r="Y42" s="15">
        <f t="shared" si="6"/>
        <v>1.525916666666749E-2</v>
      </c>
      <c r="Z42" s="15">
        <f t="shared" si="7"/>
        <v>2.4992499999999751E-2</v>
      </c>
      <c r="AA42" s="15">
        <f t="shared" si="7"/>
        <v>3.1492416666666578E-2</v>
      </c>
      <c r="AB42" s="16">
        <f t="shared" si="7"/>
        <v>0.28494466666666574</v>
      </c>
      <c r="AC42" s="16">
        <f t="shared" si="7"/>
        <v>0</v>
      </c>
      <c r="AD42" s="16">
        <f t="shared" si="8"/>
        <v>0</v>
      </c>
      <c r="AE42" s="16">
        <f t="shared" si="8"/>
        <v>0</v>
      </c>
      <c r="AF42" s="17">
        <f t="shared" si="8"/>
        <v>0.10354841666666736</v>
      </c>
      <c r="AG42" s="17">
        <f t="shared" si="8"/>
        <v>5.1123916666666602E-2</v>
      </c>
      <c r="AH42" s="17">
        <f t="shared" si="9"/>
        <v>2.6529249999998505E-2</v>
      </c>
      <c r="AI42" s="17">
        <f t="shared" si="9"/>
        <v>2.061058333333321E-2</v>
      </c>
      <c r="AK42" s="5">
        <v>16</v>
      </c>
      <c r="AL42" s="57">
        <f t="shared" si="5"/>
        <v>0.12636170833333238</v>
      </c>
      <c r="AM42">
        <f t="shared" si="2"/>
        <v>2.3914694444444606E-2</v>
      </c>
      <c r="AN42">
        <f t="shared" si="3"/>
        <v>7.1236166666666434E-2</v>
      </c>
      <c r="AO42">
        <f t="shared" si="4"/>
        <v>5.0453041666666421E-2</v>
      </c>
      <c r="AQ42" s="52">
        <v>10</v>
      </c>
      <c r="AR42" s="62">
        <f t="shared" si="17"/>
        <v>2.3498838541666803E-2</v>
      </c>
      <c r="AS42" s="63">
        <f t="shared" si="10"/>
        <v>3.3319576388888786E-2</v>
      </c>
      <c r="AT42" s="63">
        <f t="shared" si="11"/>
        <v>2.9074468750000471E-2</v>
      </c>
      <c r="AU42" s="64">
        <f t="shared" si="12"/>
        <v>9.6252197916666504E-2</v>
      </c>
      <c r="AW42" s="52">
        <v>10</v>
      </c>
      <c r="AX42" s="62">
        <f t="shared" si="13"/>
        <v>1.2569193586012658E-2</v>
      </c>
      <c r="AY42" s="63">
        <f t="shared" si="14"/>
        <v>7.6035392520494632E-3</v>
      </c>
      <c r="AZ42" s="63">
        <f t="shared" si="15"/>
        <v>1.201228033634209E-2</v>
      </c>
      <c r="BA42" s="64">
        <f t="shared" si="16"/>
        <v>3.1941042012423947E-2</v>
      </c>
      <c r="BD42" s="52">
        <v>10</v>
      </c>
      <c r="BE42" s="63">
        <v>2.3498838541666803E-2</v>
      </c>
      <c r="BF42" s="63">
        <v>3.3319576388888786E-2</v>
      </c>
      <c r="BI42" s="52">
        <v>10</v>
      </c>
      <c r="BJ42" s="63">
        <v>2.9074468750000471E-2</v>
      </c>
      <c r="BK42" s="63">
        <v>9.6252197916666504E-2</v>
      </c>
    </row>
    <row r="43" spans="2:63" x14ac:dyDescent="0.2">
      <c r="B43" s="45">
        <v>17</v>
      </c>
      <c r="C43" s="14">
        <v>4.8306180000000003</v>
      </c>
      <c r="D43" s="14">
        <v>5.2849195833333331</v>
      </c>
      <c r="E43" s="14">
        <v>4.2910900000000005</v>
      </c>
      <c r="F43" s="14">
        <v>3.314238416666667</v>
      </c>
      <c r="G43" s="15">
        <v>4.9107275000000001</v>
      </c>
      <c r="H43" s="15">
        <v>10.483477500000001</v>
      </c>
      <c r="I43" s="15">
        <v>4.5814846666666673</v>
      </c>
      <c r="J43" s="16">
        <v>3.4378920000000002</v>
      </c>
      <c r="K43" s="16">
        <v>5.1435380000000004</v>
      </c>
      <c r="L43" s="16">
        <v>6.5555669999999973</v>
      </c>
      <c r="M43" s="16">
        <v>3.848320999999999</v>
      </c>
      <c r="N43" s="17">
        <v>8.1135023333333329</v>
      </c>
      <c r="O43" s="17">
        <v>6.8489851666666679</v>
      </c>
      <c r="P43" s="17">
        <v>4.6156509166666666</v>
      </c>
      <c r="Q43" s="17">
        <v>8.4339780833333347</v>
      </c>
      <c r="T43" s="45">
        <v>17</v>
      </c>
      <c r="U43" s="14">
        <f t="shared" si="6"/>
        <v>0</v>
      </c>
      <c r="V43" s="14">
        <f t="shared" si="6"/>
        <v>0.19199591666666826</v>
      </c>
      <c r="W43" s="14">
        <f t="shared" si="6"/>
        <v>6.567058333333442E-2</v>
      </c>
      <c r="X43" s="14">
        <f t="shared" si="6"/>
        <v>0.16067258333333356</v>
      </c>
      <c r="Y43" s="15">
        <f t="shared" si="6"/>
        <v>2.2315999999999114E-2</v>
      </c>
      <c r="Z43" s="15">
        <f t="shared" si="7"/>
        <v>0.25752500000000111</v>
      </c>
      <c r="AA43" s="15">
        <f t="shared" si="7"/>
        <v>3.055250000000953E-3</v>
      </c>
      <c r="AB43" s="16">
        <f t="shared" si="7"/>
        <v>0.12022250000000101</v>
      </c>
      <c r="AC43" s="16">
        <f t="shared" si="7"/>
        <v>0</v>
      </c>
      <c r="AD43" s="16">
        <f t="shared" si="8"/>
        <v>0</v>
      </c>
      <c r="AE43" s="16">
        <f t="shared" si="8"/>
        <v>0</v>
      </c>
      <c r="AF43" s="17">
        <f t="shared" si="8"/>
        <v>8.4273666666666358E-2</v>
      </c>
      <c r="AG43" s="17">
        <f t="shared" si="8"/>
        <v>5.1498416666667879E-2</v>
      </c>
      <c r="AH43" s="17">
        <f t="shared" si="9"/>
        <v>7.3143500000000472E-2</v>
      </c>
      <c r="AI43" s="17">
        <f t="shared" si="9"/>
        <v>0.13129550000000023</v>
      </c>
      <c r="AK43" s="5">
        <v>17</v>
      </c>
      <c r="AL43" s="57">
        <f t="shared" si="5"/>
        <v>0.10458477083333406</v>
      </c>
      <c r="AM43">
        <f t="shared" si="2"/>
        <v>9.4298750000000389E-2</v>
      </c>
      <c r="AN43">
        <f t="shared" si="3"/>
        <v>3.0055625000000252E-2</v>
      </c>
      <c r="AO43">
        <f t="shared" si="4"/>
        <v>8.5052770833333735E-2</v>
      </c>
      <c r="AQ43" s="52">
        <v>11</v>
      </c>
      <c r="AR43" s="62">
        <f t="shared" si="17"/>
        <v>2.4263317708333371E-2</v>
      </c>
      <c r="AS43" s="63">
        <f t="shared" si="10"/>
        <v>6.6019673611110816E-2</v>
      </c>
      <c r="AT43" s="63">
        <f t="shared" si="11"/>
        <v>2.1541786458333212E-2</v>
      </c>
      <c r="AU43" s="64">
        <f t="shared" si="12"/>
        <v>5.7873104166666217E-2</v>
      </c>
      <c r="AW43" s="52">
        <v>11</v>
      </c>
      <c r="AX43" s="62">
        <f t="shared" si="13"/>
        <v>1.4123079642664706E-2</v>
      </c>
      <c r="AY43" s="63">
        <f t="shared" si="14"/>
        <v>3.345738599086906E-2</v>
      </c>
      <c r="AZ43" s="63">
        <f t="shared" si="15"/>
        <v>1.0314756191423545E-2</v>
      </c>
      <c r="BA43" s="64">
        <f t="shared" si="16"/>
        <v>1.9996023656987216E-2</v>
      </c>
      <c r="BD43" s="52">
        <v>11</v>
      </c>
      <c r="BE43" s="63">
        <v>2.4263317708333371E-2</v>
      </c>
      <c r="BF43" s="63">
        <v>6.6019673611110816E-2</v>
      </c>
      <c r="BI43" s="52">
        <v>11</v>
      </c>
      <c r="BJ43" s="63">
        <v>2.1541786458333212E-2</v>
      </c>
      <c r="BK43" s="63">
        <v>5.7873104166666217E-2</v>
      </c>
    </row>
    <row r="44" spans="2:63" x14ac:dyDescent="0.2">
      <c r="B44" s="45">
        <v>18</v>
      </c>
      <c r="C44" s="14">
        <v>4.8306180000000003</v>
      </c>
      <c r="D44" s="14">
        <v>5.3489032500000002</v>
      </c>
      <c r="E44" s="14">
        <v>4.361471166666667</v>
      </c>
      <c r="F44" s="14">
        <v>3.4297291666666667</v>
      </c>
      <c r="G44" s="15">
        <v>4.933043500000001</v>
      </c>
      <c r="H44" s="15">
        <v>10.7448525</v>
      </c>
      <c r="I44" s="15">
        <v>4.5832014999999995</v>
      </c>
      <c r="J44" s="16">
        <v>3.4378920000000002</v>
      </c>
      <c r="K44" s="16">
        <v>5.1435380000000004</v>
      </c>
      <c r="L44" s="16">
        <v>6.5555669999999973</v>
      </c>
      <c r="M44" s="16">
        <v>3.848320999999999</v>
      </c>
      <c r="N44" s="17">
        <v>8.1785372500000015</v>
      </c>
      <c r="O44" s="17">
        <v>6.900483583333334</v>
      </c>
      <c r="P44" s="17">
        <v>4.6894274999999999</v>
      </c>
      <c r="Q44" s="17">
        <v>8.588473333333333</v>
      </c>
      <c r="T44" s="45">
        <v>18</v>
      </c>
      <c r="U44" s="14">
        <f t="shared" si="6"/>
        <v>0</v>
      </c>
      <c r="V44" s="14">
        <f t="shared" si="6"/>
        <v>6.3983666666667105E-2</v>
      </c>
      <c r="W44" s="14">
        <f t="shared" si="6"/>
        <v>7.0381166666666495E-2</v>
      </c>
      <c r="X44" s="14">
        <f t="shared" si="6"/>
        <v>0.11549074999999975</v>
      </c>
      <c r="Y44" s="15">
        <f t="shared" si="6"/>
        <v>2.2316000000000891E-2</v>
      </c>
      <c r="Z44" s="15">
        <f t="shared" si="7"/>
        <v>0.26137499999999925</v>
      </c>
      <c r="AA44" s="15">
        <f t="shared" si="7"/>
        <v>1.7168333333321684E-3</v>
      </c>
      <c r="AB44" s="16">
        <f t="shared" si="7"/>
        <v>0</v>
      </c>
      <c r="AC44" s="16">
        <f t="shared" si="7"/>
        <v>0</v>
      </c>
      <c r="AD44" s="16">
        <f t="shared" si="8"/>
        <v>0</v>
      </c>
      <c r="AE44" s="16">
        <f t="shared" si="8"/>
        <v>0</v>
      </c>
      <c r="AF44" s="17">
        <f t="shared" si="8"/>
        <v>6.5034916666668607E-2</v>
      </c>
      <c r="AG44" s="17">
        <f t="shared" si="8"/>
        <v>5.1498416666666103E-2</v>
      </c>
      <c r="AH44" s="17">
        <f t="shared" si="9"/>
        <v>7.3776583333333257E-2</v>
      </c>
      <c r="AI44" s="17">
        <f t="shared" si="9"/>
        <v>0.15449524999999831</v>
      </c>
      <c r="AK44" s="5">
        <v>18</v>
      </c>
      <c r="AL44" s="57">
        <f t="shared" si="5"/>
        <v>6.2463895833333338E-2</v>
      </c>
      <c r="AM44">
        <f t="shared" si="2"/>
        <v>9.5135944444444107E-2</v>
      </c>
      <c r="AN44">
        <f t="shared" si="3"/>
        <v>0</v>
      </c>
      <c r="AO44">
        <f t="shared" si="4"/>
        <v>8.6201291666666569E-2</v>
      </c>
      <c r="AQ44" s="52">
        <v>12</v>
      </c>
      <c r="AR44" s="62">
        <f t="shared" si="17"/>
        <v>2.0737781250000017E-2</v>
      </c>
      <c r="AS44" s="63">
        <f t="shared" si="10"/>
        <v>6.0614354166666974E-2</v>
      </c>
      <c r="AT44" s="63">
        <f t="shared" si="11"/>
        <v>2.0930786458333295E-2</v>
      </c>
      <c r="AU44" s="64">
        <f t="shared" si="12"/>
        <v>6.1987557291667467E-2</v>
      </c>
      <c r="AW44" s="52">
        <v>12</v>
      </c>
      <c r="AX44" s="62">
        <f t="shared" si="13"/>
        <v>7.3517292319596125E-3</v>
      </c>
      <c r="AY44" s="63">
        <f t="shared" si="14"/>
        <v>3.9257994705128751E-2</v>
      </c>
      <c r="AZ44" s="63">
        <f t="shared" si="15"/>
        <v>8.0192222256035856E-3</v>
      </c>
      <c r="BA44" s="64">
        <f t="shared" si="16"/>
        <v>1.6807312027092881E-2</v>
      </c>
      <c r="BD44" s="52">
        <v>12</v>
      </c>
      <c r="BE44" s="63">
        <v>2.0737781250000017E-2</v>
      </c>
      <c r="BF44" s="63">
        <v>6.0614354166666974E-2</v>
      </c>
      <c r="BI44" s="52">
        <v>12</v>
      </c>
      <c r="BJ44" s="63">
        <v>2.0930786458333295E-2</v>
      </c>
      <c r="BK44" s="63">
        <v>6.1987557291667467E-2</v>
      </c>
    </row>
    <row r="45" spans="2:63" x14ac:dyDescent="0.2">
      <c r="B45" s="45">
        <v>19</v>
      </c>
      <c r="C45" s="14">
        <v>4.8306180000000003</v>
      </c>
      <c r="D45" s="14">
        <v>5.4279656666666662</v>
      </c>
      <c r="E45" s="14">
        <v>4.4318523333333317</v>
      </c>
      <c r="F45" s="14">
        <v>3.5215156666666676</v>
      </c>
      <c r="G45" s="15">
        <v>4.9553595000000001</v>
      </c>
      <c r="H45" s="15">
        <v>11.050532500000001</v>
      </c>
      <c r="I45" s="15">
        <v>4.5847950833333337</v>
      </c>
      <c r="J45" s="16">
        <v>3.4378920000000002</v>
      </c>
      <c r="K45" s="16">
        <v>5.1613301666666667</v>
      </c>
      <c r="L45" s="16">
        <v>6.5718934999999981</v>
      </c>
      <c r="M45" s="16">
        <v>3.848320999999999</v>
      </c>
      <c r="N45" s="17">
        <v>8.2472019999999997</v>
      </c>
      <c r="O45" s="17">
        <v>6.9512024166666651</v>
      </c>
      <c r="P45" s="17">
        <v>4.7163185833333321</v>
      </c>
      <c r="Q45" s="17">
        <v>8.7429684999999999</v>
      </c>
      <c r="T45" s="45">
        <v>19</v>
      </c>
      <c r="U45" s="14">
        <f t="shared" si="6"/>
        <v>0</v>
      </c>
      <c r="V45" s="14">
        <f t="shared" si="6"/>
        <v>7.9062416666666024E-2</v>
      </c>
      <c r="W45" s="14">
        <f t="shared" si="6"/>
        <v>7.0381166666664718E-2</v>
      </c>
      <c r="X45" s="14">
        <f t="shared" si="6"/>
        <v>9.1786500000000881E-2</v>
      </c>
      <c r="Y45" s="15">
        <f t="shared" si="6"/>
        <v>2.2315999999999114E-2</v>
      </c>
      <c r="Z45" s="15">
        <f t="shared" si="7"/>
        <v>0.30568000000000062</v>
      </c>
      <c r="AA45" s="15">
        <f t="shared" si="7"/>
        <v>1.5935833333342586E-3</v>
      </c>
      <c r="AB45" s="16">
        <f t="shared" si="7"/>
        <v>0</v>
      </c>
      <c r="AC45" s="16">
        <f t="shared" si="7"/>
        <v>1.7792166666666276E-2</v>
      </c>
      <c r="AD45" s="16">
        <f t="shared" si="8"/>
        <v>1.6326500000000799E-2</v>
      </c>
      <c r="AE45" s="16">
        <f t="shared" si="8"/>
        <v>0</v>
      </c>
      <c r="AF45" s="17">
        <f t="shared" si="8"/>
        <v>6.8664749999998165E-2</v>
      </c>
      <c r="AG45" s="17">
        <f t="shared" si="8"/>
        <v>5.0718833333331048E-2</v>
      </c>
      <c r="AH45" s="17">
        <f t="shared" si="9"/>
        <v>2.6891083333332233E-2</v>
      </c>
      <c r="AI45" s="17">
        <f t="shared" si="9"/>
        <v>0.15449516666666696</v>
      </c>
      <c r="AK45" s="5">
        <v>19</v>
      </c>
      <c r="AL45" s="57">
        <f t="shared" si="5"/>
        <v>6.0307520833332906E-2</v>
      </c>
      <c r="AM45">
        <f t="shared" si="2"/>
        <v>0.10986319444444466</v>
      </c>
      <c r="AN45">
        <f t="shared" si="3"/>
        <v>8.5296666666667686E-3</v>
      </c>
      <c r="AO45">
        <f t="shared" si="4"/>
        <v>7.5192458333332102E-2</v>
      </c>
      <c r="AQ45" s="52">
        <v>13</v>
      </c>
      <c r="AR45" s="62">
        <f t="shared" si="17"/>
        <v>2.2548682291666775E-2</v>
      </c>
      <c r="AS45" s="63">
        <f t="shared" si="10"/>
        <v>1.7341652777778067E-2</v>
      </c>
      <c r="AT45" s="63">
        <f t="shared" si="11"/>
        <v>2.4943479166666505E-2</v>
      </c>
      <c r="AU45" s="64">
        <f t="shared" si="12"/>
        <v>6.5743604166665692E-2</v>
      </c>
      <c r="AW45" s="52">
        <v>13</v>
      </c>
      <c r="AX45" s="62">
        <f t="shared" si="13"/>
        <v>6.4861058167026827E-3</v>
      </c>
      <c r="AY45" s="63">
        <f t="shared" si="14"/>
        <v>7.6172089182849579E-3</v>
      </c>
      <c r="AZ45" s="63">
        <f t="shared" si="15"/>
        <v>8.5449222507485954E-3</v>
      </c>
      <c r="BA45" s="64">
        <f t="shared" si="16"/>
        <v>1.6225329599678415E-2</v>
      </c>
      <c r="BD45" s="52">
        <v>13</v>
      </c>
      <c r="BE45" s="63">
        <v>2.2548682291666775E-2</v>
      </c>
      <c r="BF45" s="63">
        <v>1.7341652777778067E-2</v>
      </c>
      <c r="BI45" s="52">
        <v>13</v>
      </c>
      <c r="BJ45" s="63">
        <v>2.4943479166666505E-2</v>
      </c>
      <c r="BK45" s="63">
        <v>6.5743604166665692E-2</v>
      </c>
    </row>
    <row r="46" spans="2:63" x14ac:dyDescent="0.2">
      <c r="B46" s="45">
        <v>20</v>
      </c>
      <c r="C46" s="14">
        <v>4.8329026666666666</v>
      </c>
      <c r="D46" s="14">
        <v>5.5378289166666663</v>
      </c>
      <c r="E46" s="14">
        <v>4.5022335</v>
      </c>
      <c r="F46" s="14">
        <v>3.5643892500000001</v>
      </c>
      <c r="G46" s="15">
        <v>4.9736783333333339</v>
      </c>
      <c r="H46" s="15">
        <v>11.3117375</v>
      </c>
      <c r="I46" s="15">
        <v>4.5851240000000004</v>
      </c>
      <c r="J46" s="16">
        <v>3.4380369166666669</v>
      </c>
      <c r="K46" s="16">
        <v>5.323639833333333</v>
      </c>
      <c r="L46" s="16">
        <v>6.7659082499999998</v>
      </c>
      <c r="M46" s="16">
        <v>3.848320999999999</v>
      </c>
      <c r="N46" s="17">
        <v>8.3062630000000013</v>
      </c>
      <c r="O46" s="17">
        <v>6.9844403333333345</v>
      </c>
      <c r="P46" s="17">
        <v>4.7184129999999991</v>
      </c>
      <c r="Q46" s="17">
        <v>8.8975124166666664</v>
      </c>
      <c r="T46" s="45">
        <v>20</v>
      </c>
      <c r="U46" s="14">
        <f t="shared" si="6"/>
        <v>2.2846666666662685E-3</v>
      </c>
      <c r="V46" s="14">
        <f t="shared" si="6"/>
        <v>0.10986325000000008</v>
      </c>
      <c r="W46" s="14">
        <f t="shared" si="6"/>
        <v>7.0381166666668271E-2</v>
      </c>
      <c r="X46" s="14">
        <f t="shared" si="6"/>
        <v>4.2873583333332466E-2</v>
      </c>
      <c r="Y46" s="15">
        <f t="shared" si="6"/>
        <v>1.8318833333333728E-2</v>
      </c>
      <c r="Z46" s="15">
        <f t="shared" si="7"/>
        <v>0.26120499999999858</v>
      </c>
      <c r="AA46" s="15">
        <f t="shared" si="7"/>
        <v>3.2891666666667874E-4</v>
      </c>
      <c r="AB46" s="16">
        <f t="shared" si="7"/>
        <v>1.4491666666671676E-4</v>
      </c>
      <c r="AC46" s="16">
        <f t="shared" si="7"/>
        <v>0.16230966666666635</v>
      </c>
      <c r="AD46" s="16">
        <f t="shared" si="8"/>
        <v>0.19401475000000179</v>
      </c>
      <c r="AE46" s="16">
        <f t="shared" si="8"/>
        <v>0</v>
      </c>
      <c r="AF46" s="17">
        <f t="shared" si="8"/>
        <v>5.9061000000001584E-2</v>
      </c>
      <c r="AG46" s="17">
        <f t="shared" si="8"/>
        <v>3.323791666666942E-2</v>
      </c>
      <c r="AH46" s="17">
        <f t="shared" si="9"/>
        <v>2.0944166666669872E-3</v>
      </c>
      <c r="AI46" s="17">
        <f t="shared" si="9"/>
        <v>0.15454391666666645</v>
      </c>
      <c r="AK46" s="5">
        <v>20</v>
      </c>
      <c r="AL46" s="57">
        <f t="shared" si="5"/>
        <v>5.6350666666666771E-2</v>
      </c>
      <c r="AM46">
        <f t="shared" si="2"/>
        <v>9.3284249999999666E-2</v>
      </c>
      <c r="AN46">
        <f t="shared" si="3"/>
        <v>8.9117333333333715E-2</v>
      </c>
      <c r="AO46">
        <f t="shared" si="4"/>
        <v>6.223431250000111E-2</v>
      </c>
      <c r="AQ46" s="52">
        <v>14</v>
      </c>
      <c r="AR46" s="62">
        <f t="shared" si="17"/>
        <v>4.1221854166666461E-2</v>
      </c>
      <c r="AS46" s="63">
        <f t="shared" si="10"/>
        <v>2.3772118055555198E-2</v>
      </c>
      <c r="AT46" s="63">
        <f t="shared" si="11"/>
        <v>3.6932864583333336E-2</v>
      </c>
      <c r="AU46" s="64">
        <f t="shared" si="12"/>
        <v>6.7261036458333867E-2</v>
      </c>
      <c r="AW46" s="52">
        <v>14</v>
      </c>
      <c r="AX46" s="62">
        <f t="shared" si="13"/>
        <v>1.5896257176788848E-2</v>
      </c>
      <c r="AY46" s="63">
        <f t="shared" si="14"/>
        <v>1.0597740102967511E-2</v>
      </c>
      <c r="AZ46" s="63">
        <f t="shared" si="15"/>
        <v>1.4146840996010844E-2</v>
      </c>
      <c r="BA46" s="64">
        <f t="shared" si="16"/>
        <v>1.8138439705242235E-2</v>
      </c>
      <c r="BD46" s="52">
        <v>14</v>
      </c>
      <c r="BE46" s="63">
        <v>4.1221854166666461E-2</v>
      </c>
      <c r="BF46" s="63">
        <v>2.3772118055555198E-2</v>
      </c>
      <c r="BI46" s="52">
        <v>14</v>
      </c>
      <c r="BJ46" s="63">
        <v>3.6932864583333336E-2</v>
      </c>
      <c r="BK46" s="63">
        <v>6.7261036458333867E-2</v>
      </c>
    </row>
    <row r="47" spans="2:63" x14ac:dyDescent="0.2">
      <c r="B47" s="45">
        <v>21</v>
      </c>
      <c r="C47" s="14">
        <v>4.8704956666666668</v>
      </c>
      <c r="D47" s="14">
        <v>5.6107355000000014</v>
      </c>
      <c r="E47" s="14">
        <v>4.5596989166666679</v>
      </c>
      <c r="F47" s="14">
        <v>3.6534829166666669</v>
      </c>
      <c r="G47" s="15">
        <v>4.9910256666666672</v>
      </c>
      <c r="H47" s="15">
        <v>11.479541666666668</v>
      </c>
      <c r="I47" s="15">
        <v>4.636486333333333</v>
      </c>
      <c r="J47" s="16">
        <v>3.5651578333333327</v>
      </c>
      <c r="K47" s="16">
        <v>5.5176172499999998</v>
      </c>
      <c r="L47" s="16">
        <v>7.0079508333333331</v>
      </c>
      <c r="M47" s="16">
        <v>3.848320999999999</v>
      </c>
      <c r="N47" s="17">
        <v>8.3138260000000024</v>
      </c>
      <c r="O47" s="17">
        <v>7.011906166666666</v>
      </c>
      <c r="P47" s="17">
        <v>4.7184549999999987</v>
      </c>
      <c r="Q47" s="17">
        <v>8.9705410833333357</v>
      </c>
      <c r="T47" s="45">
        <v>21</v>
      </c>
      <c r="U47" s="14">
        <f t="shared" si="6"/>
        <v>3.759300000000021E-2</v>
      </c>
      <c r="V47" s="14">
        <f t="shared" si="6"/>
        <v>7.2906583333335107E-2</v>
      </c>
      <c r="W47" s="14">
        <f t="shared" si="6"/>
        <v>5.7465416666667934E-2</v>
      </c>
      <c r="X47" s="14">
        <f t="shared" si="6"/>
        <v>8.9093666666666849E-2</v>
      </c>
      <c r="Y47" s="15">
        <f t="shared" si="6"/>
        <v>1.7347333333333381E-2</v>
      </c>
      <c r="Z47" s="15">
        <f t="shared" si="7"/>
        <v>0.16780416666666831</v>
      </c>
      <c r="AA47" s="15">
        <f t="shared" si="7"/>
        <v>5.1362333333332622E-2</v>
      </c>
      <c r="AB47" s="16">
        <f t="shared" si="7"/>
        <v>0.12712091666666581</v>
      </c>
      <c r="AC47" s="16">
        <f t="shared" si="7"/>
        <v>0.19397741666666679</v>
      </c>
      <c r="AD47" s="16">
        <f t="shared" si="8"/>
        <v>0.24204258333333328</v>
      </c>
      <c r="AE47" s="16">
        <f t="shared" si="8"/>
        <v>0</v>
      </c>
      <c r="AF47" s="17">
        <f t="shared" si="8"/>
        <v>7.5630000000010966E-3</v>
      </c>
      <c r="AG47" s="17">
        <f t="shared" si="8"/>
        <v>2.7465833333331524E-2</v>
      </c>
      <c r="AH47" s="17">
        <f t="shared" si="9"/>
        <v>4.1999999999653426E-5</v>
      </c>
      <c r="AI47" s="17">
        <f t="shared" si="9"/>
        <v>7.3028666666669295E-2</v>
      </c>
      <c r="AK47" s="5">
        <v>21</v>
      </c>
      <c r="AL47" s="57">
        <f t="shared" si="5"/>
        <v>6.4264666666667525E-2</v>
      </c>
      <c r="AM47">
        <f t="shared" si="2"/>
        <v>7.8837944444444766E-2</v>
      </c>
      <c r="AN47">
        <f t="shared" si="3"/>
        <v>0.14078522916666647</v>
      </c>
      <c r="AO47">
        <f t="shared" si="4"/>
        <v>2.7024875000000392E-2</v>
      </c>
      <c r="AQ47" s="52">
        <v>15</v>
      </c>
      <c r="AR47" s="62">
        <f t="shared" si="17"/>
        <v>8.2873838541666744E-2</v>
      </c>
      <c r="AS47" s="63">
        <f t="shared" si="10"/>
        <v>4.756054861111092E-2</v>
      </c>
      <c r="AT47" s="63">
        <f t="shared" si="11"/>
        <v>5.2732812500000115E-2</v>
      </c>
      <c r="AU47" s="64">
        <f t="shared" si="12"/>
        <v>6.0260343749999945E-2</v>
      </c>
      <c r="AW47" s="52">
        <v>15</v>
      </c>
      <c r="AX47" s="62">
        <f t="shared" si="13"/>
        <v>1.3118065012878414E-2</v>
      </c>
      <c r="AY47" s="63">
        <f t="shared" si="14"/>
        <v>2.9565274868804427E-2</v>
      </c>
      <c r="AZ47" s="63">
        <f t="shared" si="15"/>
        <v>1.5707715686450768E-2</v>
      </c>
      <c r="BA47" s="64">
        <f t="shared" si="16"/>
        <v>1.4246747698370128E-2</v>
      </c>
      <c r="BD47" s="52">
        <v>15</v>
      </c>
      <c r="BE47" s="63">
        <v>8.2873838541666744E-2</v>
      </c>
      <c r="BF47" s="63">
        <v>4.756054861111092E-2</v>
      </c>
      <c r="BI47" s="52">
        <v>15</v>
      </c>
      <c r="BJ47" s="63">
        <v>5.2732812500000115E-2</v>
      </c>
      <c r="BK47" s="63">
        <v>6.0260343749999945E-2</v>
      </c>
    </row>
    <row r="48" spans="2:63" x14ac:dyDescent="0.2">
      <c r="B48" s="45">
        <v>22</v>
      </c>
      <c r="C48" s="14">
        <v>5.1012754999999999</v>
      </c>
      <c r="D48" s="14">
        <v>5.6501316666666677</v>
      </c>
      <c r="E48" s="14">
        <v>4.5651360000000007</v>
      </c>
      <c r="F48" s="14">
        <v>3.7247714166666666</v>
      </c>
      <c r="G48" s="15">
        <v>5.0054072499999993</v>
      </c>
      <c r="H48" s="15">
        <v>11.698164999999998</v>
      </c>
      <c r="I48" s="15">
        <v>4.9169677500000004</v>
      </c>
      <c r="J48" s="16">
        <v>3.7969007499999994</v>
      </c>
      <c r="K48" s="16">
        <v>5.7123074166666674</v>
      </c>
      <c r="L48" s="16">
        <v>7.2499932500000002</v>
      </c>
      <c r="M48" s="16">
        <v>3.8599114166666664</v>
      </c>
      <c r="N48" s="17">
        <v>8.3138260000000024</v>
      </c>
      <c r="O48" s="17">
        <v>7.0393719166666662</v>
      </c>
      <c r="P48" s="17">
        <v>4.7319345000000004</v>
      </c>
      <c r="Q48" s="17">
        <v>9.1357489166666674</v>
      </c>
      <c r="T48" s="45">
        <v>22</v>
      </c>
      <c r="U48" s="14">
        <f t="shared" si="6"/>
        <v>0.23077983333333307</v>
      </c>
      <c r="V48" s="14">
        <f t="shared" si="6"/>
        <v>3.9396166666666232E-2</v>
      </c>
      <c r="W48" s="14">
        <f t="shared" si="6"/>
        <v>5.437083333332815E-3</v>
      </c>
      <c r="X48" s="14">
        <f t="shared" si="6"/>
        <v>7.1288499999999644E-2</v>
      </c>
      <c r="Y48" s="15">
        <f t="shared" si="6"/>
        <v>1.438158333333206E-2</v>
      </c>
      <c r="Z48" s="15">
        <f t="shared" si="7"/>
        <v>0.21862333333332984</v>
      </c>
      <c r="AA48" s="15">
        <f t="shared" si="7"/>
        <v>0.28048141666666737</v>
      </c>
      <c r="AB48" s="16">
        <f t="shared" si="7"/>
        <v>0.23174291666666669</v>
      </c>
      <c r="AC48" s="16">
        <f t="shared" si="7"/>
        <v>0.19469016666666761</v>
      </c>
      <c r="AD48" s="16">
        <f t="shared" si="8"/>
        <v>0.24204241666666704</v>
      </c>
      <c r="AE48" s="16">
        <f t="shared" si="8"/>
        <v>1.159041666666738E-2</v>
      </c>
      <c r="AF48" s="17">
        <f t="shared" si="8"/>
        <v>0</v>
      </c>
      <c r="AG48" s="17">
        <f t="shared" si="8"/>
        <v>2.7465750000000178E-2</v>
      </c>
      <c r="AH48" s="17">
        <f t="shared" si="9"/>
        <v>1.3479500000001643E-2</v>
      </c>
      <c r="AI48" s="17">
        <f t="shared" si="9"/>
        <v>0.16520783333333178</v>
      </c>
      <c r="AK48" s="5">
        <v>22</v>
      </c>
      <c r="AL48" s="57">
        <f t="shared" si="5"/>
        <v>8.6725395833332941E-2</v>
      </c>
      <c r="AM48">
        <f t="shared" si="2"/>
        <v>0.17116211111110977</v>
      </c>
      <c r="AN48">
        <f t="shared" si="3"/>
        <v>0.17001647916666718</v>
      </c>
      <c r="AO48">
        <f t="shared" si="4"/>
        <v>5.1538270833333399E-2</v>
      </c>
      <c r="AQ48" s="52">
        <v>16</v>
      </c>
      <c r="AR48" s="62">
        <f t="shared" si="17"/>
        <v>0.11888734375000004</v>
      </c>
      <c r="AS48" s="63">
        <f t="shared" si="10"/>
        <v>3.2317145833333449E-2</v>
      </c>
      <c r="AT48" s="63">
        <f t="shared" si="11"/>
        <v>5.802741666666647E-2</v>
      </c>
      <c r="AU48" s="64">
        <f t="shared" si="12"/>
        <v>6.3520098958333493E-2</v>
      </c>
      <c r="AW48" s="52">
        <v>16</v>
      </c>
      <c r="AX48" s="62">
        <f t="shared" si="13"/>
        <v>1.5452376829280311E-2</v>
      </c>
      <c r="AY48" s="63">
        <f t="shared" si="14"/>
        <v>9.5765554700503845E-3</v>
      </c>
      <c r="AZ48" s="63">
        <f t="shared" si="15"/>
        <v>5.3407520988129013E-3</v>
      </c>
      <c r="BA48" s="64">
        <f t="shared" si="16"/>
        <v>1.2101438943297951E-2</v>
      </c>
      <c r="BD48" s="52">
        <v>16</v>
      </c>
      <c r="BE48" s="63">
        <v>0.11888734375000004</v>
      </c>
      <c r="BF48" s="63">
        <v>3.2317145833333449E-2</v>
      </c>
      <c r="BI48" s="52">
        <v>16</v>
      </c>
      <c r="BJ48" s="63">
        <v>5.802741666666647E-2</v>
      </c>
      <c r="BK48" s="63">
        <v>6.3520098958333493E-2</v>
      </c>
    </row>
    <row r="49" spans="2:64" x14ac:dyDescent="0.2">
      <c r="B49" s="45">
        <v>23</v>
      </c>
      <c r="C49" s="14">
        <v>5.3639173333333332</v>
      </c>
      <c r="D49" s="14">
        <v>5.6896138333333335</v>
      </c>
      <c r="E49" s="14">
        <v>4.5651360000000007</v>
      </c>
      <c r="F49" s="14">
        <v>3.7303750000000004</v>
      </c>
      <c r="G49" s="15">
        <v>5.0263542500000007</v>
      </c>
      <c r="H49" s="15">
        <v>12.02576166666667</v>
      </c>
      <c r="I49" s="15">
        <v>4.9948445833333333</v>
      </c>
      <c r="J49" s="16">
        <v>4.0272059166666665</v>
      </c>
      <c r="K49" s="16">
        <v>6.0504837500000006</v>
      </c>
      <c r="L49" s="16">
        <v>7.4320200833333319</v>
      </c>
      <c r="M49" s="16">
        <v>3.8865967500000007</v>
      </c>
      <c r="N49" s="17">
        <v>8.3138260000000024</v>
      </c>
      <c r="O49" s="17">
        <v>7.0674022500000007</v>
      </c>
      <c r="P49" s="17">
        <v>4.7474972499999986</v>
      </c>
      <c r="Q49" s="17">
        <v>9.4104070833333342</v>
      </c>
      <c r="T49" s="45">
        <v>23</v>
      </c>
      <c r="U49" s="14">
        <f t="shared" si="6"/>
        <v>0.26264183333333335</v>
      </c>
      <c r="V49" s="14">
        <f t="shared" si="6"/>
        <v>3.9482166666665819E-2</v>
      </c>
      <c r="W49" s="14">
        <f t="shared" si="6"/>
        <v>0</v>
      </c>
      <c r="X49" s="14">
        <f t="shared" si="6"/>
        <v>5.6035833333338836E-3</v>
      </c>
      <c r="Y49" s="15">
        <f t="shared" si="6"/>
        <v>2.0947000000001381E-2</v>
      </c>
      <c r="Z49" s="15">
        <f t="shared" si="7"/>
        <v>0.32759666666667187</v>
      </c>
      <c r="AA49" s="15">
        <f t="shared" si="7"/>
        <v>7.787683333333284E-2</v>
      </c>
      <c r="AB49" s="16">
        <f t="shared" si="7"/>
        <v>0.23030516666666712</v>
      </c>
      <c r="AC49" s="16">
        <f t="shared" si="7"/>
        <v>0.33817633333333319</v>
      </c>
      <c r="AD49" s="16">
        <f t="shared" si="8"/>
        <v>0.18202683333333169</v>
      </c>
      <c r="AE49" s="16">
        <f t="shared" si="8"/>
        <v>2.6685333333334338E-2</v>
      </c>
      <c r="AF49" s="17">
        <f t="shared" si="8"/>
        <v>0</v>
      </c>
      <c r="AG49" s="17">
        <f t="shared" si="8"/>
        <v>2.803033333333449E-2</v>
      </c>
      <c r="AH49" s="17">
        <f t="shared" si="9"/>
        <v>1.5562749999998182E-2</v>
      </c>
      <c r="AI49" s="17">
        <f t="shared" si="9"/>
        <v>0.27465816666666676</v>
      </c>
      <c r="AK49" s="5">
        <v>23</v>
      </c>
      <c r="AL49" s="57">
        <f t="shared" si="5"/>
        <v>7.6931895833333264E-2</v>
      </c>
      <c r="AM49">
        <f t="shared" si="2"/>
        <v>0.1421401666666687</v>
      </c>
      <c r="AN49">
        <f t="shared" si="3"/>
        <v>0.19429841666666658</v>
      </c>
      <c r="AO49">
        <f t="shared" si="4"/>
        <v>7.9562812499999858E-2</v>
      </c>
      <c r="AQ49" s="52">
        <v>17</v>
      </c>
      <c r="AR49" s="62">
        <f t="shared" si="17"/>
        <v>8.5737015625000051E-2</v>
      </c>
      <c r="AS49" s="63">
        <f t="shared" si="10"/>
        <v>5.0495152777777982E-2</v>
      </c>
      <c r="AT49" s="63">
        <f t="shared" si="11"/>
        <v>6.5109151041666896E-2</v>
      </c>
      <c r="AU49" s="64">
        <f t="shared" si="12"/>
        <v>5.5886968749999877E-2</v>
      </c>
      <c r="AW49" s="52">
        <v>17</v>
      </c>
      <c r="AX49" s="62">
        <f t="shared" si="13"/>
        <v>1.1473688471726329E-2</v>
      </c>
      <c r="AY49" s="63">
        <f t="shared" si="14"/>
        <v>1.5683261295181855E-2</v>
      </c>
      <c r="AZ49" s="63">
        <f t="shared" si="15"/>
        <v>2.7772442148592997E-2</v>
      </c>
      <c r="BA49" s="64">
        <f t="shared" si="16"/>
        <v>1.1154753262464534E-2</v>
      </c>
      <c r="BD49" s="52">
        <v>17</v>
      </c>
      <c r="BE49" s="63">
        <v>8.5737015625000051E-2</v>
      </c>
      <c r="BF49" s="63">
        <v>5.0495152777777982E-2</v>
      </c>
      <c r="BI49" s="52">
        <v>17</v>
      </c>
      <c r="BJ49" s="63">
        <v>6.5109151041666896E-2</v>
      </c>
      <c r="BK49" s="63">
        <v>5.5886968749999877E-2</v>
      </c>
    </row>
    <row r="50" spans="2:64" x14ac:dyDescent="0.2">
      <c r="B50" s="9">
        <v>0</v>
      </c>
      <c r="C50" s="14">
        <v>5.5439367499999994</v>
      </c>
      <c r="D50" s="14">
        <v>5.7290959166666662</v>
      </c>
      <c r="E50" s="14">
        <v>4.5651360000000007</v>
      </c>
      <c r="F50" s="14">
        <v>3.7303750000000004</v>
      </c>
      <c r="G50" s="15">
        <v>5.0273770000000004</v>
      </c>
      <c r="H50" s="15">
        <v>12.155660833333334</v>
      </c>
      <c r="I50" s="15">
        <v>5.2271843333333337</v>
      </c>
      <c r="J50" s="16">
        <v>4.1176069999999996</v>
      </c>
      <c r="K50" s="16">
        <v>6.3844482499999984</v>
      </c>
      <c r="L50" s="16">
        <v>7.5525655833333341</v>
      </c>
      <c r="M50" s="16">
        <v>3.9149208333333334</v>
      </c>
      <c r="N50" s="17">
        <v>8.3138260000000024</v>
      </c>
      <c r="O50" s="17">
        <v>7.138761333333334</v>
      </c>
      <c r="P50" s="17">
        <v>4.7478059999999989</v>
      </c>
      <c r="Q50" s="17">
        <v>9.6681025833333329</v>
      </c>
      <c r="T50" s="9">
        <v>0</v>
      </c>
      <c r="U50" s="14">
        <f t="shared" si="6"/>
        <v>0.18001941666666621</v>
      </c>
      <c r="V50" s="14">
        <f t="shared" si="6"/>
        <v>3.9482083333332696E-2</v>
      </c>
      <c r="W50" s="14">
        <f t="shared" si="6"/>
        <v>0</v>
      </c>
      <c r="X50" s="14">
        <f t="shared" si="6"/>
        <v>0</v>
      </c>
      <c r="Y50" s="15">
        <f t="shared" si="6"/>
        <v>1.0227499999997391E-3</v>
      </c>
      <c r="Z50" s="15">
        <f t="shared" si="7"/>
        <v>0.12989916666666446</v>
      </c>
      <c r="AA50" s="15">
        <f t="shared" si="7"/>
        <v>0.2323397500000004</v>
      </c>
      <c r="AB50" s="16">
        <f t="shared" si="7"/>
        <v>9.0401083333333077E-2</v>
      </c>
      <c r="AC50" s="16">
        <f t="shared" si="7"/>
        <v>0.33396449999999778</v>
      </c>
      <c r="AD50" s="16">
        <f t="shared" si="8"/>
        <v>0.12054550000000219</v>
      </c>
      <c r="AE50" s="16">
        <f t="shared" si="8"/>
        <v>2.8324083333332695E-2</v>
      </c>
      <c r="AF50" s="17">
        <f t="shared" si="8"/>
        <v>0</v>
      </c>
      <c r="AG50" s="17">
        <f t="shared" si="8"/>
        <v>7.1359083333333295E-2</v>
      </c>
      <c r="AH50" s="17">
        <f t="shared" si="9"/>
        <v>3.0875000000030184E-4</v>
      </c>
      <c r="AI50" s="17">
        <f t="shared" si="9"/>
        <v>0.25769549999999875</v>
      </c>
      <c r="AK50" s="9">
        <v>0</v>
      </c>
      <c r="AL50" s="57">
        <f t="shared" si="5"/>
        <v>5.4875374999999726E-2</v>
      </c>
      <c r="AM50">
        <f t="shared" si="2"/>
        <v>0.12108722222222153</v>
      </c>
      <c r="AN50">
        <f t="shared" si="3"/>
        <v>0.14330879166666644</v>
      </c>
      <c r="AO50">
        <f t="shared" si="4"/>
        <v>8.2340833333333086E-2</v>
      </c>
      <c r="AQ50" s="52">
        <v>18</v>
      </c>
      <c r="AR50" s="62">
        <f t="shared" si="17"/>
        <v>8.7375979166666812E-2</v>
      </c>
      <c r="AS50" s="63">
        <f t="shared" si="10"/>
        <v>5.2690291666666986E-2</v>
      </c>
      <c r="AT50" s="63">
        <f t="shared" si="11"/>
        <v>9.7594286458333568E-2</v>
      </c>
      <c r="AU50" s="64">
        <f t="shared" si="12"/>
        <v>4.9044130208333148E-2</v>
      </c>
      <c r="AW50" s="52">
        <v>18</v>
      </c>
      <c r="AX50" s="62">
        <f t="shared" si="13"/>
        <v>1.1615763562478211E-2</v>
      </c>
      <c r="AY50" s="63">
        <f t="shared" si="14"/>
        <v>1.6146367766951317E-2</v>
      </c>
      <c r="AZ50" s="63">
        <f t="shared" si="15"/>
        <v>3.6676924365845652E-2</v>
      </c>
      <c r="BA50" s="64">
        <f t="shared" si="16"/>
        <v>1.600857642718875E-2</v>
      </c>
      <c r="BD50" s="52">
        <v>18</v>
      </c>
      <c r="BE50" s="63">
        <v>8.7375979166666812E-2</v>
      </c>
      <c r="BF50" s="63">
        <v>5.2690291666666986E-2</v>
      </c>
      <c r="BI50" s="52">
        <v>18</v>
      </c>
      <c r="BJ50" s="63">
        <v>9.7594286458333568E-2</v>
      </c>
      <c r="BK50" s="63">
        <v>4.9044130208333148E-2</v>
      </c>
    </row>
    <row r="51" spans="2:64" x14ac:dyDescent="0.2">
      <c r="B51" s="45">
        <v>1</v>
      </c>
      <c r="C51" s="14">
        <v>5.5492989999999986</v>
      </c>
      <c r="D51" s="14">
        <v>5.7685780000000006</v>
      </c>
      <c r="E51" s="14">
        <v>4.5651360000000007</v>
      </c>
      <c r="F51" s="14">
        <v>3.7303750000000004</v>
      </c>
      <c r="G51" s="15">
        <v>5.0273770000000004</v>
      </c>
      <c r="H51" s="15">
        <v>12.275455833333332</v>
      </c>
      <c r="I51" s="15">
        <v>5.4230618333333345</v>
      </c>
      <c r="J51" s="16">
        <v>4.1176069999999996</v>
      </c>
      <c r="K51" s="16">
        <v>6.653210666666669</v>
      </c>
      <c r="L51" s="16">
        <v>7.6399510833333322</v>
      </c>
      <c r="M51" s="16">
        <v>3.943244833333333</v>
      </c>
      <c r="N51" s="17">
        <v>8.3138260000000024</v>
      </c>
      <c r="O51" s="17">
        <v>7.4462066666666678</v>
      </c>
      <c r="P51" s="17">
        <v>4.7478059999999989</v>
      </c>
      <c r="Q51" s="17">
        <v>9.7424622500000009</v>
      </c>
      <c r="T51" s="45">
        <v>1</v>
      </c>
      <c r="U51" s="14">
        <f t="shared" si="6"/>
        <v>5.3622499999992357E-3</v>
      </c>
      <c r="V51" s="14">
        <f t="shared" si="6"/>
        <v>3.9482083333334472E-2</v>
      </c>
      <c r="W51" s="14">
        <f t="shared" si="6"/>
        <v>0</v>
      </c>
      <c r="X51" s="14">
        <f t="shared" si="6"/>
        <v>0</v>
      </c>
      <c r="Y51" s="15">
        <f t="shared" ref="Y51:AB98" si="18">G51-G50</f>
        <v>0</v>
      </c>
      <c r="Z51" s="15">
        <f t="shared" si="7"/>
        <v>0.1197949999999981</v>
      </c>
      <c r="AA51" s="15">
        <f t="shared" si="7"/>
        <v>0.19587750000000081</v>
      </c>
      <c r="AB51" s="16">
        <f t="shared" si="7"/>
        <v>0</v>
      </c>
      <c r="AC51" s="16">
        <f t="shared" si="7"/>
        <v>0.26876241666667067</v>
      </c>
      <c r="AD51" s="16">
        <f t="shared" si="8"/>
        <v>8.7385499999998117E-2</v>
      </c>
      <c r="AE51" s="16">
        <f t="shared" si="8"/>
        <v>2.8323999999999572E-2</v>
      </c>
      <c r="AF51" s="17">
        <f t="shared" si="8"/>
        <v>0</v>
      </c>
      <c r="AG51" s="17">
        <f t="shared" si="8"/>
        <v>0.30744533333333379</v>
      </c>
      <c r="AH51" s="17">
        <f t="shared" si="9"/>
        <v>0</v>
      </c>
      <c r="AI51" s="17">
        <f t="shared" si="9"/>
        <v>7.4359666666667934E-2</v>
      </c>
      <c r="AK51" s="5">
        <v>1</v>
      </c>
      <c r="AL51" s="57">
        <f t="shared" si="5"/>
        <v>1.1211083333333427E-2</v>
      </c>
      <c r="AM51">
        <f t="shared" si="2"/>
        <v>0.1052241666666663</v>
      </c>
      <c r="AN51">
        <f t="shared" si="3"/>
        <v>9.6117979166667089E-2</v>
      </c>
      <c r="AO51">
        <f t="shared" si="4"/>
        <v>9.5451250000000432E-2</v>
      </c>
      <c r="AQ51" s="52">
        <v>19</v>
      </c>
      <c r="AR51" s="62">
        <f t="shared" si="17"/>
        <v>8.1203552083333352E-2</v>
      </c>
      <c r="AS51" s="63">
        <f t="shared" si="10"/>
        <v>5.9074409722221922E-2</v>
      </c>
      <c r="AT51" s="63">
        <f t="shared" si="11"/>
        <v>7.0551442708333245E-2</v>
      </c>
      <c r="AU51" s="64">
        <f t="shared" si="12"/>
        <v>5.3161223958333614E-2</v>
      </c>
      <c r="AW51" s="52">
        <v>19</v>
      </c>
      <c r="AX51" s="62">
        <f t="shared" si="13"/>
        <v>1.5739086066816139E-2</v>
      </c>
      <c r="AY51" s="63">
        <f t="shared" si="14"/>
        <v>1.8340150135013809E-2</v>
      </c>
      <c r="AZ51" s="63">
        <f t="shared" si="15"/>
        <v>2.1769478354095081E-2</v>
      </c>
      <c r="BA51" s="64">
        <f t="shared" si="16"/>
        <v>9.4050958753832941E-3</v>
      </c>
      <c r="BD51" s="52">
        <v>19</v>
      </c>
      <c r="BE51" s="63">
        <v>8.1203552083333352E-2</v>
      </c>
      <c r="BF51" s="63">
        <v>5.9074409722221922E-2</v>
      </c>
      <c r="BI51" s="52">
        <v>19</v>
      </c>
      <c r="BJ51" s="63">
        <v>7.0551442708333245E-2</v>
      </c>
      <c r="BK51" s="63">
        <v>5.3161223958333614E-2</v>
      </c>
    </row>
    <row r="52" spans="2:64" x14ac:dyDescent="0.2">
      <c r="B52" s="45">
        <v>2</v>
      </c>
      <c r="C52" s="14">
        <v>5.5492989999999986</v>
      </c>
      <c r="D52" s="14">
        <v>5.8080601666666665</v>
      </c>
      <c r="E52" s="14">
        <v>4.5651360000000007</v>
      </c>
      <c r="F52" s="14">
        <v>3.7303750000000004</v>
      </c>
      <c r="G52" s="15">
        <v>5.0273770000000004</v>
      </c>
      <c r="H52" s="15">
        <v>12.731358333333333</v>
      </c>
      <c r="I52" s="15">
        <v>5.4380310000000014</v>
      </c>
      <c r="J52" s="16">
        <v>4.1176069999999996</v>
      </c>
      <c r="K52" s="16">
        <v>6.9261521666666654</v>
      </c>
      <c r="L52" s="16">
        <v>7.6436879999999983</v>
      </c>
      <c r="M52" s="16">
        <v>3.9697896666666677</v>
      </c>
      <c r="N52" s="17">
        <v>8.3138260000000024</v>
      </c>
      <c r="O52" s="17">
        <v>7.8031505000000001</v>
      </c>
      <c r="P52" s="17">
        <v>4.7478059999999989</v>
      </c>
      <c r="Q52" s="17">
        <v>10.103794916666667</v>
      </c>
      <c r="T52" s="45">
        <v>2</v>
      </c>
      <c r="U52" s="14">
        <f t="shared" si="6"/>
        <v>0</v>
      </c>
      <c r="V52" s="14">
        <f t="shared" si="6"/>
        <v>3.9482166666665819E-2</v>
      </c>
      <c r="W52" s="14">
        <f t="shared" si="6"/>
        <v>0</v>
      </c>
      <c r="X52" s="14">
        <f t="shared" si="6"/>
        <v>0</v>
      </c>
      <c r="Y52" s="15">
        <f t="shared" si="18"/>
        <v>0</v>
      </c>
      <c r="Z52" s="15">
        <f t="shared" si="7"/>
        <v>0.45590250000000054</v>
      </c>
      <c r="AA52" s="15">
        <f t="shared" si="7"/>
        <v>1.4969166666666922E-2</v>
      </c>
      <c r="AB52" s="16">
        <f t="shared" si="7"/>
        <v>0</v>
      </c>
      <c r="AC52" s="16">
        <f t="shared" si="7"/>
        <v>0.2729414999999964</v>
      </c>
      <c r="AD52" s="16">
        <f t="shared" si="8"/>
        <v>3.7369166666660902E-3</v>
      </c>
      <c r="AE52" s="16">
        <f t="shared" si="8"/>
        <v>2.6544833333334683E-2</v>
      </c>
      <c r="AF52" s="17">
        <f t="shared" si="8"/>
        <v>0</v>
      </c>
      <c r="AG52" s="17">
        <f t="shared" si="8"/>
        <v>0.35694383333333235</v>
      </c>
      <c r="AH52" s="17">
        <f t="shared" si="9"/>
        <v>0</v>
      </c>
      <c r="AI52" s="17">
        <f t="shared" si="9"/>
        <v>0.36133266666666586</v>
      </c>
      <c r="AK52" s="5">
        <v>2</v>
      </c>
      <c r="AL52" s="57">
        <f t="shared" si="5"/>
        <v>9.8705416666664547E-3</v>
      </c>
      <c r="AM52">
        <f t="shared" si="2"/>
        <v>0.1569572222222225</v>
      </c>
      <c r="AN52">
        <f t="shared" si="3"/>
        <v>7.5805812499999292E-2</v>
      </c>
      <c r="AO52">
        <f t="shared" si="4"/>
        <v>0.17956912499999955</v>
      </c>
      <c r="AQ52" s="52">
        <v>20</v>
      </c>
      <c r="AR52" s="62">
        <f t="shared" si="17"/>
        <v>9.0992916666666201E-2</v>
      </c>
      <c r="AS52" s="63">
        <f t="shared" si="10"/>
        <v>7.8411763888888888E-2</v>
      </c>
      <c r="AT52" s="63">
        <f t="shared" si="11"/>
        <v>0.11830644270833351</v>
      </c>
      <c r="AU52" s="64">
        <f t="shared" si="12"/>
        <v>5.8719270833333281E-2</v>
      </c>
      <c r="AW52" s="52">
        <v>20</v>
      </c>
      <c r="AX52" s="62">
        <f t="shared" si="13"/>
        <v>1.2706042042744767E-2</v>
      </c>
      <c r="AY52" s="63">
        <f t="shared" si="14"/>
        <v>1.1374466603944188E-2</v>
      </c>
      <c r="AZ52" s="63">
        <f t="shared" si="15"/>
        <v>2.0082789200715944E-2</v>
      </c>
      <c r="BA52" s="64">
        <f t="shared" si="16"/>
        <v>3.4466880857559334E-3</v>
      </c>
      <c r="BD52" s="52">
        <v>20</v>
      </c>
      <c r="BE52" s="63">
        <v>9.0992916666666201E-2</v>
      </c>
      <c r="BF52" s="63">
        <v>7.8411763888888888E-2</v>
      </c>
      <c r="BI52" s="52">
        <v>20</v>
      </c>
      <c r="BJ52" s="63">
        <v>0.11830644270833351</v>
      </c>
      <c r="BK52" s="63">
        <v>5.8719270833333281E-2</v>
      </c>
    </row>
    <row r="53" spans="2:64" x14ac:dyDescent="0.2">
      <c r="B53" s="45">
        <v>3</v>
      </c>
      <c r="C53" s="14">
        <v>5.5492989999999986</v>
      </c>
      <c r="D53" s="14">
        <v>5.8475422500000001</v>
      </c>
      <c r="E53" s="14">
        <v>4.5651360000000007</v>
      </c>
      <c r="F53" s="14">
        <v>3.7303750000000004</v>
      </c>
      <c r="G53" s="15">
        <v>5.0384865833333334</v>
      </c>
      <c r="H53" s="15">
        <v>12.857989999999999</v>
      </c>
      <c r="I53" s="15">
        <v>5.4380310000000014</v>
      </c>
      <c r="J53" s="16">
        <v>4.1176069999999996</v>
      </c>
      <c r="K53" s="16">
        <v>7.1770460000000007</v>
      </c>
      <c r="L53" s="16">
        <v>7.6436879999999983</v>
      </c>
      <c r="M53" s="16">
        <v>3.9756720000000008</v>
      </c>
      <c r="N53" s="17">
        <v>8.3138260000000024</v>
      </c>
      <c r="O53" s="17">
        <v>7.9268531666666666</v>
      </c>
      <c r="P53" s="17">
        <v>4.7478059999999989</v>
      </c>
      <c r="Q53" s="17">
        <v>10.555515833333333</v>
      </c>
      <c r="T53" s="45">
        <v>3</v>
      </c>
      <c r="U53" s="14">
        <f t="shared" si="6"/>
        <v>0</v>
      </c>
      <c r="V53" s="14">
        <f t="shared" si="6"/>
        <v>3.9482083333333584E-2</v>
      </c>
      <c r="W53" s="14">
        <f t="shared" si="6"/>
        <v>0</v>
      </c>
      <c r="X53" s="14">
        <f t="shared" si="6"/>
        <v>0</v>
      </c>
      <c r="Y53" s="15">
        <f t="shared" si="18"/>
        <v>1.1109583333333006E-2</v>
      </c>
      <c r="Z53" s="15">
        <f t="shared" si="7"/>
        <v>0.12663166666666648</v>
      </c>
      <c r="AA53" s="15">
        <f t="shared" si="7"/>
        <v>0</v>
      </c>
      <c r="AB53" s="16">
        <f t="shared" si="7"/>
        <v>0</v>
      </c>
      <c r="AC53" s="16">
        <f t="shared" si="7"/>
        <v>0.25089383333333526</v>
      </c>
      <c r="AD53" s="16">
        <f t="shared" si="8"/>
        <v>0</v>
      </c>
      <c r="AE53" s="16">
        <f t="shared" si="8"/>
        <v>5.8823333333331007E-3</v>
      </c>
      <c r="AF53" s="17">
        <f t="shared" si="8"/>
        <v>0</v>
      </c>
      <c r="AG53" s="17">
        <f t="shared" si="8"/>
        <v>0.12370266666666652</v>
      </c>
      <c r="AH53" s="17">
        <f t="shared" si="9"/>
        <v>0</v>
      </c>
      <c r="AI53" s="17">
        <f t="shared" si="9"/>
        <v>0.45172091666666603</v>
      </c>
      <c r="AK53" s="5">
        <v>3</v>
      </c>
      <c r="AL53" s="57">
        <f t="shared" si="5"/>
        <v>9.870520833333396E-3</v>
      </c>
      <c r="AM53">
        <f t="shared" si="2"/>
        <v>4.591374999999983E-2</v>
      </c>
      <c r="AN53">
        <f t="shared" si="3"/>
        <v>6.419404166666709E-2</v>
      </c>
      <c r="AO53">
        <f t="shared" si="4"/>
        <v>0.14385589583333314</v>
      </c>
      <c r="AQ53" s="52">
        <v>21</v>
      </c>
      <c r="AR53" s="62">
        <f t="shared" si="17"/>
        <v>9.824895312500076E-2</v>
      </c>
      <c r="AS53" s="63">
        <f t="shared" si="10"/>
        <v>0.1244786388888888</v>
      </c>
      <c r="AT53" s="63">
        <f t="shared" si="11"/>
        <v>0.14045174479166672</v>
      </c>
      <c r="AU53" s="64">
        <f t="shared" si="12"/>
        <v>6.1348067708333731E-2</v>
      </c>
      <c r="AW53" s="52">
        <v>21</v>
      </c>
      <c r="AX53" s="62">
        <f t="shared" si="13"/>
        <v>1.4276403563601813E-2</v>
      </c>
      <c r="AY53" s="63">
        <f t="shared" si="14"/>
        <v>3.531825865610258E-2</v>
      </c>
      <c r="AZ53" s="63">
        <f t="shared" si="15"/>
        <v>2.5076544769797794E-2</v>
      </c>
      <c r="BA53" s="64">
        <f t="shared" si="16"/>
        <v>1.3397278569927824E-2</v>
      </c>
      <c r="BD53" s="52">
        <v>21</v>
      </c>
      <c r="BE53" s="63">
        <v>9.824895312500076E-2</v>
      </c>
      <c r="BF53" s="63">
        <v>0.1244786388888888</v>
      </c>
      <c r="BI53" s="52">
        <v>21</v>
      </c>
      <c r="BJ53" s="63">
        <v>0.14045174479166672</v>
      </c>
      <c r="BK53" s="63">
        <v>6.1348067708333731E-2</v>
      </c>
    </row>
    <row r="54" spans="2:64" x14ac:dyDescent="0.2">
      <c r="B54" s="45">
        <v>4</v>
      </c>
      <c r="C54" s="14">
        <v>5.5492989999999986</v>
      </c>
      <c r="D54" s="14">
        <v>5.8870243333333327</v>
      </c>
      <c r="E54" s="14">
        <v>4.5651360000000007</v>
      </c>
      <c r="F54" s="14">
        <v>3.7303750000000004</v>
      </c>
      <c r="G54" s="15">
        <v>5.0967044166666673</v>
      </c>
      <c r="H54" s="15">
        <v>12.857989999999999</v>
      </c>
      <c r="I54" s="15">
        <v>5.4380310000000014</v>
      </c>
      <c r="J54" s="16">
        <v>4.1191561666666665</v>
      </c>
      <c r="K54" s="16">
        <v>7.2881503333333342</v>
      </c>
      <c r="L54" s="16">
        <v>7.6436879999999983</v>
      </c>
      <c r="M54" s="16">
        <v>3.9756720000000008</v>
      </c>
      <c r="N54" s="17">
        <v>8.3138260000000024</v>
      </c>
      <c r="O54" s="17">
        <v>8.1041070000000008</v>
      </c>
      <c r="P54" s="17">
        <v>4.7479655833333334</v>
      </c>
      <c r="Q54" s="17">
        <v>10.638600833333333</v>
      </c>
      <c r="T54" s="45">
        <v>4</v>
      </c>
      <c r="U54" s="14">
        <f t="shared" si="6"/>
        <v>0</v>
      </c>
      <c r="V54" s="14">
        <f t="shared" si="6"/>
        <v>3.9482083333332696E-2</v>
      </c>
      <c r="W54" s="14">
        <f t="shared" si="6"/>
        <v>0</v>
      </c>
      <c r="X54" s="14">
        <f t="shared" si="6"/>
        <v>0</v>
      </c>
      <c r="Y54" s="15">
        <f t="shared" si="18"/>
        <v>5.8217833333333857E-2</v>
      </c>
      <c r="Z54" s="15">
        <f t="shared" si="7"/>
        <v>0</v>
      </c>
      <c r="AA54" s="15">
        <f t="shared" si="7"/>
        <v>0</v>
      </c>
      <c r="AB54" s="16">
        <f t="shared" si="7"/>
        <v>1.5491666666669346E-3</v>
      </c>
      <c r="AC54" s="16">
        <f t="shared" si="7"/>
        <v>0.11110433333333347</v>
      </c>
      <c r="AD54" s="16">
        <f t="shared" si="8"/>
        <v>0</v>
      </c>
      <c r="AE54" s="16">
        <f t="shared" si="8"/>
        <v>0</v>
      </c>
      <c r="AF54" s="17">
        <f t="shared" si="8"/>
        <v>0</v>
      </c>
      <c r="AG54" s="17">
        <f t="shared" si="8"/>
        <v>0.17725383333333422</v>
      </c>
      <c r="AH54" s="17">
        <f t="shared" si="9"/>
        <v>1.5958333333454533E-4</v>
      </c>
      <c r="AI54" s="17">
        <f t="shared" si="9"/>
        <v>8.308500000000052E-2</v>
      </c>
      <c r="AK54" s="5">
        <v>4</v>
      </c>
      <c r="AL54" s="57">
        <f t="shared" si="5"/>
        <v>9.870520833333174E-3</v>
      </c>
      <c r="AM54">
        <f t="shared" si="2"/>
        <v>1.9405944444444618E-2</v>
      </c>
      <c r="AN54">
        <f t="shared" si="3"/>
        <v>2.8163375000000102E-2</v>
      </c>
      <c r="AO54">
        <f t="shared" si="4"/>
        <v>6.5124604166667321E-2</v>
      </c>
      <c r="AQ54" s="52">
        <v>22</v>
      </c>
      <c r="AR54" s="62">
        <f t="shared" si="17"/>
        <v>6.9475671874999867E-2</v>
      </c>
      <c r="AS54" s="63">
        <f t="shared" si="10"/>
        <v>0.14268962499999918</v>
      </c>
      <c r="AT54" s="63">
        <f t="shared" si="11"/>
        <v>0.12333165104166666</v>
      </c>
      <c r="AU54" s="64">
        <f t="shared" si="12"/>
        <v>4.2728354166666482E-2</v>
      </c>
      <c r="AW54" s="52">
        <v>22</v>
      </c>
      <c r="AX54" s="62">
        <f t="shared" si="13"/>
        <v>8.4255181275080509E-3</v>
      </c>
      <c r="AY54" s="63">
        <f t="shared" si="14"/>
        <v>1.757615963397827E-2</v>
      </c>
      <c r="AZ54" s="63">
        <f t="shared" si="15"/>
        <v>2.4331882840791748E-2</v>
      </c>
      <c r="BA54" s="64">
        <f t="shared" si="16"/>
        <v>8.1835693027723193E-3</v>
      </c>
      <c r="BD54" s="52">
        <v>22</v>
      </c>
      <c r="BE54" s="63">
        <v>6.9475671874999867E-2</v>
      </c>
      <c r="BF54" s="63">
        <v>0.14268962499999918</v>
      </c>
      <c r="BI54" s="52">
        <v>22</v>
      </c>
      <c r="BJ54" s="63">
        <v>0.12333165104166666</v>
      </c>
      <c r="BK54" s="63">
        <v>4.2728354166666482E-2</v>
      </c>
    </row>
    <row r="55" spans="2:64" x14ac:dyDescent="0.2">
      <c r="B55" s="45">
        <v>5</v>
      </c>
      <c r="C55" s="14">
        <v>5.5492989999999986</v>
      </c>
      <c r="D55" s="14">
        <v>5.9265064999999995</v>
      </c>
      <c r="E55" s="14">
        <v>4.5651360000000007</v>
      </c>
      <c r="F55" s="14">
        <v>3.7303750000000004</v>
      </c>
      <c r="G55" s="15">
        <v>5.1584535833333343</v>
      </c>
      <c r="H55" s="15">
        <v>12.857989999999999</v>
      </c>
      <c r="I55" s="15">
        <v>5.4380310000000014</v>
      </c>
      <c r="J55" s="16">
        <v>4.148479916666667</v>
      </c>
      <c r="K55" s="16">
        <v>7.3431189166666675</v>
      </c>
      <c r="L55" s="16">
        <v>7.6436879999999983</v>
      </c>
      <c r="M55" s="16">
        <v>3.9756720000000008</v>
      </c>
      <c r="N55" s="17">
        <v>8.3138260000000024</v>
      </c>
      <c r="O55" s="17">
        <v>8.2826346666666666</v>
      </c>
      <c r="P55" s="17">
        <v>4.7494776666666665</v>
      </c>
      <c r="Q55" s="17">
        <v>10.642033333333332</v>
      </c>
      <c r="T55" s="45">
        <v>5</v>
      </c>
      <c r="U55" s="14">
        <f t="shared" si="6"/>
        <v>0</v>
      </c>
      <c r="V55" s="14">
        <f t="shared" si="6"/>
        <v>3.9482166666666707E-2</v>
      </c>
      <c r="W55" s="14">
        <f t="shared" si="6"/>
        <v>0</v>
      </c>
      <c r="X55" s="14">
        <f t="shared" si="6"/>
        <v>0</v>
      </c>
      <c r="Y55" s="15">
        <f t="shared" si="18"/>
        <v>6.1749166666666966E-2</v>
      </c>
      <c r="Z55" s="15">
        <f t="shared" si="7"/>
        <v>0</v>
      </c>
      <c r="AA55" s="15">
        <f t="shared" si="7"/>
        <v>0</v>
      </c>
      <c r="AB55" s="16">
        <f t="shared" si="7"/>
        <v>2.9323750000000537E-2</v>
      </c>
      <c r="AC55" s="16">
        <f t="shared" si="7"/>
        <v>5.4968583333333321E-2</v>
      </c>
      <c r="AD55" s="16">
        <f t="shared" si="8"/>
        <v>0</v>
      </c>
      <c r="AE55" s="16">
        <f t="shared" si="8"/>
        <v>0</v>
      </c>
      <c r="AF55" s="17">
        <f t="shared" si="8"/>
        <v>0</v>
      </c>
      <c r="AG55" s="17">
        <f t="shared" si="8"/>
        <v>0.17852766666666575</v>
      </c>
      <c r="AH55" s="17">
        <f t="shared" si="9"/>
        <v>1.5120833333330808E-3</v>
      </c>
      <c r="AI55" s="17">
        <f t="shared" si="9"/>
        <v>3.4324999999988393E-3</v>
      </c>
      <c r="AK55" s="5">
        <v>5</v>
      </c>
      <c r="AL55" s="57">
        <f t="shared" si="5"/>
        <v>9.8705416666666768E-3</v>
      </c>
      <c r="AM55">
        <f t="shared" si="2"/>
        <v>2.0583055555555656E-2</v>
      </c>
      <c r="AN55">
        <f t="shared" si="3"/>
        <v>2.1073083333333464E-2</v>
      </c>
      <c r="AO55">
        <f t="shared" si="4"/>
        <v>4.5868062499999418E-2</v>
      </c>
      <c r="AQ55" s="52">
        <v>23</v>
      </c>
      <c r="AR55" s="62">
        <f t="shared" si="17"/>
        <v>5.3014687499999949E-2</v>
      </c>
      <c r="AS55" s="63">
        <f t="shared" si="10"/>
        <v>0.11682813194444523</v>
      </c>
      <c r="AT55" s="63">
        <f t="shared" si="11"/>
        <v>0.13019259374999984</v>
      </c>
      <c r="AU55" s="64">
        <f t="shared" si="12"/>
        <v>5.7504333333333157E-2</v>
      </c>
      <c r="AW55" s="52">
        <v>23</v>
      </c>
      <c r="AX55" s="62">
        <f t="shared" si="13"/>
        <v>1.0160921200212888E-2</v>
      </c>
      <c r="AY55" s="63">
        <f t="shared" si="14"/>
        <v>1.5994366001161862E-2</v>
      </c>
      <c r="AZ55" s="63">
        <f t="shared" si="15"/>
        <v>2.5414663223397534E-2</v>
      </c>
      <c r="BA55" s="64">
        <f t="shared" si="16"/>
        <v>7.992782559655659E-3</v>
      </c>
      <c r="BD55" s="52">
        <v>23</v>
      </c>
      <c r="BE55" s="63">
        <v>5.3014687499999949E-2</v>
      </c>
      <c r="BF55" s="63">
        <v>0.11682813194444523</v>
      </c>
      <c r="BI55" s="52">
        <v>23</v>
      </c>
      <c r="BJ55" s="63">
        <v>0.13019259374999984</v>
      </c>
      <c r="BK55" s="63">
        <v>5.7504333333333157E-2</v>
      </c>
    </row>
    <row r="56" spans="2:64" x14ac:dyDescent="0.2">
      <c r="B56" s="45">
        <v>6</v>
      </c>
      <c r="C56" s="14">
        <v>5.5492989999999986</v>
      </c>
      <c r="D56" s="14">
        <v>5.9646658333333322</v>
      </c>
      <c r="E56" s="14">
        <v>4.5651360000000007</v>
      </c>
      <c r="F56" s="14">
        <v>3.7303750000000004</v>
      </c>
      <c r="G56" s="15">
        <v>5.300634416666667</v>
      </c>
      <c r="H56" s="15">
        <v>12.857989999999999</v>
      </c>
      <c r="I56" s="15">
        <v>5.4437030000000002</v>
      </c>
      <c r="J56" s="16">
        <v>4.1879619999999997</v>
      </c>
      <c r="K56" s="16">
        <v>7.3602092500000005</v>
      </c>
      <c r="L56" s="16">
        <v>7.6436879999999983</v>
      </c>
      <c r="M56" s="16">
        <v>3.9900895000000003</v>
      </c>
      <c r="N56" s="17">
        <v>8.3138260000000024</v>
      </c>
      <c r="O56" s="17">
        <v>8.4611626666666666</v>
      </c>
      <c r="P56" s="17">
        <v>4.7555769999999997</v>
      </c>
      <c r="Q56" s="17">
        <v>10.645209166666666</v>
      </c>
      <c r="T56" s="45">
        <v>6</v>
      </c>
      <c r="U56" s="14">
        <f t="shared" si="6"/>
        <v>0</v>
      </c>
      <c r="V56" s="14">
        <f t="shared" si="6"/>
        <v>3.8159333333332768E-2</v>
      </c>
      <c r="W56" s="14">
        <f t="shared" si="6"/>
        <v>0</v>
      </c>
      <c r="X56" s="14">
        <f t="shared" si="6"/>
        <v>0</v>
      </c>
      <c r="Y56" s="15">
        <f t="shared" si="18"/>
        <v>0.14218083333333276</v>
      </c>
      <c r="Z56" s="15">
        <f t="shared" si="7"/>
        <v>0</v>
      </c>
      <c r="AA56" s="15">
        <f t="shared" si="7"/>
        <v>5.6719999999987891E-3</v>
      </c>
      <c r="AB56" s="16">
        <f t="shared" si="7"/>
        <v>3.9482083333332696E-2</v>
      </c>
      <c r="AC56" s="16">
        <f t="shared" si="7"/>
        <v>1.7090333333332985E-2</v>
      </c>
      <c r="AD56" s="16">
        <f t="shared" si="8"/>
        <v>0</v>
      </c>
      <c r="AE56" s="16">
        <f t="shared" si="8"/>
        <v>1.4417499999999528E-2</v>
      </c>
      <c r="AF56" s="17">
        <f t="shared" si="8"/>
        <v>0</v>
      </c>
      <c r="AG56" s="17">
        <f t="shared" si="8"/>
        <v>0.17852800000000002</v>
      </c>
      <c r="AH56" s="17">
        <f t="shared" si="9"/>
        <v>6.0993333333332345E-3</v>
      </c>
      <c r="AI56" s="17">
        <f t="shared" si="9"/>
        <v>3.1758333333335997E-3</v>
      </c>
      <c r="AK56" s="5">
        <v>6</v>
      </c>
      <c r="AL56" s="57">
        <f t="shared" si="5"/>
        <v>9.5398333333331919E-3</v>
      </c>
      <c r="AM56">
        <f t="shared" si="2"/>
        <v>4.9284277777777184E-2</v>
      </c>
      <c r="AN56">
        <f t="shared" si="3"/>
        <v>1.7747479166666302E-2</v>
      </c>
      <c r="AO56">
        <f t="shared" si="4"/>
        <v>4.6950791666666714E-2</v>
      </c>
      <c r="AQ56" s="52">
        <v>24</v>
      </c>
      <c r="AR56" s="62">
        <f>AVERAGE(AR27:AU27)</f>
        <v>5.4626833333333236E-2</v>
      </c>
      <c r="AS56" s="63">
        <f t="shared" si="10"/>
        <v>0.12124447222222193</v>
      </c>
      <c r="AT56" s="63">
        <f t="shared" si="11"/>
        <v>0.10331884895833313</v>
      </c>
      <c r="AU56" s="64">
        <f t="shared" si="12"/>
        <v>7.496238541666661E-2</v>
      </c>
      <c r="AW56" s="52">
        <v>24</v>
      </c>
      <c r="AX56" s="62">
        <f t="shared" si="13"/>
        <v>1.299753518207384E-2</v>
      </c>
      <c r="AY56" s="63">
        <f t="shared" si="14"/>
        <v>3.5236903362717079E-2</v>
      </c>
      <c r="AZ56" s="63">
        <f t="shared" si="15"/>
        <v>2.8971901136658675E-2</v>
      </c>
      <c r="BA56" s="64">
        <f>STDEV(BJ27:BM27)/SQRT(COUNT(BJ27:BM27))</f>
        <v>2.4634086969997068E-2</v>
      </c>
      <c r="BD56" s="52">
        <v>24</v>
      </c>
      <c r="BE56" s="63">
        <v>5.4626833333333236E-2</v>
      </c>
      <c r="BF56" s="63">
        <v>0.12124447222222193</v>
      </c>
      <c r="BG56">
        <v>1</v>
      </c>
      <c r="BI56" s="52">
        <v>24</v>
      </c>
      <c r="BJ56" s="63">
        <v>0.10331884895833313</v>
      </c>
      <c r="BK56" s="63">
        <v>7.496238541666661E-2</v>
      </c>
      <c r="BL56">
        <v>1</v>
      </c>
    </row>
    <row r="57" spans="2:64" x14ac:dyDescent="0.2">
      <c r="B57" s="45">
        <v>7</v>
      </c>
      <c r="C57" s="14">
        <v>5.5535394166666672</v>
      </c>
      <c r="D57" s="14">
        <v>5.985932833333333</v>
      </c>
      <c r="E57" s="14">
        <v>4.5651360000000007</v>
      </c>
      <c r="F57" s="14">
        <v>3.7303750000000004</v>
      </c>
      <c r="G57" s="15">
        <v>5.4800482500000003</v>
      </c>
      <c r="H57" s="15">
        <v>12.863222499999999</v>
      </c>
      <c r="I57" s="15">
        <v>5.5207547499999992</v>
      </c>
      <c r="J57" s="16">
        <v>4.2274441666666664</v>
      </c>
      <c r="K57" s="16">
        <v>7.3626945833333339</v>
      </c>
      <c r="L57" s="16">
        <v>7.6436879999999983</v>
      </c>
      <c r="M57" s="16">
        <v>4.0391020833333338</v>
      </c>
      <c r="N57" s="17">
        <v>8.3138260000000024</v>
      </c>
      <c r="O57" s="17">
        <v>8.6351527500000014</v>
      </c>
      <c r="P57" s="17">
        <v>4.7641602499999998</v>
      </c>
      <c r="Q57" s="17">
        <v>10.6595475</v>
      </c>
      <c r="T57" s="45">
        <v>7</v>
      </c>
      <c r="U57" s="14">
        <f t="shared" si="6"/>
        <v>4.2404166666685228E-3</v>
      </c>
      <c r="V57" s="14">
        <f t="shared" si="6"/>
        <v>2.1267000000000813E-2</v>
      </c>
      <c r="W57" s="14">
        <f t="shared" si="6"/>
        <v>0</v>
      </c>
      <c r="X57" s="14">
        <f t="shared" si="6"/>
        <v>0</v>
      </c>
      <c r="Y57" s="15">
        <f t="shared" si="18"/>
        <v>0.17941383333333327</v>
      </c>
      <c r="Z57" s="15">
        <f t="shared" si="7"/>
        <v>5.2324999999999733E-3</v>
      </c>
      <c r="AA57" s="15">
        <f t="shared" si="7"/>
        <v>7.7051749999998975E-2</v>
      </c>
      <c r="AB57" s="16">
        <f t="shared" si="7"/>
        <v>3.9482166666666707E-2</v>
      </c>
      <c r="AC57" s="16">
        <f t="shared" si="7"/>
        <v>2.4853333333334504E-3</v>
      </c>
      <c r="AD57" s="16">
        <f t="shared" si="8"/>
        <v>0</v>
      </c>
      <c r="AE57" s="16">
        <f t="shared" si="8"/>
        <v>4.901258333333347E-2</v>
      </c>
      <c r="AF57" s="17">
        <f t="shared" si="8"/>
        <v>0</v>
      </c>
      <c r="AG57" s="17">
        <f t="shared" si="8"/>
        <v>0.17399008333333477</v>
      </c>
      <c r="AH57" s="17">
        <f t="shared" si="9"/>
        <v>8.5832500000000422E-3</v>
      </c>
      <c r="AI57" s="17">
        <f t="shared" si="9"/>
        <v>1.4338333333334674E-2</v>
      </c>
      <c r="AK57" s="5">
        <v>7</v>
      </c>
      <c r="AL57" s="57">
        <f t="shared" si="5"/>
        <v>6.376854166667334E-3</v>
      </c>
      <c r="AM57">
        <f t="shared" si="2"/>
        <v>8.7232694444444078E-2</v>
      </c>
      <c r="AN57">
        <f t="shared" si="3"/>
        <v>2.2745020833333407E-2</v>
      </c>
      <c r="AO57">
        <f t="shared" si="4"/>
        <v>4.9227916666667371E-2</v>
      </c>
      <c r="AQ57">
        <v>1</v>
      </c>
      <c r="AR57">
        <v>4.0733958333333375E-2</v>
      </c>
      <c r="AS57">
        <v>7.4669048611111316E-2</v>
      </c>
      <c r="AT57">
        <v>3.8407114583333485E-2</v>
      </c>
      <c r="AU57">
        <v>9.0793973958333371E-2</v>
      </c>
      <c r="AW57">
        <v>1</v>
      </c>
      <c r="AX57">
        <v>1.7273142853943216E-2</v>
      </c>
      <c r="AY57">
        <v>3.7409850466483686E-2</v>
      </c>
      <c r="AZ57">
        <v>2.0428897952069369E-2</v>
      </c>
      <c r="BA57">
        <v>2.1078246818756911E-2</v>
      </c>
      <c r="BD57" s="69">
        <v>1</v>
      </c>
      <c r="BE57">
        <v>4.0733958333333375E-2</v>
      </c>
      <c r="BF57">
        <v>7.4669048611111316E-2</v>
      </c>
      <c r="BI57" s="69">
        <v>1</v>
      </c>
      <c r="BJ57">
        <v>3.8407114583333485E-2</v>
      </c>
      <c r="BK57">
        <v>9.0793973958333371E-2</v>
      </c>
    </row>
    <row r="58" spans="2:64" x14ac:dyDescent="0.2">
      <c r="B58" s="45">
        <v>8</v>
      </c>
      <c r="C58" s="14">
        <v>5.5625339166666663</v>
      </c>
      <c r="D58" s="14">
        <v>5.988993999999999</v>
      </c>
      <c r="E58" s="14">
        <v>4.5651360000000007</v>
      </c>
      <c r="F58" s="14">
        <v>3.7303750000000004</v>
      </c>
      <c r="G58" s="15">
        <v>5.50586325</v>
      </c>
      <c r="H58" s="15">
        <v>12.892156666666667</v>
      </c>
      <c r="I58" s="15">
        <v>5.6973609999999999</v>
      </c>
      <c r="J58" s="16">
        <v>4.3125891666666671</v>
      </c>
      <c r="K58" s="16">
        <v>7.374033166666667</v>
      </c>
      <c r="L58" s="16">
        <v>7.6436879999999983</v>
      </c>
      <c r="M58" s="16">
        <v>4.1019449166666666</v>
      </c>
      <c r="N58" s="17">
        <v>8.3138260000000024</v>
      </c>
      <c r="O58" s="17">
        <v>8.754806499999999</v>
      </c>
      <c r="P58" s="17">
        <v>4.8397223333333335</v>
      </c>
      <c r="Q58" s="17">
        <v>10.729127499999999</v>
      </c>
      <c r="T58" s="45">
        <v>8</v>
      </c>
      <c r="U58" s="14">
        <f t="shared" si="6"/>
        <v>8.9944999999991282E-3</v>
      </c>
      <c r="V58" s="14">
        <f t="shared" si="6"/>
        <v>3.0611666666660042E-3</v>
      </c>
      <c r="W58" s="14">
        <f t="shared" si="6"/>
        <v>0</v>
      </c>
      <c r="X58" s="14">
        <f t="shared" si="6"/>
        <v>0</v>
      </c>
      <c r="Y58" s="15">
        <f t="shared" si="18"/>
        <v>2.5814999999999699E-2</v>
      </c>
      <c r="Z58" s="15">
        <f t="shared" si="7"/>
        <v>2.8934166666667593E-2</v>
      </c>
      <c r="AA58" s="15">
        <f t="shared" si="7"/>
        <v>0.17660625000000074</v>
      </c>
      <c r="AB58" s="16">
        <f t="shared" si="7"/>
        <v>8.5145000000000692E-2</v>
      </c>
      <c r="AC58" s="16">
        <f t="shared" si="7"/>
        <v>1.1338583333333041E-2</v>
      </c>
      <c r="AD58" s="16">
        <f t="shared" si="8"/>
        <v>0</v>
      </c>
      <c r="AE58" s="16">
        <f t="shared" si="8"/>
        <v>6.2842833333332848E-2</v>
      </c>
      <c r="AF58" s="17">
        <f t="shared" si="8"/>
        <v>0</v>
      </c>
      <c r="AG58" s="17">
        <f t="shared" si="8"/>
        <v>0.11965374999999767</v>
      </c>
      <c r="AH58" s="17">
        <f t="shared" si="9"/>
        <v>7.5562083333333696E-2</v>
      </c>
      <c r="AI58" s="17">
        <f t="shared" si="9"/>
        <v>6.9579999999998421E-2</v>
      </c>
      <c r="AK58" s="5">
        <v>8</v>
      </c>
      <c r="AL58" s="57">
        <f t="shared" si="5"/>
        <v>3.0139166666662831E-3</v>
      </c>
      <c r="AM58">
        <f t="shared" si="2"/>
        <v>7.7118472222222678E-2</v>
      </c>
      <c r="AN58">
        <f t="shared" si="3"/>
        <v>3.9831604166666645E-2</v>
      </c>
      <c r="AO58">
        <f t="shared" si="4"/>
        <v>6.6198958333332447E-2</v>
      </c>
      <c r="AQ58">
        <v>2</v>
      </c>
      <c r="AR58">
        <v>2.1288453125000134E-2</v>
      </c>
      <c r="AS58">
        <v>7.8962493055555583E-2</v>
      </c>
      <c r="AT58">
        <v>3.3850619791666536E-2</v>
      </c>
      <c r="AU58">
        <v>0.11799618749999992</v>
      </c>
      <c r="AW58">
        <v>2</v>
      </c>
      <c r="AX58">
        <v>8.0977644248679051E-3</v>
      </c>
      <c r="AY58">
        <v>3.2660408322615034E-2</v>
      </c>
      <c r="AZ58">
        <v>1.5774738473244312E-2</v>
      </c>
      <c r="BA58">
        <v>3.4269009402698856E-2</v>
      </c>
      <c r="BD58" s="69">
        <v>2</v>
      </c>
      <c r="BE58">
        <v>2.1288453125000134E-2</v>
      </c>
      <c r="BF58">
        <v>7.8962493055555583E-2</v>
      </c>
      <c r="BI58" s="69">
        <v>2</v>
      </c>
      <c r="BJ58">
        <v>3.3850619791666536E-2</v>
      </c>
      <c r="BK58">
        <v>0.11799618749999992</v>
      </c>
    </row>
    <row r="59" spans="2:64" x14ac:dyDescent="0.2">
      <c r="B59" s="45">
        <v>9</v>
      </c>
      <c r="C59" s="14">
        <v>5.5694002499999984</v>
      </c>
      <c r="D59" s="14">
        <v>5.988993999999999</v>
      </c>
      <c r="E59" s="14">
        <v>4.5651360000000007</v>
      </c>
      <c r="F59" s="14">
        <v>3.7339814999999987</v>
      </c>
      <c r="G59" s="15">
        <v>5.5179434166666672</v>
      </c>
      <c r="H59" s="15">
        <v>12.898553333333334</v>
      </c>
      <c r="I59" s="15">
        <v>5.8085358333333339</v>
      </c>
      <c r="J59" s="16">
        <v>4.6502935833333332</v>
      </c>
      <c r="K59" s="16">
        <v>7.3772110000000017</v>
      </c>
      <c r="L59" s="16">
        <v>7.6436879999999983</v>
      </c>
      <c r="M59" s="16">
        <v>4.1640934166666659</v>
      </c>
      <c r="N59" s="17">
        <v>8.3139896666666697</v>
      </c>
      <c r="O59" s="17">
        <v>9.0578245833333337</v>
      </c>
      <c r="P59" s="17">
        <v>5.0106247499999998</v>
      </c>
      <c r="Q59" s="17">
        <v>10.804658333333334</v>
      </c>
      <c r="T59" s="45">
        <v>9</v>
      </c>
      <c r="U59" s="14">
        <f t="shared" si="6"/>
        <v>6.8663333333320864E-3</v>
      </c>
      <c r="V59" s="14">
        <f t="shared" si="6"/>
        <v>0</v>
      </c>
      <c r="W59" s="14">
        <f t="shared" si="6"/>
        <v>0</v>
      </c>
      <c r="X59" s="14">
        <f t="shared" si="6"/>
        <v>3.6064999999982916E-3</v>
      </c>
      <c r="Y59" s="15">
        <f t="shared" si="18"/>
        <v>1.2080166666667225E-2</v>
      </c>
      <c r="Z59" s="15">
        <f t="shared" si="7"/>
        <v>6.3966666666672722E-3</v>
      </c>
      <c r="AA59" s="15">
        <f t="shared" si="7"/>
        <v>0.111174833333334</v>
      </c>
      <c r="AB59" s="16">
        <f t="shared" si="7"/>
        <v>0.33770441666666606</v>
      </c>
      <c r="AC59" s="16">
        <f t="shared" si="7"/>
        <v>3.1778333333347675E-3</v>
      </c>
      <c r="AD59" s="16">
        <f t="shared" si="8"/>
        <v>0</v>
      </c>
      <c r="AE59" s="16">
        <f t="shared" si="8"/>
        <v>6.2148499999999274E-2</v>
      </c>
      <c r="AF59" s="17">
        <f t="shared" si="8"/>
        <v>1.636666666673392E-4</v>
      </c>
      <c r="AG59" s="17">
        <f t="shared" si="8"/>
        <v>0.30301808333333469</v>
      </c>
      <c r="AH59" s="17">
        <f t="shared" si="9"/>
        <v>0.17090241666666639</v>
      </c>
      <c r="AI59" s="17">
        <f t="shared" si="9"/>
        <v>7.5530833333335323E-2</v>
      </c>
      <c r="AK59" s="5">
        <v>9</v>
      </c>
      <c r="AL59" s="57">
        <f t="shared" si="5"/>
        <v>2.6182083333325945E-3</v>
      </c>
      <c r="AM59">
        <f t="shared" si="2"/>
        <v>4.321722222222283E-2</v>
      </c>
      <c r="AN59">
        <f t="shared" si="3"/>
        <v>0.10075768750000003</v>
      </c>
      <c r="AO59">
        <f t="shared" si="4"/>
        <v>0.13740375000000093</v>
      </c>
      <c r="AQ59">
        <v>3</v>
      </c>
      <c r="AR59">
        <v>1.2452630208333232E-2</v>
      </c>
      <c r="AS59">
        <v>6.5526951388888866E-2</v>
      </c>
      <c r="AT59">
        <v>3.1896859374999934E-2</v>
      </c>
      <c r="AU59">
        <v>0.10147771354166674</v>
      </c>
      <c r="AW59">
        <v>3</v>
      </c>
      <c r="AX59">
        <v>3.6959431477501851E-3</v>
      </c>
      <c r="AY59">
        <v>2.7914680613395457E-2</v>
      </c>
      <c r="AZ59">
        <v>1.2596394267093899E-2</v>
      </c>
      <c r="BA59">
        <v>3.4746372626800165E-2</v>
      </c>
      <c r="BD59" s="69">
        <v>3</v>
      </c>
      <c r="BE59">
        <v>1.2452630208333232E-2</v>
      </c>
      <c r="BF59">
        <v>6.5526951388888866E-2</v>
      </c>
      <c r="BI59" s="69">
        <v>3</v>
      </c>
      <c r="BJ59">
        <v>3.1896859374999934E-2</v>
      </c>
      <c r="BK59">
        <v>0.10147771354166674</v>
      </c>
    </row>
    <row r="60" spans="2:64" x14ac:dyDescent="0.2">
      <c r="B60" s="45">
        <v>10</v>
      </c>
      <c r="C60" s="14">
        <v>5.5762667499999994</v>
      </c>
      <c r="D60" s="14">
        <v>5.988993999999999</v>
      </c>
      <c r="E60" s="14">
        <v>4.5651360000000007</v>
      </c>
      <c r="F60" s="14">
        <v>3.7398669999999989</v>
      </c>
      <c r="G60" s="15">
        <v>5.5669947499999992</v>
      </c>
      <c r="H60" s="15">
        <v>12.930500000000002</v>
      </c>
      <c r="I60" s="15">
        <v>5.8279037499999999</v>
      </c>
      <c r="J60" s="16">
        <v>4.8269571666666673</v>
      </c>
      <c r="K60" s="16">
        <v>7.3772110000000017</v>
      </c>
      <c r="L60" s="16">
        <v>7.6478901666666674</v>
      </c>
      <c r="M60" s="16">
        <v>4.2096306666666665</v>
      </c>
      <c r="N60" s="17">
        <v>8.334386499999999</v>
      </c>
      <c r="O60" s="17">
        <v>9.2471781666666661</v>
      </c>
      <c r="P60" s="17">
        <v>5.0927159999999994</v>
      </c>
      <c r="Q60" s="17">
        <v>10.8802</v>
      </c>
      <c r="T60" s="45">
        <v>10</v>
      </c>
      <c r="U60" s="14">
        <f t="shared" si="6"/>
        <v>6.8665000000009968E-3</v>
      </c>
      <c r="V60" s="14">
        <f t="shared" si="6"/>
        <v>0</v>
      </c>
      <c r="W60" s="14">
        <f t="shared" si="6"/>
        <v>0</v>
      </c>
      <c r="X60" s="14">
        <f t="shared" si="6"/>
        <v>5.88550000000021E-3</v>
      </c>
      <c r="Y60" s="15">
        <f t="shared" si="18"/>
        <v>4.9051333333332003E-2</v>
      </c>
      <c r="Z60" s="15">
        <f t="shared" si="7"/>
        <v>3.1946666666668122E-2</v>
      </c>
      <c r="AA60" s="15">
        <f t="shared" si="7"/>
        <v>1.9367916666666041E-2</v>
      </c>
      <c r="AB60" s="16">
        <f t="shared" si="7"/>
        <v>0.1766635833333341</v>
      </c>
      <c r="AC60" s="16">
        <f t="shared" si="7"/>
        <v>0</v>
      </c>
      <c r="AD60" s="16">
        <f t="shared" si="8"/>
        <v>4.2021666666691715E-3</v>
      </c>
      <c r="AE60" s="16">
        <f t="shared" si="8"/>
        <v>4.553725000000064E-2</v>
      </c>
      <c r="AF60" s="17">
        <f t="shared" si="8"/>
        <v>2.0396833333329312E-2</v>
      </c>
      <c r="AG60" s="17">
        <f t="shared" si="8"/>
        <v>0.18935358333333241</v>
      </c>
      <c r="AH60" s="17">
        <f t="shared" si="9"/>
        <v>8.2091249999999505E-2</v>
      </c>
      <c r="AI60" s="17">
        <f t="shared" si="9"/>
        <v>7.5541666666666174E-2</v>
      </c>
      <c r="AK60" s="5">
        <v>10</v>
      </c>
      <c r="AL60" s="57">
        <f t="shared" si="5"/>
        <v>3.1880000000003017E-3</v>
      </c>
      <c r="AM60">
        <f t="shared" si="2"/>
        <v>3.3455305555555391E-2</v>
      </c>
      <c r="AN60">
        <f t="shared" si="3"/>
        <v>5.6600750000000977E-2</v>
      </c>
      <c r="AO60">
        <f t="shared" si="4"/>
        <v>9.184583333333185E-2</v>
      </c>
      <c r="AQ60">
        <v>4</v>
      </c>
      <c r="AR60">
        <v>9.3873906249999362E-3</v>
      </c>
      <c r="AS60">
        <v>5.140840972222209E-2</v>
      </c>
      <c r="AT60">
        <v>1.8692213541666863E-2</v>
      </c>
      <c r="AU60">
        <v>6.9136703125000226E-2</v>
      </c>
      <c r="AW60">
        <v>4</v>
      </c>
      <c r="AX60">
        <v>3.9347704350963424E-3</v>
      </c>
      <c r="AY60">
        <v>1.7331863554287837E-2</v>
      </c>
      <c r="AZ60">
        <v>8.2394992086253869E-3</v>
      </c>
      <c r="BA60">
        <v>1.5611042656048858E-2</v>
      </c>
      <c r="BD60" s="69">
        <v>4</v>
      </c>
      <c r="BE60">
        <v>9.3873906249999362E-3</v>
      </c>
      <c r="BF60">
        <v>5.140840972222209E-2</v>
      </c>
      <c r="BI60" s="69">
        <v>4</v>
      </c>
      <c r="BJ60">
        <v>1.8692213541666863E-2</v>
      </c>
      <c r="BK60">
        <v>6.9136703125000226E-2</v>
      </c>
    </row>
    <row r="61" spans="2:64" x14ac:dyDescent="0.2">
      <c r="B61" s="45">
        <v>11</v>
      </c>
      <c r="C61" s="14">
        <v>5.5831332500000004</v>
      </c>
      <c r="D61" s="14">
        <v>5.988993999999999</v>
      </c>
      <c r="E61" s="14">
        <v>4.5651360000000007</v>
      </c>
      <c r="F61" s="14">
        <v>3.7398669999999989</v>
      </c>
      <c r="G61" s="15">
        <v>5.6337331666666657</v>
      </c>
      <c r="H61" s="15">
        <v>13.035413333333331</v>
      </c>
      <c r="I61" s="15">
        <v>5.84642675</v>
      </c>
      <c r="J61" s="16">
        <v>4.8593764166666675</v>
      </c>
      <c r="K61" s="16">
        <v>7.3772110000000017</v>
      </c>
      <c r="L61" s="16">
        <v>7.7150154166666667</v>
      </c>
      <c r="M61" s="16">
        <v>4.253423999999999</v>
      </c>
      <c r="N61" s="17">
        <v>8.368719333333333</v>
      </c>
      <c r="O61" s="17">
        <v>9.3597664999999992</v>
      </c>
      <c r="P61" s="17">
        <v>5.1837377499999997</v>
      </c>
      <c r="Q61" s="17">
        <v>10.931041666666665</v>
      </c>
      <c r="T61" s="45">
        <v>11</v>
      </c>
      <c r="U61" s="14">
        <f t="shared" si="6"/>
        <v>6.8665000000009968E-3</v>
      </c>
      <c r="V61" s="14">
        <f t="shared" si="6"/>
        <v>0</v>
      </c>
      <c r="W61" s="14">
        <f t="shared" si="6"/>
        <v>0</v>
      </c>
      <c r="X61" s="14">
        <f t="shared" si="6"/>
        <v>0</v>
      </c>
      <c r="Y61" s="15">
        <f t="shared" si="18"/>
        <v>6.6738416666666467E-2</v>
      </c>
      <c r="Z61" s="15">
        <f t="shared" si="7"/>
        <v>0.10491333333332875</v>
      </c>
      <c r="AA61" s="15">
        <f t="shared" si="7"/>
        <v>1.8523000000000067E-2</v>
      </c>
      <c r="AB61" s="16">
        <f t="shared" si="7"/>
        <v>3.2419250000000233E-2</v>
      </c>
      <c r="AC61" s="16">
        <f t="shared" si="7"/>
        <v>0</v>
      </c>
      <c r="AD61" s="16">
        <f t="shared" si="8"/>
        <v>6.7125249999999248E-2</v>
      </c>
      <c r="AE61" s="16">
        <f t="shared" si="8"/>
        <v>4.3793333333332463E-2</v>
      </c>
      <c r="AF61" s="17">
        <f t="shared" si="8"/>
        <v>3.4332833333333923E-2</v>
      </c>
      <c r="AG61" s="17">
        <f t="shared" si="8"/>
        <v>0.11258833333333307</v>
      </c>
      <c r="AH61" s="17">
        <f t="shared" si="9"/>
        <v>9.1021750000000345E-2</v>
      </c>
      <c r="AI61" s="17">
        <f t="shared" si="9"/>
        <v>5.084166666666512E-2</v>
      </c>
      <c r="AK61" s="5">
        <v>11</v>
      </c>
      <c r="AL61" s="57">
        <f t="shared" si="5"/>
        <v>1.7166250000002492E-3</v>
      </c>
      <c r="AM61">
        <f t="shared" si="2"/>
        <v>6.3391583333331766E-2</v>
      </c>
      <c r="AN61">
        <f t="shared" si="3"/>
        <v>3.5834458333332986E-2</v>
      </c>
      <c r="AO61">
        <f t="shared" si="4"/>
        <v>7.2196145833333114E-2</v>
      </c>
      <c r="AQ61">
        <v>5</v>
      </c>
      <c r="AR61">
        <v>8.501489583333216E-3</v>
      </c>
      <c r="AS61">
        <v>0.10013052777777773</v>
      </c>
      <c r="AT61">
        <v>1.7984489583333346E-2</v>
      </c>
      <c r="AU61">
        <v>9.1052765624999671E-2</v>
      </c>
      <c r="AW61">
        <v>5</v>
      </c>
      <c r="AX61">
        <v>4.691105338346665E-3</v>
      </c>
      <c r="AY61">
        <v>4.2087589593578029E-2</v>
      </c>
      <c r="AZ61">
        <v>5.9502405627923421E-3</v>
      </c>
      <c r="BA61">
        <v>2.7185002603656246E-2</v>
      </c>
      <c r="BD61" s="69">
        <v>5</v>
      </c>
      <c r="BE61">
        <v>8.501489583333216E-3</v>
      </c>
      <c r="BF61">
        <v>0.10013052777777773</v>
      </c>
      <c r="BI61" s="69">
        <v>5</v>
      </c>
      <c r="BJ61">
        <v>1.7984489583333346E-2</v>
      </c>
      <c r="BK61">
        <v>9.1052765624999671E-2</v>
      </c>
    </row>
    <row r="62" spans="2:64" x14ac:dyDescent="0.2">
      <c r="B62" s="45">
        <v>12</v>
      </c>
      <c r="C62" s="14">
        <v>5.5899779166666663</v>
      </c>
      <c r="D62" s="14">
        <v>5.988993999999999</v>
      </c>
      <c r="E62" s="14">
        <v>4.5651360000000007</v>
      </c>
      <c r="F62" s="14">
        <v>3.7451865833333335</v>
      </c>
      <c r="G62" s="15">
        <v>5.65656275</v>
      </c>
      <c r="H62" s="15">
        <v>13.052909999999999</v>
      </c>
      <c r="I62" s="15">
        <v>5.8524960000000013</v>
      </c>
      <c r="J62" s="16">
        <v>4.8648090000000002</v>
      </c>
      <c r="K62" s="16">
        <v>7.3772110000000017</v>
      </c>
      <c r="L62" s="16">
        <v>7.8094291666666669</v>
      </c>
      <c r="M62" s="16">
        <v>4.2611879999999989</v>
      </c>
      <c r="N62" s="17">
        <v>8.4030515000000001</v>
      </c>
      <c r="O62" s="17">
        <v>9.4432282500000007</v>
      </c>
      <c r="P62" s="17">
        <v>5.339541333333333</v>
      </c>
      <c r="Q62" s="17">
        <v>10.978232500000003</v>
      </c>
      <c r="T62" s="45">
        <v>12</v>
      </c>
      <c r="U62" s="14">
        <f t="shared" si="6"/>
        <v>6.8446666666659439E-3</v>
      </c>
      <c r="V62" s="14">
        <f t="shared" si="6"/>
        <v>0</v>
      </c>
      <c r="W62" s="14">
        <f t="shared" si="6"/>
        <v>0</v>
      </c>
      <c r="X62" s="14">
        <f t="shared" si="6"/>
        <v>5.3195833333345988E-3</v>
      </c>
      <c r="Y62" s="15">
        <f t="shared" si="18"/>
        <v>2.2829583333334291E-2</v>
      </c>
      <c r="Z62" s="15">
        <f t="shared" si="7"/>
        <v>1.7496666666668048E-2</v>
      </c>
      <c r="AA62" s="15">
        <f t="shared" si="7"/>
        <v>6.0692500000012473E-3</v>
      </c>
      <c r="AB62" s="16">
        <f t="shared" si="7"/>
        <v>5.4325833333326301E-3</v>
      </c>
      <c r="AC62" s="16">
        <f t="shared" si="7"/>
        <v>0</v>
      </c>
      <c r="AD62" s="16">
        <f t="shared" si="8"/>
        <v>9.4413750000000185E-2</v>
      </c>
      <c r="AE62" s="16">
        <f t="shared" si="8"/>
        <v>7.7639999999998821E-3</v>
      </c>
      <c r="AF62" s="17">
        <f t="shared" si="8"/>
        <v>3.4332166666667163E-2</v>
      </c>
      <c r="AG62" s="17">
        <f t="shared" si="8"/>
        <v>8.3461750000001445E-2</v>
      </c>
      <c r="AH62" s="17">
        <f t="shared" si="9"/>
        <v>0.15580358333333333</v>
      </c>
      <c r="AI62" s="17">
        <f t="shared" si="9"/>
        <v>4.7190833333337068E-2</v>
      </c>
      <c r="AK62" s="5">
        <v>12</v>
      </c>
      <c r="AL62" s="57">
        <f t="shared" si="5"/>
        <v>3.0410625000001357E-3</v>
      </c>
      <c r="AM62">
        <f t="shared" si="2"/>
        <v>1.5465166666667862E-2</v>
      </c>
      <c r="AN62">
        <f t="shared" si="3"/>
        <v>2.6902583333333174E-2</v>
      </c>
      <c r="AO62">
        <f t="shared" si="4"/>
        <v>8.0197083333334751E-2</v>
      </c>
      <c r="AQ62">
        <v>6</v>
      </c>
      <c r="AR62">
        <v>7.6194635416665379E-3</v>
      </c>
      <c r="AS62">
        <v>7.9428395833333276E-2</v>
      </c>
      <c r="AT62">
        <v>1.7340598958333425E-2</v>
      </c>
      <c r="AU62">
        <v>0.11183265104166679</v>
      </c>
      <c r="AW62">
        <v>6</v>
      </c>
      <c r="AX62">
        <v>3.3298939384790939E-3</v>
      </c>
      <c r="AY62">
        <v>1.8830624485722643E-2</v>
      </c>
      <c r="AZ62">
        <v>5.5518716403798992E-3</v>
      </c>
      <c r="BA62">
        <v>3.0881646179511536E-2</v>
      </c>
      <c r="BD62" s="69">
        <v>6</v>
      </c>
      <c r="BE62">
        <v>7.6194635416665379E-3</v>
      </c>
      <c r="BF62">
        <v>7.9428395833333276E-2</v>
      </c>
      <c r="BI62" s="69">
        <v>6</v>
      </c>
      <c r="BJ62">
        <v>1.7340598958333425E-2</v>
      </c>
      <c r="BK62">
        <v>0.11183265104166679</v>
      </c>
    </row>
    <row r="63" spans="2:64" x14ac:dyDescent="0.2">
      <c r="B63" s="45">
        <v>13</v>
      </c>
      <c r="C63" s="14">
        <v>5.5996279166666669</v>
      </c>
      <c r="D63" s="14">
        <v>5.988993999999999</v>
      </c>
      <c r="E63" s="14">
        <v>4.5651360000000007</v>
      </c>
      <c r="F63" s="14">
        <v>3.7642330833333335</v>
      </c>
      <c r="G63" s="15">
        <v>5.6840285833333333</v>
      </c>
      <c r="H63" s="15">
        <v>13.052909999999999</v>
      </c>
      <c r="I63" s="15">
        <v>5.8524960000000013</v>
      </c>
      <c r="J63" s="16">
        <v>4.8648090000000002</v>
      </c>
      <c r="K63" s="16">
        <v>7.4185885833333343</v>
      </c>
      <c r="L63" s="16">
        <v>7.8833952500000022</v>
      </c>
      <c r="M63" s="16">
        <v>4.2611879999999989</v>
      </c>
      <c r="N63" s="17">
        <v>8.4373834999999993</v>
      </c>
      <c r="O63" s="17">
        <v>9.5335555833333334</v>
      </c>
      <c r="P63" s="17">
        <v>5.3878839999999997</v>
      </c>
      <c r="Q63" s="17">
        <v>11.032807499999999</v>
      </c>
      <c r="T63" s="45">
        <v>13</v>
      </c>
      <c r="U63" s="14">
        <f t="shared" si="6"/>
        <v>9.6500000000006025E-3</v>
      </c>
      <c r="V63" s="14">
        <f t="shared" si="6"/>
        <v>0</v>
      </c>
      <c r="W63" s="14">
        <f t="shared" si="6"/>
        <v>0</v>
      </c>
      <c r="X63" s="14">
        <f t="shared" si="6"/>
        <v>1.9046499999999966E-2</v>
      </c>
      <c r="Y63" s="15">
        <f t="shared" si="18"/>
        <v>2.74658333333333E-2</v>
      </c>
      <c r="Z63" s="15">
        <f t="shared" si="7"/>
        <v>0</v>
      </c>
      <c r="AA63" s="15">
        <f t="shared" si="7"/>
        <v>0</v>
      </c>
      <c r="AB63" s="16">
        <f t="shared" si="7"/>
        <v>0</v>
      </c>
      <c r="AC63" s="16">
        <f t="shared" si="7"/>
        <v>4.1377583333332524E-2</v>
      </c>
      <c r="AD63" s="16">
        <f t="shared" si="8"/>
        <v>7.396608333333532E-2</v>
      </c>
      <c r="AE63" s="16">
        <f t="shared" si="8"/>
        <v>0</v>
      </c>
      <c r="AF63" s="17">
        <f t="shared" si="8"/>
        <v>3.4331999999999141E-2</v>
      </c>
      <c r="AG63" s="17">
        <f t="shared" si="8"/>
        <v>9.032733333333276E-2</v>
      </c>
      <c r="AH63" s="17">
        <f t="shared" si="9"/>
        <v>4.8342666666666645E-2</v>
      </c>
      <c r="AI63" s="17">
        <f t="shared" si="9"/>
        <v>5.4574999999996265E-2</v>
      </c>
      <c r="AK63" s="5">
        <v>13</v>
      </c>
      <c r="AL63" s="57">
        <f t="shared" si="5"/>
        <v>7.1741250000001422E-3</v>
      </c>
      <c r="AM63">
        <f t="shared" si="2"/>
        <v>9.1552777777777674E-3</v>
      </c>
      <c r="AN63">
        <f t="shared" si="3"/>
        <v>2.8835916666666961E-2</v>
      </c>
      <c r="AO63">
        <f t="shared" si="4"/>
        <v>5.6894249999998703E-2</v>
      </c>
      <c r="AQ63">
        <v>7</v>
      </c>
      <c r="AR63">
        <v>9.8871718750002113E-3</v>
      </c>
      <c r="AS63">
        <v>9.6671888888888724E-2</v>
      </c>
      <c r="AT63">
        <v>1.8115197916666492E-2</v>
      </c>
      <c r="AU63">
        <v>9.1775427083333472E-2</v>
      </c>
      <c r="AW63">
        <v>7</v>
      </c>
      <c r="AX63">
        <v>2.2659511993361908E-3</v>
      </c>
      <c r="AY63">
        <v>1.5985816312897149E-2</v>
      </c>
      <c r="AZ63">
        <v>5.5890625858397514E-3</v>
      </c>
      <c r="BA63">
        <v>2.5639802097586602E-2</v>
      </c>
      <c r="BD63" s="69">
        <v>7</v>
      </c>
      <c r="BE63">
        <v>9.8871718750002113E-3</v>
      </c>
      <c r="BF63">
        <v>9.6671888888888724E-2</v>
      </c>
      <c r="BI63" s="69">
        <v>7</v>
      </c>
      <c r="BJ63">
        <v>1.8115197916666492E-2</v>
      </c>
      <c r="BK63">
        <v>9.1775427083333472E-2</v>
      </c>
    </row>
    <row r="64" spans="2:64" x14ac:dyDescent="0.2">
      <c r="B64" s="45">
        <v>14</v>
      </c>
      <c r="C64" s="14">
        <v>5.6229105833333337</v>
      </c>
      <c r="D64" s="14">
        <v>5.9955818333333326</v>
      </c>
      <c r="E64" s="14">
        <v>4.5651360000000007</v>
      </c>
      <c r="F64" s="14">
        <v>3.7839741666666669</v>
      </c>
      <c r="G64" s="15">
        <v>5.7010427499999992</v>
      </c>
      <c r="H64" s="15">
        <v>13.079298333333334</v>
      </c>
      <c r="I64" s="15">
        <v>5.8524960000000013</v>
      </c>
      <c r="J64" s="16">
        <v>4.8648090000000002</v>
      </c>
      <c r="K64" s="16">
        <v>7.5525161666666669</v>
      </c>
      <c r="L64" s="16">
        <v>7.8889070000000023</v>
      </c>
      <c r="M64" s="16">
        <v>4.2611879999999989</v>
      </c>
      <c r="N64" s="17">
        <v>8.4717157499999995</v>
      </c>
      <c r="O64" s="17">
        <v>9.5740784999999988</v>
      </c>
      <c r="P64" s="17">
        <v>5.3878839999999997</v>
      </c>
      <c r="Q64" s="17">
        <v>11.133672499999998</v>
      </c>
      <c r="T64" s="45">
        <v>14</v>
      </c>
      <c r="U64" s="14">
        <f t="shared" si="6"/>
        <v>2.3282666666666785E-2</v>
      </c>
      <c r="V64" s="14">
        <f t="shared" si="6"/>
        <v>6.5878333333335704E-3</v>
      </c>
      <c r="W64" s="14">
        <f t="shared" si="6"/>
        <v>0</v>
      </c>
      <c r="X64" s="14">
        <f t="shared" si="6"/>
        <v>1.9741083333333354E-2</v>
      </c>
      <c r="Y64" s="15">
        <f t="shared" si="18"/>
        <v>1.7014166666665886E-2</v>
      </c>
      <c r="Z64" s="15">
        <f t="shared" si="7"/>
        <v>2.6388333333335012E-2</v>
      </c>
      <c r="AA64" s="15">
        <f t="shared" si="7"/>
        <v>0</v>
      </c>
      <c r="AB64" s="16">
        <f t="shared" si="7"/>
        <v>0</v>
      </c>
      <c r="AC64" s="16">
        <f t="shared" si="7"/>
        <v>0.13392758333333266</v>
      </c>
      <c r="AD64" s="16">
        <f t="shared" si="8"/>
        <v>5.5117500000001485E-3</v>
      </c>
      <c r="AE64" s="16">
        <f t="shared" si="8"/>
        <v>0</v>
      </c>
      <c r="AF64" s="17">
        <f t="shared" si="8"/>
        <v>3.4332250000000286E-2</v>
      </c>
      <c r="AG64" s="17">
        <f t="shared" si="8"/>
        <v>4.0522916666665409E-2</v>
      </c>
      <c r="AH64" s="17">
        <f t="shared" si="9"/>
        <v>0</v>
      </c>
      <c r="AI64" s="17">
        <f t="shared" si="9"/>
        <v>0.10086499999999887</v>
      </c>
      <c r="AK64" s="5">
        <v>14</v>
      </c>
      <c r="AL64" s="57">
        <f t="shared" si="5"/>
        <v>1.2402895833333427E-2</v>
      </c>
      <c r="AM64">
        <f t="shared" si="2"/>
        <v>1.44675000000003E-2</v>
      </c>
      <c r="AN64">
        <f t="shared" si="3"/>
        <v>3.4859833333333201E-2</v>
      </c>
      <c r="AO64">
        <f t="shared" si="4"/>
        <v>4.3930041666666142E-2</v>
      </c>
      <c r="AQ64">
        <v>8</v>
      </c>
      <c r="AR64">
        <v>1.4753729166666604E-2</v>
      </c>
      <c r="AS64">
        <v>8.4850868055556194E-2</v>
      </c>
      <c r="AT64">
        <v>1.9349682291666476E-2</v>
      </c>
      <c r="AU64">
        <v>9.4321510416666837E-2</v>
      </c>
      <c r="AW64">
        <v>8</v>
      </c>
      <c r="AX64">
        <v>7.2079064326611491E-3</v>
      </c>
      <c r="AY64">
        <v>6.9881268463295679E-3</v>
      </c>
      <c r="AZ64">
        <v>6.9389526532520245E-3</v>
      </c>
      <c r="BA64">
        <v>4.0687779560602551E-2</v>
      </c>
      <c r="BD64" s="69">
        <v>8</v>
      </c>
      <c r="BE64">
        <v>1.4753729166666604E-2</v>
      </c>
      <c r="BF64">
        <v>8.4850868055556194E-2</v>
      </c>
      <c r="BI64" s="69">
        <v>8</v>
      </c>
      <c r="BJ64">
        <v>1.9349682291666476E-2</v>
      </c>
      <c r="BK64">
        <v>9.4321510416666837E-2</v>
      </c>
    </row>
    <row r="65" spans="2:63" x14ac:dyDescent="0.2">
      <c r="B65" s="45">
        <v>15</v>
      </c>
      <c r="C65" s="14">
        <v>5.6812231666666664</v>
      </c>
      <c r="D65" s="14">
        <v>6.2458153333333328</v>
      </c>
      <c r="E65" s="14">
        <v>4.5755004999999995</v>
      </c>
      <c r="F65" s="14">
        <v>3.8037152499999998</v>
      </c>
      <c r="G65" s="15">
        <v>5.7154575833333334</v>
      </c>
      <c r="H65" s="15">
        <v>13.138196666666666</v>
      </c>
      <c r="I65" s="15">
        <v>5.8524960000000013</v>
      </c>
      <c r="J65" s="16">
        <v>4.8648090000000002</v>
      </c>
      <c r="K65" s="16">
        <v>7.9018804999999999</v>
      </c>
      <c r="L65" s="16">
        <v>7.8889070000000023</v>
      </c>
      <c r="M65" s="16">
        <v>4.2611879999999989</v>
      </c>
      <c r="N65" s="17">
        <v>8.5239584166666678</v>
      </c>
      <c r="O65" s="17">
        <v>9.5946779166666651</v>
      </c>
      <c r="P65" s="17">
        <v>5.3878839999999997</v>
      </c>
      <c r="Q65" s="17">
        <v>11.240102500000001</v>
      </c>
      <c r="T65" s="45">
        <v>15</v>
      </c>
      <c r="U65" s="14">
        <f t="shared" si="6"/>
        <v>5.8312583333332668E-2</v>
      </c>
      <c r="V65" s="14">
        <f t="shared" si="6"/>
        <v>0.25023350000000022</v>
      </c>
      <c r="W65" s="14">
        <f t="shared" si="6"/>
        <v>1.0364499999998777E-2</v>
      </c>
      <c r="X65" s="14">
        <f t="shared" si="6"/>
        <v>1.9741083333332909E-2</v>
      </c>
      <c r="Y65" s="15">
        <f t="shared" si="18"/>
        <v>1.4414833333334265E-2</v>
      </c>
      <c r="Z65" s="15">
        <f t="shared" si="7"/>
        <v>5.889833333333172E-2</v>
      </c>
      <c r="AA65" s="15">
        <f t="shared" si="7"/>
        <v>0</v>
      </c>
      <c r="AB65" s="16">
        <f t="shared" si="7"/>
        <v>0</v>
      </c>
      <c r="AC65" s="16">
        <f t="shared" si="7"/>
        <v>0.34936433333333294</v>
      </c>
      <c r="AD65" s="16">
        <f t="shared" si="8"/>
        <v>0</v>
      </c>
      <c r="AE65" s="16">
        <f t="shared" si="8"/>
        <v>0</v>
      </c>
      <c r="AF65" s="17">
        <f t="shared" si="8"/>
        <v>5.2242666666668214E-2</v>
      </c>
      <c r="AG65" s="17">
        <f t="shared" si="8"/>
        <v>2.0599416666666315E-2</v>
      </c>
      <c r="AH65" s="17">
        <f t="shared" si="9"/>
        <v>0</v>
      </c>
      <c r="AI65" s="17">
        <f t="shared" si="9"/>
        <v>0.10643000000000313</v>
      </c>
      <c r="AK65" s="5">
        <v>15</v>
      </c>
      <c r="AL65" s="57">
        <f t="shared" si="5"/>
        <v>8.4662916666666144E-2</v>
      </c>
      <c r="AM65">
        <f t="shared" si="2"/>
        <v>2.4437722222221996E-2</v>
      </c>
      <c r="AN65">
        <f t="shared" si="3"/>
        <v>8.7341083333333236E-2</v>
      </c>
      <c r="AO65">
        <f t="shared" si="4"/>
        <v>4.4818020833334415E-2</v>
      </c>
      <c r="AQ65">
        <v>9</v>
      </c>
      <c r="AR65">
        <v>1.7035463541666407E-2</v>
      </c>
      <c r="AS65">
        <v>7.6903118055555358E-2</v>
      </c>
      <c r="AT65">
        <v>3.4631916666666623E-2</v>
      </c>
      <c r="AU65">
        <v>0.11997707291666646</v>
      </c>
      <c r="AW65">
        <v>9</v>
      </c>
      <c r="AX65">
        <v>8.7883634464319908E-3</v>
      </c>
      <c r="AY65">
        <v>1.1820503651609714E-2</v>
      </c>
      <c r="AZ65">
        <v>2.2103632080694588E-2</v>
      </c>
      <c r="BA65">
        <v>2.6222774987427828E-2</v>
      </c>
      <c r="BD65" s="69">
        <v>9</v>
      </c>
      <c r="BE65">
        <v>1.7035463541666407E-2</v>
      </c>
      <c r="BF65">
        <v>7.6903118055555358E-2</v>
      </c>
      <c r="BI65" s="69">
        <v>9</v>
      </c>
      <c r="BJ65">
        <v>3.4631916666666623E-2</v>
      </c>
      <c r="BK65">
        <v>0.11997707291666646</v>
      </c>
    </row>
    <row r="66" spans="2:63" x14ac:dyDescent="0.2">
      <c r="B66" s="45">
        <v>16</v>
      </c>
      <c r="C66" s="14">
        <v>5.7643525000000002</v>
      </c>
      <c r="D66" s="14">
        <v>6.6181739166666667</v>
      </c>
      <c r="E66" s="14">
        <v>4.6193065833333327</v>
      </c>
      <c r="F66" s="14">
        <v>3.8232855833333339</v>
      </c>
      <c r="G66" s="15">
        <v>5.7542495833333343</v>
      </c>
      <c r="H66" s="15">
        <v>13.162275000000001</v>
      </c>
      <c r="I66" s="15">
        <v>5.8524960000000013</v>
      </c>
      <c r="J66" s="16">
        <v>4.8648090000000002</v>
      </c>
      <c r="K66" s="16">
        <v>8.1229264166666635</v>
      </c>
      <c r="L66" s="16">
        <v>7.8895030833333353</v>
      </c>
      <c r="M66" s="16">
        <v>4.2611879999999989</v>
      </c>
      <c r="N66" s="17">
        <v>8.6593900000000019</v>
      </c>
      <c r="O66" s="17">
        <v>9.6152773333333332</v>
      </c>
      <c r="P66" s="17">
        <v>5.4352185000000004</v>
      </c>
      <c r="Q66" s="17">
        <v>11.346532500000002</v>
      </c>
      <c r="T66" s="45">
        <v>16</v>
      </c>
      <c r="U66" s="14">
        <f t="shared" si="6"/>
        <v>8.3129333333333832E-2</v>
      </c>
      <c r="V66" s="14">
        <f t="shared" si="6"/>
        <v>0.37235858333333383</v>
      </c>
      <c r="W66" s="14">
        <f t="shared" si="6"/>
        <v>4.3806083333333135E-2</v>
      </c>
      <c r="X66" s="14">
        <f t="shared" si="6"/>
        <v>1.9570333333334133E-2</v>
      </c>
      <c r="Y66" s="15">
        <f t="shared" si="18"/>
        <v>3.8792000000000826E-2</v>
      </c>
      <c r="Z66" s="15">
        <f t="shared" si="7"/>
        <v>2.4078333333335422E-2</v>
      </c>
      <c r="AA66" s="15">
        <f t="shared" si="7"/>
        <v>0</v>
      </c>
      <c r="AB66" s="16">
        <f t="shared" si="7"/>
        <v>0</v>
      </c>
      <c r="AC66" s="16">
        <f t="shared" si="7"/>
        <v>0.22104591666666362</v>
      </c>
      <c r="AD66" s="16">
        <f t="shared" si="8"/>
        <v>5.9608333333294183E-4</v>
      </c>
      <c r="AE66" s="16">
        <f t="shared" si="8"/>
        <v>0</v>
      </c>
      <c r="AF66" s="17">
        <f t="shared" si="8"/>
        <v>0.13543158333333416</v>
      </c>
      <c r="AG66" s="17">
        <f t="shared" si="8"/>
        <v>2.0599416666668091E-2</v>
      </c>
      <c r="AH66" s="17">
        <f t="shared" si="9"/>
        <v>4.7334500000000723E-2</v>
      </c>
      <c r="AI66" s="17">
        <f t="shared" si="9"/>
        <v>0.10643000000000136</v>
      </c>
      <c r="AK66" s="5">
        <v>16</v>
      </c>
      <c r="AL66" s="57">
        <f t="shared" si="5"/>
        <v>0.12971608333333373</v>
      </c>
      <c r="AM66">
        <f t="shared" si="2"/>
        <v>2.095677777777875E-2</v>
      </c>
      <c r="AN66">
        <f t="shared" si="3"/>
        <v>5.5410499999999141E-2</v>
      </c>
      <c r="AO66">
        <f t="shared" si="4"/>
        <v>7.7448875000001083E-2</v>
      </c>
      <c r="AQ66">
        <v>10</v>
      </c>
      <c r="AR66">
        <v>2.3498838541666803E-2</v>
      </c>
      <c r="AS66">
        <v>3.3319576388888786E-2</v>
      </c>
      <c r="AT66">
        <v>2.9074468750000471E-2</v>
      </c>
      <c r="AU66">
        <v>9.6252197916666504E-2</v>
      </c>
      <c r="AW66">
        <v>10</v>
      </c>
      <c r="AX66">
        <v>1.2569193586012658E-2</v>
      </c>
      <c r="AY66">
        <v>7.6035392520494632E-3</v>
      </c>
      <c r="AZ66">
        <v>1.201228033634209E-2</v>
      </c>
      <c r="BA66">
        <v>3.1941042012423947E-2</v>
      </c>
      <c r="BD66" s="69">
        <v>10</v>
      </c>
      <c r="BE66">
        <v>2.3498838541666803E-2</v>
      </c>
      <c r="BF66">
        <v>3.3319576388888786E-2</v>
      </c>
      <c r="BI66" s="69">
        <v>10</v>
      </c>
      <c r="BJ66">
        <v>2.9074468750000471E-2</v>
      </c>
      <c r="BK66">
        <v>9.6252197916666504E-2</v>
      </c>
    </row>
    <row r="67" spans="2:63" x14ac:dyDescent="0.2">
      <c r="B67" s="45">
        <v>17</v>
      </c>
      <c r="C67" s="14">
        <v>5.8484664999999998</v>
      </c>
      <c r="D67" s="14">
        <v>6.8500135000000002</v>
      </c>
      <c r="E67" s="14">
        <v>4.6656550833333332</v>
      </c>
      <c r="F67" s="14">
        <v>3.8563628333333333</v>
      </c>
      <c r="G67" s="15">
        <v>5.7937316666666669</v>
      </c>
      <c r="H67" s="15">
        <v>13.1863075</v>
      </c>
      <c r="I67" s="15">
        <v>5.8524960000000013</v>
      </c>
      <c r="J67" s="16">
        <v>4.8648090000000002</v>
      </c>
      <c r="K67" s="16">
        <v>8.169188916666668</v>
      </c>
      <c r="L67" s="16">
        <v>7.9639003333333322</v>
      </c>
      <c r="M67" s="16">
        <v>4.2955034166666666</v>
      </c>
      <c r="N67" s="17">
        <v>8.6715250000000008</v>
      </c>
      <c r="O67" s="17">
        <v>9.635599083333334</v>
      </c>
      <c r="P67" s="17">
        <v>5.5347818333333327</v>
      </c>
      <c r="Q67" s="17">
        <v>11.4529625</v>
      </c>
      <c r="T67" s="45">
        <v>17</v>
      </c>
      <c r="U67" s="14">
        <f t="shared" si="6"/>
        <v>8.4113999999999578E-2</v>
      </c>
      <c r="V67" s="14">
        <f t="shared" si="6"/>
        <v>0.23183958333333354</v>
      </c>
      <c r="W67" s="14">
        <f t="shared" si="6"/>
        <v>4.634850000000057E-2</v>
      </c>
      <c r="X67" s="14">
        <f t="shared" si="6"/>
        <v>3.3077249999999392E-2</v>
      </c>
      <c r="Y67" s="15">
        <f t="shared" si="18"/>
        <v>3.9482083333332696E-2</v>
      </c>
      <c r="Z67" s="15">
        <f t="shared" si="7"/>
        <v>2.4032499999998791E-2</v>
      </c>
      <c r="AA67" s="15">
        <f t="shared" si="7"/>
        <v>0</v>
      </c>
      <c r="AB67" s="16">
        <f t="shared" si="7"/>
        <v>0</v>
      </c>
      <c r="AC67" s="16">
        <f t="shared" si="7"/>
        <v>4.6262500000004536E-2</v>
      </c>
      <c r="AD67" s="16">
        <f t="shared" si="8"/>
        <v>7.4397249999996973E-2</v>
      </c>
      <c r="AE67" s="16">
        <f t="shared" si="8"/>
        <v>3.4315416666667709E-2</v>
      </c>
      <c r="AF67" s="17">
        <f t="shared" si="8"/>
        <v>1.2134999999998897E-2</v>
      </c>
      <c r="AG67" s="17">
        <f t="shared" si="8"/>
        <v>2.0321750000000804E-2</v>
      </c>
      <c r="AH67" s="17">
        <f t="shared" si="9"/>
        <v>9.9563333333332338E-2</v>
      </c>
      <c r="AI67" s="17">
        <f t="shared" si="9"/>
        <v>0.1064299999999978</v>
      </c>
      <c r="AK67" s="5">
        <v>17</v>
      </c>
      <c r="AL67" s="57">
        <f t="shared" ref="AL67:AL98" si="19">AVERAGE(U67:X67)</f>
        <v>9.8844833333333271E-2</v>
      </c>
      <c r="AM67">
        <f t="shared" ref="AM67:AM98" si="20">AVERAGE(Y67:AA67)</f>
        <v>2.1171527777777161E-2</v>
      </c>
      <c r="AN67">
        <f t="shared" ref="AN67:AN97" si="21">AVERAGE(AB67:AE67)</f>
        <v>3.8743791666667304E-2</v>
      </c>
      <c r="AO67">
        <f t="shared" ref="AO67:AO98" si="22">AVERAGE(AF67:AI67)</f>
        <v>5.9612520833332461E-2</v>
      </c>
      <c r="AQ67">
        <v>11</v>
      </c>
      <c r="AR67">
        <v>2.4263317708333371E-2</v>
      </c>
      <c r="AS67">
        <v>6.6019673611110816E-2</v>
      </c>
      <c r="AT67">
        <v>2.1541786458333212E-2</v>
      </c>
      <c r="AU67">
        <v>5.7873104166666217E-2</v>
      </c>
      <c r="AW67">
        <v>11</v>
      </c>
      <c r="AX67">
        <v>1.4123079642664706E-2</v>
      </c>
      <c r="AY67">
        <v>3.345738599086906E-2</v>
      </c>
      <c r="AZ67">
        <v>1.0314756191423545E-2</v>
      </c>
      <c r="BA67">
        <v>1.9996023656987216E-2</v>
      </c>
      <c r="BD67" s="69">
        <v>11</v>
      </c>
      <c r="BE67">
        <v>2.4263317708333371E-2</v>
      </c>
      <c r="BF67">
        <v>6.6019673611110816E-2</v>
      </c>
      <c r="BI67" s="69">
        <v>11</v>
      </c>
      <c r="BJ67">
        <v>2.1541786458333212E-2</v>
      </c>
      <c r="BK67">
        <v>5.7873104166666217E-2</v>
      </c>
    </row>
    <row r="68" spans="2:63" x14ac:dyDescent="0.2">
      <c r="B68" s="45">
        <v>18</v>
      </c>
      <c r="C68" s="14">
        <v>5.9233206666666662</v>
      </c>
      <c r="D68" s="14">
        <v>6.9856264166666664</v>
      </c>
      <c r="E68" s="14">
        <v>4.7120037499999992</v>
      </c>
      <c r="F68" s="14">
        <v>3.9915570833333334</v>
      </c>
      <c r="G68" s="15">
        <v>5.8332138333333345</v>
      </c>
      <c r="H68" s="15">
        <v>13.210340833333333</v>
      </c>
      <c r="I68" s="15">
        <v>5.8542744166666667</v>
      </c>
      <c r="J68" s="16">
        <v>4.8648090000000002</v>
      </c>
      <c r="K68" s="16">
        <v>8.1717830000000014</v>
      </c>
      <c r="L68" s="16">
        <v>8.0880279166666664</v>
      </c>
      <c r="M68" s="16">
        <v>4.5654240000000001</v>
      </c>
      <c r="N68" s="17">
        <v>8.6715250000000008</v>
      </c>
      <c r="O68" s="17">
        <v>9.6550340833333319</v>
      </c>
      <c r="P68" s="17">
        <v>5.6343454999999993</v>
      </c>
      <c r="Q68" s="17">
        <v>11.559393333333333</v>
      </c>
      <c r="T68" s="45">
        <v>18</v>
      </c>
      <c r="U68" s="14">
        <f t="shared" si="6"/>
        <v>7.4854166666666444E-2</v>
      </c>
      <c r="V68" s="14">
        <f t="shared" si="6"/>
        <v>0.13561291666666619</v>
      </c>
      <c r="W68" s="14">
        <f t="shared" si="6"/>
        <v>4.6348666666665927E-2</v>
      </c>
      <c r="X68" s="14">
        <f t="shared" si="6"/>
        <v>0.13519425000000007</v>
      </c>
      <c r="Y68" s="15">
        <f t="shared" si="18"/>
        <v>3.9482166666667595E-2</v>
      </c>
      <c r="Z68" s="15">
        <f t="shared" si="7"/>
        <v>2.4033333333333573E-2</v>
      </c>
      <c r="AA68" s="15">
        <f t="shared" si="7"/>
        <v>1.77841666666545E-3</v>
      </c>
      <c r="AB68" s="16">
        <f t="shared" si="7"/>
        <v>0</v>
      </c>
      <c r="AC68" s="16">
        <f t="shared" si="7"/>
        <v>2.5940833333333302E-3</v>
      </c>
      <c r="AD68" s="16">
        <f t="shared" si="8"/>
        <v>0.12412758333333418</v>
      </c>
      <c r="AE68" s="16">
        <f t="shared" si="8"/>
        <v>0.26992058333333357</v>
      </c>
      <c r="AF68" s="17">
        <f t="shared" si="8"/>
        <v>0</v>
      </c>
      <c r="AG68" s="17">
        <f t="shared" si="8"/>
        <v>1.9434999999997871E-2</v>
      </c>
      <c r="AH68" s="17">
        <f t="shared" si="9"/>
        <v>9.9563666666666606E-2</v>
      </c>
      <c r="AI68" s="17">
        <f t="shared" si="9"/>
        <v>0.10643083333333259</v>
      </c>
      <c r="AK68" s="5">
        <v>18</v>
      </c>
      <c r="AL68" s="57">
        <f t="shared" si="19"/>
        <v>9.8002499999999659E-2</v>
      </c>
      <c r="AM68">
        <f t="shared" si="20"/>
        <v>2.1764638888888872E-2</v>
      </c>
      <c r="AN68">
        <f t="shared" si="21"/>
        <v>9.9160562500000271E-2</v>
      </c>
      <c r="AO68">
        <f t="shared" si="22"/>
        <v>5.6357374999999266E-2</v>
      </c>
      <c r="AQ68">
        <v>12</v>
      </c>
      <c r="AR68">
        <v>2.0737781250000017E-2</v>
      </c>
      <c r="AS68">
        <v>6.0614354166666974E-2</v>
      </c>
      <c r="AT68">
        <v>2.0930786458333295E-2</v>
      </c>
      <c r="AU68">
        <v>6.1987557291667467E-2</v>
      </c>
      <c r="AW68">
        <v>12</v>
      </c>
      <c r="AX68">
        <v>7.3517292319596125E-3</v>
      </c>
      <c r="AY68">
        <v>3.9257994705128751E-2</v>
      </c>
      <c r="AZ68">
        <v>8.0192222256035856E-3</v>
      </c>
      <c r="BA68">
        <v>1.6807312027092881E-2</v>
      </c>
      <c r="BD68" s="69">
        <v>12</v>
      </c>
      <c r="BE68">
        <v>2.0737781250000017E-2</v>
      </c>
      <c r="BF68">
        <v>6.0614354166666974E-2</v>
      </c>
      <c r="BI68" s="69">
        <v>12</v>
      </c>
      <c r="BJ68">
        <v>2.0930786458333295E-2</v>
      </c>
      <c r="BK68">
        <v>6.1987557291667467E-2</v>
      </c>
    </row>
    <row r="69" spans="2:63" x14ac:dyDescent="0.2">
      <c r="B69" s="45">
        <v>19</v>
      </c>
      <c r="C69" s="14">
        <v>5.9786643333333336</v>
      </c>
      <c r="D69" s="14">
        <v>7.0682860833333336</v>
      </c>
      <c r="E69" s="14">
        <v>4.7583522500000006</v>
      </c>
      <c r="F69" s="14">
        <v>4.2640485000000004</v>
      </c>
      <c r="G69" s="15">
        <v>5.8726959166666672</v>
      </c>
      <c r="H69" s="15">
        <v>13.234396666666667</v>
      </c>
      <c r="I69" s="15">
        <v>5.8663525833333336</v>
      </c>
      <c r="J69" s="16">
        <v>4.8648090000000002</v>
      </c>
      <c r="K69" s="16">
        <v>8.1717830000000014</v>
      </c>
      <c r="L69" s="16">
        <v>8.2116241666666667</v>
      </c>
      <c r="M69" s="16">
        <v>4.8795642499999996</v>
      </c>
      <c r="N69" s="17">
        <v>8.6715250000000008</v>
      </c>
      <c r="O69" s="17">
        <v>9.6780554166666679</v>
      </c>
      <c r="P69" s="17">
        <v>5.733909333333334</v>
      </c>
      <c r="Q69" s="17">
        <v>11.665823333333334</v>
      </c>
      <c r="T69" s="45">
        <v>19</v>
      </c>
      <c r="U69" s="14">
        <f t="shared" si="6"/>
        <v>5.5343666666667346E-2</v>
      </c>
      <c r="V69" s="14">
        <f t="shared" si="6"/>
        <v>8.2659666666667242E-2</v>
      </c>
      <c r="W69" s="14">
        <f t="shared" si="6"/>
        <v>4.6348500000001458E-2</v>
      </c>
      <c r="X69" s="14">
        <f t="shared" si="6"/>
        <v>0.27249141666666699</v>
      </c>
      <c r="Y69" s="15">
        <f t="shared" si="18"/>
        <v>3.9482083333332696E-2</v>
      </c>
      <c r="Z69" s="15">
        <f t="shared" si="7"/>
        <v>2.4055833333333609E-2</v>
      </c>
      <c r="AA69" s="15">
        <f t="shared" si="7"/>
        <v>1.2078166666666945E-2</v>
      </c>
      <c r="AB69" s="16">
        <f t="shared" si="7"/>
        <v>0</v>
      </c>
      <c r="AC69" s="16">
        <f t="shared" si="7"/>
        <v>0</v>
      </c>
      <c r="AD69" s="16">
        <f t="shared" si="8"/>
        <v>0.1235962500000003</v>
      </c>
      <c r="AE69" s="16">
        <f t="shared" si="8"/>
        <v>0.31414024999999945</v>
      </c>
      <c r="AF69" s="17">
        <f t="shared" si="8"/>
        <v>0</v>
      </c>
      <c r="AG69" s="17">
        <f t="shared" si="8"/>
        <v>2.3021333333336003E-2</v>
      </c>
      <c r="AH69" s="17">
        <f t="shared" si="9"/>
        <v>9.9563833333334628E-2</v>
      </c>
      <c r="AI69" s="17">
        <f t="shared" si="9"/>
        <v>0.10643000000000136</v>
      </c>
      <c r="AK69" s="5">
        <v>19</v>
      </c>
      <c r="AL69" s="57">
        <f t="shared" si="19"/>
        <v>0.11421081250000076</v>
      </c>
      <c r="AM69">
        <f t="shared" si="20"/>
        <v>2.5205361111111085E-2</v>
      </c>
      <c r="AN69">
        <f t="shared" si="21"/>
        <v>0.10943412499999994</v>
      </c>
      <c r="AO69">
        <f t="shared" si="22"/>
        <v>5.7253791666667997E-2</v>
      </c>
      <c r="AQ69">
        <v>13</v>
      </c>
      <c r="AR69">
        <v>2.2548682291666775E-2</v>
      </c>
      <c r="AS69">
        <v>1.7341652777778067E-2</v>
      </c>
      <c r="AT69">
        <v>2.4943479166666505E-2</v>
      </c>
      <c r="AU69">
        <v>6.5743604166665692E-2</v>
      </c>
      <c r="AW69">
        <v>13</v>
      </c>
      <c r="AX69">
        <v>6.4861058167026827E-3</v>
      </c>
      <c r="AY69">
        <v>7.6172089182849579E-3</v>
      </c>
      <c r="AZ69">
        <v>8.5449222507485954E-3</v>
      </c>
      <c r="BA69">
        <v>1.6225329599678415E-2</v>
      </c>
      <c r="BD69" s="69">
        <v>13</v>
      </c>
      <c r="BE69">
        <v>2.2548682291666775E-2</v>
      </c>
      <c r="BF69">
        <v>1.7341652777778067E-2</v>
      </c>
      <c r="BI69" s="69">
        <v>13</v>
      </c>
      <c r="BJ69">
        <v>2.4943479166666505E-2</v>
      </c>
      <c r="BK69">
        <v>6.5743604166665692E-2</v>
      </c>
    </row>
    <row r="70" spans="2:63" x14ac:dyDescent="0.2">
      <c r="B70" s="45">
        <v>20</v>
      </c>
      <c r="C70" s="14">
        <v>6.0322379166666655</v>
      </c>
      <c r="D70" s="14">
        <v>7.0878551666666665</v>
      </c>
      <c r="E70" s="14">
        <v>4.8232101666666667</v>
      </c>
      <c r="F70" s="14">
        <v>4.5404234166666662</v>
      </c>
      <c r="G70" s="15">
        <v>5.9121779999999999</v>
      </c>
      <c r="H70" s="15">
        <v>13.360859166666669</v>
      </c>
      <c r="I70" s="15">
        <v>5.8800854166666658</v>
      </c>
      <c r="J70" s="16">
        <v>4.8648090000000002</v>
      </c>
      <c r="K70" s="16">
        <v>8.1717830000000014</v>
      </c>
      <c r="L70" s="16">
        <v>8.3234289999999991</v>
      </c>
      <c r="M70" s="16">
        <v>5.1672644166666659</v>
      </c>
      <c r="N70" s="17">
        <v>8.6804085000000004</v>
      </c>
      <c r="O70" s="17">
        <v>9.7087325833333331</v>
      </c>
      <c r="P70" s="17">
        <v>5.8334724999999992</v>
      </c>
      <c r="Q70" s="17">
        <v>11.772253333333337</v>
      </c>
      <c r="T70" s="45">
        <v>20</v>
      </c>
      <c r="U70" s="14">
        <f t="shared" si="6"/>
        <v>5.3573583333331953E-2</v>
      </c>
      <c r="V70" s="14">
        <f t="shared" si="6"/>
        <v>1.9569083333332848E-2</v>
      </c>
      <c r="W70" s="14">
        <f t="shared" si="6"/>
        <v>6.4857916666666071E-2</v>
      </c>
      <c r="X70" s="14">
        <f t="shared" si="6"/>
        <v>0.2763749166666658</v>
      </c>
      <c r="Y70" s="15">
        <f t="shared" si="18"/>
        <v>3.9482083333332696E-2</v>
      </c>
      <c r="Z70" s="15">
        <f t="shared" si="7"/>
        <v>0.12646250000000236</v>
      </c>
      <c r="AA70" s="15">
        <f t="shared" si="7"/>
        <v>1.3732833333332195E-2</v>
      </c>
      <c r="AB70" s="16">
        <f t="shared" si="7"/>
        <v>0</v>
      </c>
      <c r="AC70" s="16">
        <f t="shared" si="7"/>
        <v>0</v>
      </c>
      <c r="AD70" s="16">
        <f t="shared" si="8"/>
        <v>0.11180483333333235</v>
      </c>
      <c r="AE70" s="16">
        <f t="shared" si="8"/>
        <v>0.28770016666666631</v>
      </c>
      <c r="AF70" s="17">
        <f t="shared" si="8"/>
        <v>8.8834999999996E-3</v>
      </c>
      <c r="AG70" s="17">
        <f t="shared" si="8"/>
        <v>3.0677166666665201E-2</v>
      </c>
      <c r="AH70" s="17">
        <f t="shared" si="9"/>
        <v>9.9563166666665204E-2</v>
      </c>
      <c r="AI70" s="17">
        <f t="shared" si="9"/>
        <v>0.10643000000000313</v>
      </c>
      <c r="AK70" s="5">
        <v>20</v>
      </c>
      <c r="AL70" s="57">
        <f t="shared" si="19"/>
        <v>0.10359387499999917</v>
      </c>
      <c r="AM70">
        <f t="shared" si="20"/>
        <v>5.9892472222222416E-2</v>
      </c>
      <c r="AN70">
        <f t="shared" si="21"/>
        <v>9.9876249999999667E-2</v>
      </c>
      <c r="AO70">
        <f t="shared" si="22"/>
        <v>6.1388458333333285E-2</v>
      </c>
      <c r="AQ70">
        <v>14</v>
      </c>
      <c r="AR70">
        <v>4.1221854166666461E-2</v>
      </c>
      <c r="AS70">
        <v>2.3772118055555198E-2</v>
      </c>
      <c r="AT70">
        <v>3.6932864583333336E-2</v>
      </c>
      <c r="AU70">
        <v>6.7261036458333867E-2</v>
      </c>
      <c r="AW70">
        <v>14</v>
      </c>
      <c r="AX70">
        <v>1.5896257176788848E-2</v>
      </c>
      <c r="AY70">
        <v>1.0597740102967511E-2</v>
      </c>
      <c r="AZ70">
        <v>1.4146840996010844E-2</v>
      </c>
      <c r="BA70">
        <v>1.8138439705242235E-2</v>
      </c>
      <c r="BD70" s="69">
        <v>14</v>
      </c>
      <c r="BE70">
        <v>4.1221854166666461E-2</v>
      </c>
      <c r="BF70">
        <v>2.3772118055555198E-2</v>
      </c>
      <c r="BI70" s="69">
        <v>14</v>
      </c>
      <c r="BJ70">
        <v>3.6932864583333336E-2</v>
      </c>
      <c r="BK70">
        <v>6.7261036458333867E-2</v>
      </c>
    </row>
    <row r="71" spans="2:63" x14ac:dyDescent="0.2">
      <c r="B71" s="45">
        <v>21</v>
      </c>
      <c r="C71" s="14">
        <v>6.0487630000000001</v>
      </c>
      <c r="D71" s="14">
        <v>7.0879489999999992</v>
      </c>
      <c r="E71" s="14">
        <v>4.9490604166666667</v>
      </c>
      <c r="F71" s="14">
        <v>4.8167982499999997</v>
      </c>
      <c r="G71" s="15">
        <v>5.9516601666666666</v>
      </c>
      <c r="H71" s="15">
        <v>13.790995833333335</v>
      </c>
      <c r="I71" s="15">
        <v>5.8916697499999984</v>
      </c>
      <c r="J71" s="16">
        <v>4.8648090000000002</v>
      </c>
      <c r="K71" s="16">
        <v>8.1717830000000014</v>
      </c>
      <c r="L71" s="16">
        <v>8.5872605000000011</v>
      </c>
      <c r="M71" s="16">
        <v>5.2532517500000004</v>
      </c>
      <c r="N71" s="17">
        <v>8.7585057499999994</v>
      </c>
      <c r="O71" s="17">
        <v>9.739631666666666</v>
      </c>
      <c r="P71" s="17">
        <v>5.9330364999999992</v>
      </c>
      <c r="Q71" s="17">
        <v>11.869297500000002</v>
      </c>
      <c r="T71" s="45">
        <v>21</v>
      </c>
      <c r="U71" s="14">
        <f t="shared" si="6"/>
        <v>1.6525083333334578E-2</v>
      </c>
      <c r="V71" s="14">
        <f t="shared" si="6"/>
        <v>9.38333333326824E-5</v>
      </c>
      <c r="W71" s="14">
        <f t="shared" si="6"/>
        <v>0.12585025000000005</v>
      </c>
      <c r="X71" s="14">
        <f t="shared" si="6"/>
        <v>0.27637483333333357</v>
      </c>
      <c r="Y71" s="15">
        <f t="shared" si="18"/>
        <v>3.9482166666666707E-2</v>
      </c>
      <c r="Z71" s="15">
        <f t="shared" si="7"/>
        <v>0.43013666666666595</v>
      </c>
      <c r="AA71" s="15">
        <f t="shared" si="7"/>
        <v>1.158433333333253E-2</v>
      </c>
      <c r="AB71" s="16">
        <f t="shared" si="7"/>
        <v>0</v>
      </c>
      <c r="AC71" s="16">
        <f t="shared" si="7"/>
        <v>0</v>
      </c>
      <c r="AD71" s="16">
        <f t="shared" si="8"/>
        <v>0.26383150000000199</v>
      </c>
      <c r="AE71" s="16">
        <f t="shared" si="8"/>
        <v>8.5987333333334526E-2</v>
      </c>
      <c r="AF71" s="17">
        <f t="shared" si="8"/>
        <v>7.8097249999999008E-2</v>
      </c>
      <c r="AG71" s="17">
        <f t="shared" si="8"/>
        <v>3.0899083333332911E-2</v>
      </c>
      <c r="AH71" s="17">
        <f t="shared" si="9"/>
        <v>9.9563999999999986E-2</v>
      </c>
      <c r="AI71" s="17">
        <f t="shared" si="9"/>
        <v>9.7044166666664822E-2</v>
      </c>
      <c r="AK71" s="5">
        <v>21</v>
      </c>
      <c r="AL71" s="57">
        <f t="shared" si="19"/>
        <v>0.10471100000000022</v>
      </c>
      <c r="AM71">
        <f t="shared" si="20"/>
        <v>0.16040105555555506</v>
      </c>
      <c r="AN71">
        <f t="shared" si="21"/>
        <v>8.745470833333413E-2</v>
      </c>
      <c r="AO71">
        <f t="shared" si="22"/>
        <v>7.6401124999999181E-2</v>
      </c>
      <c r="AQ71">
        <v>15</v>
      </c>
      <c r="AR71">
        <v>8.2873838541666744E-2</v>
      </c>
      <c r="AS71">
        <v>4.756054861111092E-2</v>
      </c>
      <c r="AT71">
        <v>5.2732812500000115E-2</v>
      </c>
      <c r="AU71">
        <v>6.0260343749999945E-2</v>
      </c>
      <c r="AW71">
        <v>15</v>
      </c>
      <c r="AX71">
        <v>1.3118065012878414E-2</v>
      </c>
      <c r="AY71">
        <v>2.9565274868804427E-2</v>
      </c>
      <c r="AZ71">
        <v>1.5707715686450768E-2</v>
      </c>
      <c r="BA71">
        <v>1.4246747698370128E-2</v>
      </c>
      <c r="BD71" s="69">
        <v>15</v>
      </c>
      <c r="BE71">
        <v>8.2873838541666744E-2</v>
      </c>
      <c r="BF71">
        <v>4.756054861111092E-2</v>
      </c>
      <c r="BI71" s="69">
        <v>15</v>
      </c>
      <c r="BJ71">
        <v>5.2732812500000115E-2</v>
      </c>
      <c r="BK71">
        <v>6.0260343749999945E-2</v>
      </c>
    </row>
    <row r="72" spans="2:63" x14ac:dyDescent="0.2">
      <c r="B72" s="45">
        <v>22</v>
      </c>
      <c r="C72" s="14">
        <v>6.0487630000000001</v>
      </c>
      <c r="D72" s="14">
        <v>7.0879489999999992</v>
      </c>
      <c r="E72" s="14">
        <v>5.079523083333334</v>
      </c>
      <c r="F72" s="14">
        <v>4.9514489999999993</v>
      </c>
      <c r="G72" s="15">
        <v>5.9911422499999993</v>
      </c>
      <c r="H72" s="15">
        <v>14.275299999999996</v>
      </c>
      <c r="I72" s="15">
        <v>5.8929959999999992</v>
      </c>
      <c r="J72" s="16">
        <v>4.8648090000000002</v>
      </c>
      <c r="K72" s="16">
        <v>8.1717830000000014</v>
      </c>
      <c r="L72" s="16">
        <v>8.901258416666666</v>
      </c>
      <c r="M72" s="16">
        <v>5.2552880000000002</v>
      </c>
      <c r="N72" s="17">
        <v>8.8238736666666657</v>
      </c>
      <c r="O72" s="17">
        <v>9.7669213333333325</v>
      </c>
      <c r="P72" s="17">
        <v>6.0325998333333333</v>
      </c>
      <c r="Q72" s="17">
        <v>11.887200000000002</v>
      </c>
      <c r="T72" s="45">
        <v>22</v>
      </c>
      <c r="U72" s="14">
        <f t="shared" ref="U72:X98" si="23">C72-C71</f>
        <v>0</v>
      </c>
      <c r="V72" s="14">
        <f t="shared" si="23"/>
        <v>0</v>
      </c>
      <c r="W72" s="14">
        <f t="shared" si="23"/>
        <v>0.13046266666666728</v>
      </c>
      <c r="X72" s="14">
        <f t="shared" si="23"/>
        <v>0.1346507499999996</v>
      </c>
      <c r="Y72" s="15">
        <f t="shared" si="18"/>
        <v>3.9482083333332696E-2</v>
      </c>
      <c r="Z72" s="15">
        <f t="shared" si="7"/>
        <v>0.48430416666666076</v>
      </c>
      <c r="AA72" s="15">
        <f t="shared" si="7"/>
        <v>1.3262500000008615E-3</v>
      </c>
      <c r="AB72" s="16">
        <f t="shared" si="7"/>
        <v>0</v>
      </c>
      <c r="AC72" s="16">
        <f t="shared" si="7"/>
        <v>0</v>
      </c>
      <c r="AD72" s="16">
        <f t="shared" si="8"/>
        <v>0.31399791666666488</v>
      </c>
      <c r="AE72" s="16">
        <f t="shared" si="8"/>
        <v>2.0362499999997397E-3</v>
      </c>
      <c r="AF72" s="17">
        <f t="shared" si="8"/>
        <v>6.5367916666666304E-2</v>
      </c>
      <c r="AG72" s="17">
        <f t="shared" si="8"/>
        <v>2.7289666666666434E-2</v>
      </c>
      <c r="AH72" s="17">
        <f t="shared" si="9"/>
        <v>9.9563333333334114E-2</v>
      </c>
      <c r="AI72" s="17">
        <f t="shared" si="9"/>
        <v>1.7902499999999932E-2</v>
      </c>
      <c r="AK72" s="5">
        <v>22</v>
      </c>
      <c r="AL72" s="57">
        <f t="shared" si="19"/>
        <v>6.627835416666672E-2</v>
      </c>
      <c r="AM72">
        <f t="shared" si="20"/>
        <v>0.1750374999999981</v>
      </c>
      <c r="AN72">
        <f t="shared" si="21"/>
        <v>7.9008541666666154E-2</v>
      </c>
      <c r="AO72">
        <f t="shared" si="22"/>
        <v>5.2530854166666696E-2</v>
      </c>
      <c r="AQ72">
        <v>16</v>
      </c>
      <c r="AR72">
        <v>0.11888734375000004</v>
      </c>
      <c r="AS72">
        <v>3.2317145833333449E-2</v>
      </c>
      <c r="AT72">
        <v>5.802741666666647E-2</v>
      </c>
      <c r="AU72">
        <v>6.3520098958333493E-2</v>
      </c>
      <c r="AW72">
        <v>16</v>
      </c>
      <c r="AX72">
        <v>1.5452376829280311E-2</v>
      </c>
      <c r="AY72">
        <v>9.5765554700503845E-3</v>
      </c>
      <c r="AZ72">
        <v>5.3407520988129013E-3</v>
      </c>
      <c r="BA72">
        <v>1.2101438943297951E-2</v>
      </c>
      <c r="BD72" s="69">
        <v>16</v>
      </c>
      <c r="BE72">
        <v>0.11888734375000004</v>
      </c>
      <c r="BF72">
        <v>3.2317145833333449E-2</v>
      </c>
      <c r="BI72" s="69">
        <v>16</v>
      </c>
      <c r="BJ72">
        <v>5.802741666666647E-2</v>
      </c>
      <c r="BK72">
        <v>6.3520098958333493E-2</v>
      </c>
    </row>
    <row r="73" spans="2:63" x14ac:dyDescent="0.2">
      <c r="B73" s="45">
        <v>23</v>
      </c>
      <c r="C73" s="14">
        <v>6.0487630000000001</v>
      </c>
      <c r="D73" s="14">
        <v>7.0879489999999992</v>
      </c>
      <c r="E73" s="14">
        <v>5.1913799166666665</v>
      </c>
      <c r="F73" s="14">
        <v>4.96288675</v>
      </c>
      <c r="G73" s="15">
        <v>6.0306243333333329</v>
      </c>
      <c r="H73" s="15">
        <v>14.489333333333329</v>
      </c>
      <c r="I73" s="15">
        <v>5.8929959999999992</v>
      </c>
      <c r="J73" s="16">
        <v>4.8648090000000002</v>
      </c>
      <c r="K73" s="16">
        <v>8.1717830000000014</v>
      </c>
      <c r="L73" s="16">
        <v>9.1870738333333328</v>
      </c>
      <c r="M73" s="16">
        <v>5.2552880000000002</v>
      </c>
      <c r="N73" s="17">
        <v>8.8380480000000006</v>
      </c>
      <c r="O73" s="17">
        <v>9.7797503333333324</v>
      </c>
      <c r="P73" s="17">
        <v>6.1321634999999999</v>
      </c>
      <c r="Q73" s="17">
        <v>11.932227499999998</v>
      </c>
      <c r="T73" s="45">
        <v>23</v>
      </c>
      <c r="U73" s="14">
        <f t="shared" si="23"/>
        <v>0</v>
      </c>
      <c r="V73" s="14">
        <f t="shared" si="23"/>
        <v>0</v>
      </c>
      <c r="W73" s="14">
        <f t="shared" si="23"/>
        <v>0.11185683333333252</v>
      </c>
      <c r="X73" s="14">
        <f t="shared" si="23"/>
        <v>1.143775000000069E-2</v>
      </c>
      <c r="Y73" s="15">
        <f t="shared" si="18"/>
        <v>3.9482083333333584E-2</v>
      </c>
      <c r="Z73" s="15">
        <f t="shared" si="7"/>
        <v>0.21403333333333308</v>
      </c>
      <c r="AA73" s="15">
        <f t="shared" si="7"/>
        <v>0</v>
      </c>
      <c r="AB73" s="16">
        <f t="shared" si="7"/>
        <v>0</v>
      </c>
      <c r="AC73" s="16">
        <f t="shared" si="7"/>
        <v>0</v>
      </c>
      <c r="AD73" s="16">
        <f t="shared" si="8"/>
        <v>0.28581541666666688</v>
      </c>
      <c r="AE73" s="16">
        <f t="shared" si="8"/>
        <v>0</v>
      </c>
      <c r="AF73" s="17">
        <f t="shared" si="8"/>
        <v>1.4174333333334843E-2</v>
      </c>
      <c r="AG73" s="17">
        <f t="shared" si="8"/>
        <v>1.2828999999999979E-2</v>
      </c>
      <c r="AH73" s="17">
        <f t="shared" si="9"/>
        <v>9.9563666666666606E-2</v>
      </c>
      <c r="AI73" s="17">
        <f t="shared" si="9"/>
        <v>4.5027499999996223E-2</v>
      </c>
      <c r="AK73" s="5">
        <v>23</v>
      </c>
      <c r="AL73" s="57">
        <f t="shared" si="19"/>
        <v>3.0823645833333302E-2</v>
      </c>
      <c r="AM73">
        <f t="shared" si="20"/>
        <v>8.4505138888888887E-2</v>
      </c>
      <c r="AN73">
        <f t="shared" si="21"/>
        <v>7.1453854166666719E-2</v>
      </c>
      <c r="AO73">
        <f t="shared" si="22"/>
        <v>4.2898624999999413E-2</v>
      </c>
      <c r="AQ73">
        <v>17</v>
      </c>
      <c r="AR73">
        <v>8.5737015625000051E-2</v>
      </c>
      <c r="AS73">
        <v>5.0495152777777982E-2</v>
      </c>
      <c r="AT73">
        <v>6.5109151041666896E-2</v>
      </c>
      <c r="AU73">
        <v>5.5886968749999877E-2</v>
      </c>
      <c r="AW73">
        <v>17</v>
      </c>
      <c r="AX73">
        <v>1.1473688471726329E-2</v>
      </c>
      <c r="AY73">
        <v>1.5683261295181855E-2</v>
      </c>
      <c r="AZ73">
        <v>2.7772442148592997E-2</v>
      </c>
      <c r="BA73">
        <v>1.1154753262464534E-2</v>
      </c>
      <c r="BD73" s="69">
        <v>17</v>
      </c>
      <c r="BE73">
        <v>8.5737015625000051E-2</v>
      </c>
      <c r="BF73">
        <v>5.0495152777777982E-2</v>
      </c>
      <c r="BI73" s="69">
        <v>17</v>
      </c>
      <c r="BJ73">
        <v>6.5109151041666896E-2</v>
      </c>
      <c r="BK73">
        <v>5.5886968749999877E-2</v>
      </c>
    </row>
    <row r="74" spans="2:63" x14ac:dyDescent="0.2">
      <c r="B74" s="11">
        <v>0</v>
      </c>
      <c r="C74" s="14">
        <v>6.0487630000000001</v>
      </c>
      <c r="D74" s="14">
        <v>7.0879489999999992</v>
      </c>
      <c r="E74" s="14">
        <v>5.2443934166666653</v>
      </c>
      <c r="F74" s="14">
        <v>4.9817695833333335</v>
      </c>
      <c r="G74" s="15">
        <v>6.0701064999999987</v>
      </c>
      <c r="H74" s="15">
        <v>14.5223125</v>
      </c>
      <c r="I74" s="15">
        <v>5.8929959999999992</v>
      </c>
      <c r="J74" s="16">
        <v>4.8701951666666661</v>
      </c>
      <c r="K74" s="16">
        <v>8.1746823333333332</v>
      </c>
      <c r="L74" s="16">
        <v>9.2710790833333334</v>
      </c>
      <c r="M74" s="16">
        <v>5.2552880000000002</v>
      </c>
      <c r="N74" s="17">
        <v>8.8380480000000006</v>
      </c>
      <c r="O74" s="17">
        <v>9.7799009999999988</v>
      </c>
      <c r="P74" s="17">
        <v>6.2026357499999998</v>
      </c>
      <c r="Q74" s="17">
        <v>12.082420000000001</v>
      </c>
      <c r="T74" s="11">
        <v>0</v>
      </c>
      <c r="U74" s="14">
        <f t="shared" si="23"/>
        <v>0</v>
      </c>
      <c r="V74" s="14">
        <f t="shared" si="23"/>
        <v>0</v>
      </c>
      <c r="W74" s="14">
        <f t="shared" si="23"/>
        <v>5.3013499999998714E-2</v>
      </c>
      <c r="X74" s="14">
        <f t="shared" si="23"/>
        <v>1.8882833333333515E-2</v>
      </c>
      <c r="Y74" s="15">
        <f t="shared" si="18"/>
        <v>3.9482166666665819E-2</v>
      </c>
      <c r="Z74" s="15">
        <f t="shared" si="7"/>
        <v>3.2979166666670778E-2</v>
      </c>
      <c r="AA74" s="15">
        <f t="shared" si="7"/>
        <v>0</v>
      </c>
      <c r="AB74" s="16">
        <f t="shared" si="7"/>
        <v>5.3861666666659147E-3</v>
      </c>
      <c r="AC74" s="16">
        <f t="shared" si="7"/>
        <v>2.8993333333318105E-3</v>
      </c>
      <c r="AD74" s="16">
        <f t="shared" si="8"/>
        <v>8.4005250000000586E-2</v>
      </c>
      <c r="AE74" s="16">
        <f t="shared" si="8"/>
        <v>0</v>
      </c>
      <c r="AF74" s="17">
        <f t="shared" si="8"/>
        <v>0</v>
      </c>
      <c r="AG74" s="17">
        <f t="shared" si="8"/>
        <v>1.5066666666641026E-4</v>
      </c>
      <c r="AH74" s="17">
        <f t="shared" si="9"/>
        <v>7.0472249999999903E-2</v>
      </c>
      <c r="AI74" s="17">
        <f t="shared" si="9"/>
        <v>0.15019250000000284</v>
      </c>
      <c r="AK74" s="11">
        <v>0</v>
      </c>
      <c r="AL74" s="57">
        <f t="shared" si="19"/>
        <v>1.7974083333333057E-2</v>
      </c>
      <c r="AM74">
        <f t="shared" si="20"/>
        <v>2.4153777777778867E-2</v>
      </c>
      <c r="AN74">
        <f t="shared" si="21"/>
        <v>2.3072687499999578E-2</v>
      </c>
      <c r="AO74">
        <f t="shared" si="22"/>
        <v>5.5203854166667288E-2</v>
      </c>
      <c r="AQ74">
        <v>18</v>
      </c>
      <c r="AR74">
        <v>8.7375979166666812E-2</v>
      </c>
      <c r="AS74">
        <v>5.2690291666666986E-2</v>
      </c>
      <c r="AT74">
        <v>9.7594286458333568E-2</v>
      </c>
      <c r="AU74">
        <v>4.9044130208333148E-2</v>
      </c>
      <c r="AW74">
        <v>18</v>
      </c>
      <c r="AX74">
        <v>1.1615763562478211E-2</v>
      </c>
      <c r="AY74">
        <v>1.6146367766951317E-2</v>
      </c>
      <c r="AZ74">
        <v>3.6676924365845652E-2</v>
      </c>
      <c r="BA74">
        <v>1.600857642718875E-2</v>
      </c>
      <c r="BD74" s="69">
        <v>18</v>
      </c>
      <c r="BE74">
        <v>8.7375979166666812E-2</v>
      </c>
      <c r="BF74">
        <v>5.2690291666666986E-2</v>
      </c>
      <c r="BI74" s="69">
        <v>18</v>
      </c>
      <c r="BJ74">
        <v>9.7594286458333568E-2</v>
      </c>
      <c r="BK74">
        <v>4.9044130208333148E-2</v>
      </c>
    </row>
    <row r="75" spans="2:63" x14ac:dyDescent="0.2">
      <c r="B75" s="45">
        <v>1</v>
      </c>
      <c r="C75" s="14">
        <v>6.0487630000000001</v>
      </c>
      <c r="D75" s="14">
        <v>7.0879489999999992</v>
      </c>
      <c r="E75" s="14">
        <v>5.27357575</v>
      </c>
      <c r="F75" s="14">
        <v>5.0006523333333339</v>
      </c>
      <c r="G75" s="15">
        <v>6.1095886666666672</v>
      </c>
      <c r="H75" s="15">
        <v>14.523040000000002</v>
      </c>
      <c r="I75" s="15">
        <v>5.8929959999999992</v>
      </c>
      <c r="J75" s="16">
        <v>4.8785609999999995</v>
      </c>
      <c r="K75" s="16">
        <v>8.2372594166666673</v>
      </c>
      <c r="L75" s="16">
        <v>9.3038043333333338</v>
      </c>
      <c r="M75" s="16">
        <v>5.2552880000000002</v>
      </c>
      <c r="N75" s="17">
        <v>8.8380480000000006</v>
      </c>
      <c r="O75" s="17">
        <v>9.7799009999999988</v>
      </c>
      <c r="P75" s="17">
        <v>6.2053839999999996</v>
      </c>
      <c r="Q75" s="17">
        <v>12.236914166666665</v>
      </c>
      <c r="T75" s="45">
        <v>1</v>
      </c>
      <c r="U75" s="14">
        <f t="shared" si="23"/>
        <v>0</v>
      </c>
      <c r="V75" s="14">
        <f t="shared" si="23"/>
        <v>0</v>
      </c>
      <c r="W75" s="14">
        <f t="shared" si="23"/>
        <v>2.9182333333334753E-2</v>
      </c>
      <c r="X75" s="14">
        <f t="shared" si="23"/>
        <v>1.8882750000000392E-2</v>
      </c>
      <c r="Y75" s="15">
        <f t="shared" si="18"/>
        <v>3.9482166666668483E-2</v>
      </c>
      <c r="Z75" s="15">
        <f t="shared" si="7"/>
        <v>7.275000000017684E-4</v>
      </c>
      <c r="AA75" s="15">
        <f t="shared" si="7"/>
        <v>0</v>
      </c>
      <c r="AB75" s="16">
        <f t="shared" si="7"/>
        <v>8.3658333333334056E-3</v>
      </c>
      <c r="AC75" s="16">
        <f t="shared" si="7"/>
        <v>6.2577083333334116E-2</v>
      </c>
      <c r="AD75" s="16">
        <f t="shared" si="8"/>
        <v>3.2725250000000372E-2</v>
      </c>
      <c r="AE75" s="16">
        <f t="shared" si="8"/>
        <v>0</v>
      </c>
      <c r="AF75" s="17">
        <f t="shared" si="8"/>
        <v>0</v>
      </c>
      <c r="AG75" s="17">
        <f t="shared" si="8"/>
        <v>0</v>
      </c>
      <c r="AH75" s="17">
        <f t="shared" si="9"/>
        <v>2.7482499999997856E-3</v>
      </c>
      <c r="AI75" s="17">
        <f t="shared" si="9"/>
        <v>0.15449416666666416</v>
      </c>
      <c r="AK75" s="5">
        <v>1</v>
      </c>
      <c r="AL75" s="57">
        <f t="shared" si="19"/>
        <v>1.2016270833333786E-2</v>
      </c>
      <c r="AM75">
        <f t="shared" si="20"/>
        <v>1.3403222222223418E-2</v>
      </c>
      <c r="AN75">
        <f t="shared" si="21"/>
        <v>2.5917041666666973E-2</v>
      </c>
      <c r="AO75">
        <f t="shared" si="22"/>
        <v>3.9310604166665986E-2</v>
      </c>
      <c r="AQ75">
        <v>19</v>
      </c>
      <c r="AR75">
        <v>8.1203552083333352E-2</v>
      </c>
      <c r="AS75">
        <v>5.9074409722221922E-2</v>
      </c>
      <c r="AT75">
        <v>7.0551442708333245E-2</v>
      </c>
      <c r="AU75">
        <v>5.3161223958333614E-2</v>
      </c>
      <c r="AW75">
        <v>19</v>
      </c>
      <c r="AX75">
        <v>1.5739086066816139E-2</v>
      </c>
      <c r="AY75">
        <v>1.8340150135013809E-2</v>
      </c>
      <c r="AZ75">
        <v>2.1769478354095081E-2</v>
      </c>
      <c r="BA75">
        <v>9.4050958753832941E-3</v>
      </c>
      <c r="BD75" s="69">
        <v>19</v>
      </c>
      <c r="BE75">
        <v>8.1203552083333352E-2</v>
      </c>
      <c r="BF75">
        <v>5.9074409722221922E-2</v>
      </c>
      <c r="BI75" s="69">
        <v>19</v>
      </c>
      <c r="BJ75">
        <v>7.0551442708333245E-2</v>
      </c>
      <c r="BK75">
        <v>5.3161223958333614E-2</v>
      </c>
    </row>
    <row r="76" spans="2:63" x14ac:dyDescent="0.2">
      <c r="B76" s="45">
        <v>2</v>
      </c>
      <c r="C76" s="14">
        <v>6.0491403333333338</v>
      </c>
      <c r="D76" s="14">
        <v>7.0879489999999992</v>
      </c>
      <c r="E76" s="14">
        <v>5.302758250000001</v>
      </c>
      <c r="F76" s="14">
        <v>5.0195350833333334</v>
      </c>
      <c r="G76" s="15">
        <v>6.1490707500000026</v>
      </c>
      <c r="H76" s="15">
        <v>14.523040000000002</v>
      </c>
      <c r="I76" s="15">
        <v>5.8929959999999992</v>
      </c>
      <c r="J76" s="16">
        <v>4.8785609999999995</v>
      </c>
      <c r="K76" s="16">
        <v>8.3515687500000002</v>
      </c>
      <c r="L76" s="16">
        <v>9.3484363333333338</v>
      </c>
      <c r="M76" s="16">
        <v>5.2552880000000002</v>
      </c>
      <c r="N76" s="17">
        <v>8.8380480000000006</v>
      </c>
      <c r="O76" s="17">
        <v>9.7799009999999988</v>
      </c>
      <c r="P76" s="17">
        <v>6.2053839999999996</v>
      </c>
      <c r="Q76" s="17">
        <v>12.39141</v>
      </c>
      <c r="T76" s="45">
        <v>2</v>
      </c>
      <c r="U76" s="14">
        <f t="shared" si="23"/>
        <v>3.7733333333367369E-4</v>
      </c>
      <c r="V76" s="14">
        <f t="shared" si="23"/>
        <v>0</v>
      </c>
      <c r="W76" s="14">
        <f t="shared" si="23"/>
        <v>2.9182500000000999E-2</v>
      </c>
      <c r="X76" s="14">
        <f t="shared" si="23"/>
        <v>1.8882749999999504E-2</v>
      </c>
      <c r="Y76" s="15">
        <f t="shared" si="18"/>
        <v>3.948208333333536E-2</v>
      </c>
      <c r="Z76" s="15">
        <f t="shared" si="7"/>
        <v>0</v>
      </c>
      <c r="AA76" s="15">
        <f t="shared" si="7"/>
        <v>0</v>
      </c>
      <c r="AB76" s="16">
        <f t="shared" si="7"/>
        <v>0</v>
      </c>
      <c r="AC76" s="16">
        <f t="shared" si="7"/>
        <v>0.11430933333333293</v>
      </c>
      <c r="AD76" s="16">
        <f t="shared" si="8"/>
        <v>4.4632000000000005E-2</v>
      </c>
      <c r="AE76" s="16">
        <f t="shared" si="8"/>
        <v>0</v>
      </c>
      <c r="AF76" s="17">
        <f t="shared" si="8"/>
        <v>0</v>
      </c>
      <c r="AG76" s="17">
        <f t="shared" si="8"/>
        <v>0</v>
      </c>
      <c r="AH76" s="17">
        <f t="shared" si="9"/>
        <v>0</v>
      </c>
      <c r="AI76" s="17">
        <f t="shared" si="9"/>
        <v>0.1544958333333355</v>
      </c>
      <c r="AK76" s="5">
        <v>2</v>
      </c>
      <c r="AL76" s="57">
        <f t="shared" si="19"/>
        <v>1.2110645833333544E-2</v>
      </c>
      <c r="AM76">
        <f t="shared" si="20"/>
        <v>1.316069444444512E-2</v>
      </c>
      <c r="AN76">
        <f t="shared" si="21"/>
        <v>3.9735333333333234E-2</v>
      </c>
      <c r="AO76">
        <f t="shared" si="22"/>
        <v>3.8623958333333874E-2</v>
      </c>
      <c r="AQ76">
        <v>20</v>
      </c>
      <c r="AR76">
        <v>9.0992916666666201E-2</v>
      </c>
      <c r="AS76">
        <v>7.8411763888888888E-2</v>
      </c>
      <c r="AT76">
        <v>0.11830644270833351</v>
      </c>
      <c r="AU76">
        <v>5.8719270833333281E-2</v>
      </c>
      <c r="AW76">
        <v>20</v>
      </c>
      <c r="AX76">
        <v>1.2706042042744767E-2</v>
      </c>
      <c r="AY76">
        <v>1.1374466603944188E-2</v>
      </c>
      <c r="AZ76">
        <v>2.0082789200715944E-2</v>
      </c>
      <c r="BA76">
        <v>3.4466880857559334E-3</v>
      </c>
      <c r="BD76" s="69">
        <v>20</v>
      </c>
      <c r="BE76">
        <v>9.0992916666666201E-2</v>
      </c>
      <c r="BF76">
        <v>7.8411763888888888E-2</v>
      </c>
      <c r="BI76" s="69">
        <v>20</v>
      </c>
      <c r="BJ76">
        <v>0.11830644270833351</v>
      </c>
      <c r="BK76">
        <v>5.8719270833333281E-2</v>
      </c>
    </row>
    <row r="77" spans="2:63" x14ac:dyDescent="0.2">
      <c r="B77" s="45">
        <v>3</v>
      </c>
      <c r="C77" s="14">
        <v>6.0518749999999999</v>
      </c>
      <c r="D77" s="14">
        <v>7.0879489999999992</v>
      </c>
      <c r="E77" s="14">
        <v>5.3301695833333325</v>
      </c>
      <c r="F77" s="14">
        <v>5.037723333333334</v>
      </c>
      <c r="G77" s="15">
        <v>6.1809934166666674</v>
      </c>
      <c r="H77" s="15">
        <v>14.523040000000002</v>
      </c>
      <c r="I77" s="15">
        <v>5.8929959999999992</v>
      </c>
      <c r="J77" s="16">
        <v>4.8785609999999995</v>
      </c>
      <c r="K77" s="16">
        <v>8.464845583333334</v>
      </c>
      <c r="L77" s="16">
        <v>9.393068333333332</v>
      </c>
      <c r="M77" s="16">
        <v>5.2552880000000002</v>
      </c>
      <c r="N77" s="17">
        <v>8.8380480000000006</v>
      </c>
      <c r="O77" s="17">
        <v>9.7799009999999988</v>
      </c>
      <c r="P77" s="17">
        <v>6.2053839999999996</v>
      </c>
      <c r="Q77" s="17">
        <v>12.545904999999999</v>
      </c>
      <c r="T77" s="45">
        <v>3</v>
      </c>
      <c r="U77" s="14">
        <f t="shared" si="23"/>
        <v>2.7346666666661079E-3</v>
      </c>
      <c r="V77" s="14">
        <f t="shared" si="23"/>
        <v>0</v>
      </c>
      <c r="W77" s="14">
        <f t="shared" si="23"/>
        <v>2.7411333333331456E-2</v>
      </c>
      <c r="X77" s="14">
        <f t="shared" si="23"/>
        <v>1.8188250000000572E-2</v>
      </c>
      <c r="Y77" s="15">
        <f t="shared" si="18"/>
        <v>3.1922666666664767E-2</v>
      </c>
      <c r="Z77" s="15">
        <f t="shared" si="7"/>
        <v>0</v>
      </c>
      <c r="AA77" s="15">
        <f t="shared" si="7"/>
        <v>0</v>
      </c>
      <c r="AB77" s="16">
        <f t="shared" si="7"/>
        <v>0</v>
      </c>
      <c r="AC77" s="16">
        <f t="shared" si="7"/>
        <v>0.11327683333333383</v>
      </c>
      <c r="AD77" s="16">
        <f t="shared" si="8"/>
        <v>4.4631999999998229E-2</v>
      </c>
      <c r="AE77" s="16">
        <f t="shared" si="8"/>
        <v>0</v>
      </c>
      <c r="AF77" s="17">
        <f t="shared" si="8"/>
        <v>0</v>
      </c>
      <c r="AG77" s="17">
        <f t="shared" si="8"/>
        <v>0</v>
      </c>
      <c r="AH77" s="17">
        <f t="shared" si="9"/>
        <v>0</v>
      </c>
      <c r="AI77" s="17">
        <f t="shared" si="9"/>
        <v>0.15449499999999894</v>
      </c>
      <c r="AK77" s="5">
        <v>3</v>
      </c>
      <c r="AL77" s="57">
        <f t="shared" si="19"/>
        <v>1.2083562499999534E-2</v>
      </c>
      <c r="AM77">
        <f t="shared" si="20"/>
        <v>1.0640888888888256E-2</v>
      </c>
      <c r="AN77">
        <f t="shared" si="21"/>
        <v>3.9477208333333014E-2</v>
      </c>
      <c r="AO77">
        <f t="shared" si="22"/>
        <v>3.8623749999999735E-2</v>
      </c>
      <c r="AQ77">
        <v>21</v>
      </c>
      <c r="AR77">
        <v>9.824895312500076E-2</v>
      </c>
      <c r="AS77">
        <v>0.1244786388888888</v>
      </c>
      <c r="AT77">
        <v>0.14045174479166672</v>
      </c>
      <c r="AU77">
        <v>6.1348067708333731E-2</v>
      </c>
      <c r="AW77">
        <v>21</v>
      </c>
      <c r="AX77">
        <v>1.4276403563601813E-2</v>
      </c>
      <c r="AY77">
        <v>3.531825865610258E-2</v>
      </c>
      <c r="AZ77">
        <v>2.5076544769797794E-2</v>
      </c>
      <c r="BA77">
        <v>1.3397278569927824E-2</v>
      </c>
      <c r="BD77" s="69">
        <v>21</v>
      </c>
      <c r="BE77">
        <v>9.824895312500076E-2</v>
      </c>
      <c r="BF77">
        <v>0.1244786388888888</v>
      </c>
      <c r="BI77" s="69">
        <v>21</v>
      </c>
      <c r="BJ77">
        <v>0.14045174479166672</v>
      </c>
      <c r="BK77">
        <v>6.1348067708333731E-2</v>
      </c>
    </row>
    <row r="78" spans="2:63" x14ac:dyDescent="0.2">
      <c r="B78" s="45">
        <v>4</v>
      </c>
      <c r="C78" s="14">
        <v>6.0518749999999999</v>
      </c>
      <c r="D78" s="14">
        <v>7.0880322500000004</v>
      </c>
      <c r="E78" s="14">
        <v>5.3363549999999984</v>
      </c>
      <c r="F78" s="14">
        <v>5.0427210000000002</v>
      </c>
      <c r="G78" s="15">
        <v>6.1837980000000003</v>
      </c>
      <c r="H78" s="15">
        <v>14.650498333333333</v>
      </c>
      <c r="I78" s="15">
        <v>5.8929959999999992</v>
      </c>
      <c r="J78" s="16">
        <v>4.8785609999999995</v>
      </c>
      <c r="K78" s="16">
        <v>8.5781421666666677</v>
      </c>
      <c r="L78" s="16">
        <v>9.4252830833333316</v>
      </c>
      <c r="M78" s="16">
        <v>5.2580222500000007</v>
      </c>
      <c r="N78" s="17">
        <v>8.8380480000000006</v>
      </c>
      <c r="O78" s="17">
        <v>9.8078453333333329</v>
      </c>
      <c r="P78" s="17">
        <v>6.2053839999999996</v>
      </c>
      <c r="Q78" s="17">
        <v>12.7004</v>
      </c>
      <c r="T78" s="45">
        <v>4</v>
      </c>
      <c r="U78" s="14">
        <f t="shared" si="23"/>
        <v>0</v>
      </c>
      <c r="V78" s="14">
        <f t="shared" si="23"/>
        <v>8.3250000001200419E-5</v>
      </c>
      <c r="W78" s="14">
        <f t="shared" si="23"/>
        <v>6.1854166666659438E-3</v>
      </c>
      <c r="X78" s="14">
        <f t="shared" si="23"/>
        <v>4.9976666666662339E-3</v>
      </c>
      <c r="Y78" s="15">
        <f t="shared" si="18"/>
        <v>2.8045833333329995E-3</v>
      </c>
      <c r="Z78" s="15">
        <f t="shared" si="7"/>
        <v>0.12745833333333145</v>
      </c>
      <c r="AA78" s="15">
        <f t="shared" si="7"/>
        <v>0</v>
      </c>
      <c r="AB78" s="16">
        <f t="shared" si="7"/>
        <v>0</v>
      </c>
      <c r="AC78" s="16">
        <f t="shared" si="7"/>
        <v>0.1132965833333337</v>
      </c>
      <c r="AD78" s="16">
        <f t="shared" si="8"/>
        <v>3.2214749999999626E-2</v>
      </c>
      <c r="AE78" s="16">
        <f t="shared" si="8"/>
        <v>2.7342500000004932E-3</v>
      </c>
      <c r="AF78" s="17">
        <f t="shared" si="8"/>
        <v>0</v>
      </c>
      <c r="AG78" s="17">
        <f t="shared" si="8"/>
        <v>2.7944333333334015E-2</v>
      </c>
      <c r="AH78" s="17">
        <f t="shared" si="9"/>
        <v>0</v>
      </c>
      <c r="AI78" s="17">
        <f t="shared" si="9"/>
        <v>0.15449500000000072</v>
      </c>
      <c r="AK78" s="5">
        <v>4</v>
      </c>
      <c r="AL78" s="57">
        <f t="shared" si="19"/>
        <v>2.8165833333333445E-3</v>
      </c>
      <c r="AM78">
        <f t="shared" si="20"/>
        <v>4.3420972222221486E-2</v>
      </c>
      <c r="AN78">
        <f t="shared" si="21"/>
        <v>3.7061395833333455E-2</v>
      </c>
      <c r="AO78">
        <f t="shared" si="22"/>
        <v>4.5609833333333683E-2</v>
      </c>
      <c r="AQ78">
        <v>22</v>
      </c>
      <c r="AR78">
        <v>6.9475671874999867E-2</v>
      </c>
      <c r="AS78">
        <v>0.14268962499999918</v>
      </c>
      <c r="AT78">
        <v>0.12333165104166666</v>
      </c>
      <c r="AU78">
        <v>4.2728354166666482E-2</v>
      </c>
      <c r="AW78">
        <v>22</v>
      </c>
      <c r="AX78">
        <v>8.4255181275080509E-3</v>
      </c>
      <c r="AY78">
        <v>1.757615963397827E-2</v>
      </c>
      <c r="AZ78">
        <v>2.4331882840791748E-2</v>
      </c>
      <c r="BA78">
        <v>8.1835693027723193E-3</v>
      </c>
      <c r="BD78" s="69">
        <v>22</v>
      </c>
      <c r="BE78">
        <v>6.9475671874999867E-2</v>
      </c>
      <c r="BF78">
        <v>0.14268962499999918</v>
      </c>
      <c r="BI78" s="69">
        <v>22</v>
      </c>
      <c r="BJ78">
        <v>0.12333165104166666</v>
      </c>
      <c r="BK78">
        <v>4.2728354166666482E-2</v>
      </c>
    </row>
    <row r="79" spans="2:63" x14ac:dyDescent="0.2">
      <c r="B79" s="45">
        <v>5</v>
      </c>
      <c r="C79" s="14">
        <v>6.0518749999999999</v>
      </c>
      <c r="D79" s="14">
        <v>7.0930324166666656</v>
      </c>
      <c r="E79" s="14">
        <v>5.3363549999999984</v>
      </c>
      <c r="F79" s="14">
        <v>5.0427210000000002</v>
      </c>
      <c r="G79" s="15">
        <v>6.1837980000000003</v>
      </c>
      <c r="H79" s="15">
        <v>14.945415833333334</v>
      </c>
      <c r="I79" s="15">
        <v>5.8970865833333335</v>
      </c>
      <c r="J79" s="16">
        <v>4.8785609999999995</v>
      </c>
      <c r="K79" s="16">
        <v>8.6914385833333334</v>
      </c>
      <c r="L79" s="16">
        <v>9.4267229999999991</v>
      </c>
      <c r="M79" s="16">
        <v>5.2739086666666664</v>
      </c>
      <c r="N79" s="17">
        <v>8.8380480000000006</v>
      </c>
      <c r="O79" s="17">
        <v>9.9528329166666669</v>
      </c>
      <c r="P79" s="17">
        <v>6.2062537499999992</v>
      </c>
      <c r="Q79" s="17">
        <v>12.821106666666665</v>
      </c>
      <c r="T79" s="45">
        <v>5</v>
      </c>
      <c r="U79" s="14">
        <f t="shared" si="23"/>
        <v>0</v>
      </c>
      <c r="V79" s="14">
        <f t="shared" si="23"/>
        <v>5.0001666666652511E-3</v>
      </c>
      <c r="W79" s="14">
        <f t="shared" si="23"/>
        <v>0</v>
      </c>
      <c r="X79" s="14">
        <f t="shared" si="23"/>
        <v>0</v>
      </c>
      <c r="Y79" s="15">
        <f t="shared" si="18"/>
        <v>0</v>
      </c>
      <c r="Z79" s="15">
        <f t="shared" si="7"/>
        <v>0.29491750000000039</v>
      </c>
      <c r="AA79" s="15">
        <f t="shared" si="7"/>
        <v>4.0905833333342301E-3</v>
      </c>
      <c r="AB79" s="16">
        <f t="shared" si="7"/>
        <v>0</v>
      </c>
      <c r="AC79" s="16">
        <f t="shared" si="7"/>
        <v>0.11329641666666568</v>
      </c>
      <c r="AD79" s="16">
        <f t="shared" si="8"/>
        <v>1.439916666667429E-3</v>
      </c>
      <c r="AE79" s="16">
        <f t="shared" si="8"/>
        <v>1.5886416666665681E-2</v>
      </c>
      <c r="AF79" s="17">
        <f t="shared" si="8"/>
        <v>0</v>
      </c>
      <c r="AG79" s="17">
        <f t="shared" si="8"/>
        <v>0.14498758333333406</v>
      </c>
      <c r="AH79" s="17">
        <f t="shared" si="9"/>
        <v>8.697499999996694E-4</v>
      </c>
      <c r="AI79" s="17">
        <f t="shared" si="9"/>
        <v>0.12070666666666519</v>
      </c>
      <c r="AK79" s="5">
        <v>5</v>
      </c>
      <c r="AL79" s="57">
        <f t="shared" si="19"/>
        <v>1.2500416666663128E-3</v>
      </c>
      <c r="AM79">
        <f t="shared" si="20"/>
        <v>9.9669361111111535E-2</v>
      </c>
      <c r="AN79">
        <f t="shared" si="21"/>
        <v>3.2655687499999697E-2</v>
      </c>
      <c r="AO79">
        <f t="shared" si="22"/>
        <v>6.6640999999999728E-2</v>
      </c>
      <c r="AQ79">
        <v>23</v>
      </c>
      <c r="AR79">
        <v>5.3014687499999949E-2</v>
      </c>
      <c r="AS79">
        <v>0.11682813194444523</v>
      </c>
      <c r="AT79">
        <v>0.13019259374999984</v>
      </c>
      <c r="AU79">
        <v>5.7504333333333157E-2</v>
      </c>
      <c r="AW79">
        <v>23</v>
      </c>
      <c r="AX79">
        <v>1.0160921200212888E-2</v>
      </c>
      <c r="AY79">
        <v>1.5994366001161862E-2</v>
      </c>
      <c r="AZ79">
        <v>2.5414663223397534E-2</v>
      </c>
      <c r="BA79">
        <v>7.992782559655659E-3</v>
      </c>
      <c r="BD79" s="69">
        <v>23</v>
      </c>
      <c r="BE79">
        <v>5.3014687499999949E-2</v>
      </c>
      <c r="BF79">
        <v>0.11682813194444523</v>
      </c>
      <c r="BI79" s="69">
        <v>23</v>
      </c>
      <c r="BJ79">
        <v>0.13019259374999984</v>
      </c>
      <c r="BK79">
        <v>5.7504333333333157E-2</v>
      </c>
    </row>
    <row r="80" spans="2:63" x14ac:dyDescent="0.2">
      <c r="B80" s="45">
        <v>6</v>
      </c>
      <c r="C80" s="14">
        <v>6.0518749999999999</v>
      </c>
      <c r="D80" s="14">
        <v>7.1026785833333337</v>
      </c>
      <c r="E80" s="14">
        <v>5.3363549999999984</v>
      </c>
      <c r="F80" s="14">
        <v>5.0427210000000002</v>
      </c>
      <c r="G80" s="15">
        <v>6.1995509166666674</v>
      </c>
      <c r="H80" s="15">
        <v>15.140926666666665</v>
      </c>
      <c r="I80" s="15">
        <v>5.9793834166666668</v>
      </c>
      <c r="J80" s="16">
        <v>4.8785609999999995</v>
      </c>
      <c r="K80" s="16">
        <v>8.8047351666666671</v>
      </c>
      <c r="L80" s="16">
        <v>9.4267229999999991</v>
      </c>
      <c r="M80" s="16">
        <v>5.2920526666666676</v>
      </c>
      <c r="N80" s="17">
        <v>8.885136833333334</v>
      </c>
      <c r="O80" s="17">
        <v>10.110759999999999</v>
      </c>
      <c r="P80" s="17">
        <v>6.2147487499999992</v>
      </c>
      <c r="Q80" s="17">
        <v>13.114704999999999</v>
      </c>
      <c r="T80" s="45">
        <v>6</v>
      </c>
      <c r="U80" s="14">
        <f t="shared" si="23"/>
        <v>0</v>
      </c>
      <c r="V80" s="14">
        <f t="shared" si="23"/>
        <v>9.6461666666680657E-3</v>
      </c>
      <c r="W80" s="14">
        <f t="shared" si="23"/>
        <v>0</v>
      </c>
      <c r="X80" s="14">
        <f t="shared" si="23"/>
        <v>0</v>
      </c>
      <c r="Y80" s="15">
        <f t="shared" si="18"/>
        <v>1.5752916666667005E-2</v>
      </c>
      <c r="Z80" s="15">
        <f t="shared" si="7"/>
        <v>0.19551083333333175</v>
      </c>
      <c r="AA80" s="15">
        <f t="shared" si="7"/>
        <v>8.2296833333333375E-2</v>
      </c>
      <c r="AB80" s="16">
        <f t="shared" si="7"/>
        <v>0</v>
      </c>
      <c r="AC80" s="16">
        <f t="shared" si="7"/>
        <v>0.1132965833333337</v>
      </c>
      <c r="AD80" s="16">
        <f t="shared" si="8"/>
        <v>0</v>
      </c>
      <c r="AE80" s="16">
        <f t="shared" si="8"/>
        <v>1.814400000000127E-2</v>
      </c>
      <c r="AF80" s="17">
        <f t="shared" si="8"/>
        <v>4.7088833333333469E-2</v>
      </c>
      <c r="AG80" s="17">
        <f t="shared" si="8"/>
        <v>0.15792708333333216</v>
      </c>
      <c r="AH80" s="17">
        <f t="shared" si="9"/>
        <v>8.4949999999999193E-3</v>
      </c>
      <c r="AI80" s="17">
        <f t="shared" si="9"/>
        <v>0.29359833333333363</v>
      </c>
      <c r="AK80" s="5">
        <v>6</v>
      </c>
      <c r="AL80" s="57">
        <f t="shared" si="19"/>
        <v>2.4115416666670164E-3</v>
      </c>
      <c r="AM80">
        <f t="shared" si="20"/>
        <v>9.785352777777738E-2</v>
      </c>
      <c r="AN80">
        <f t="shared" si="21"/>
        <v>3.2860145833333743E-2</v>
      </c>
      <c r="AO80">
        <f t="shared" si="22"/>
        <v>0.12677731249999979</v>
      </c>
      <c r="AQ80">
        <v>24</v>
      </c>
      <c r="AR80">
        <v>5.4626833333333236E-2</v>
      </c>
      <c r="AS80">
        <v>0.12124447222222193</v>
      </c>
      <c r="AT80">
        <v>0.10331884895833313</v>
      </c>
      <c r="AU80">
        <v>7.496238541666661E-2</v>
      </c>
      <c r="AW80">
        <v>24</v>
      </c>
      <c r="AX80">
        <v>1.299753518207384E-2</v>
      </c>
      <c r="AY80">
        <v>3.5236903362717079E-2</v>
      </c>
      <c r="AZ80">
        <v>2.8971901136658675E-2</v>
      </c>
      <c r="BA80">
        <v>2.4634086969997068E-2</v>
      </c>
      <c r="BD80" s="69">
        <v>24</v>
      </c>
      <c r="BE80">
        <v>5.4626833333333236E-2</v>
      </c>
      <c r="BF80">
        <v>0.12124447222222193</v>
      </c>
      <c r="BI80" s="69">
        <v>24</v>
      </c>
      <c r="BJ80">
        <v>0.10331884895833313</v>
      </c>
      <c r="BK80">
        <v>7.496238541666661E-2</v>
      </c>
    </row>
    <row r="81" spans="2:41" x14ac:dyDescent="0.2">
      <c r="B81" s="45">
        <v>7</v>
      </c>
      <c r="C81" s="14">
        <v>6.0518749999999999</v>
      </c>
      <c r="D81" s="14">
        <v>7.1254249166666659</v>
      </c>
      <c r="E81" s="14">
        <v>5.3363549999999984</v>
      </c>
      <c r="F81" s="14">
        <v>5.0427210000000002</v>
      </c>
      <c r="G81" s="15">
        <v>6.2058066666666667</v>
      </c>
      <c r="H81" s="15">
        <v>15.340055</v>
      </c>
      <c r="I81" s="15">
        <v>6.1754040833333326</v>
      </c>
      <c r="J81" s="16">
        <v>4.8785609999999995</v>
      </c>
      <c r="K81" s="16">
        <v>8.8976231666666674</v>
      </c>
      <c r="L81" s="16">
        <v>9.4267229999999991</v>
      </c>
      <c r="M81" s="16">
        <v>5.3262155</v>
      </c>
      <c r="N81" s="17">
        <v>8.9942682499999993</v>
      </c>
      <c r="O81" s="17">
        <v>10.278258333333335</v>
      </c>
      <c r="P81" s="17">
        <v>6.2232228333333337</v>
      </c>
      <c r="Q81" s="17">
        <v>13.464894999999999</v>
      </c>
      <c r="T81" s="45">
        <v>7</v>
      </c>
      <c r="U81" s="14">
        <f t="shared" si="23"/>
        <v>0</v>
      </c>
      <c r="V81" s="14">
        <f t="shared" si="23"/>
        <v>2.2746333333332203E-2</v>
      </c>
      <c r="W81" s="14">
        <f t="shared" si="23"/>
        <v>0</v>
      </c>
      <c r="X81" s="14">
        <f t="shared" si="23"/>
        <v>0</v>
      </c>
      <c r="Y81" s="15">
        <f t="shared" si="18"/>
        <v>6.2557499999993382E-3</v>
      </c>
      <c r="Z81" s="15">
        <f t="shared" si="7"/>
        <v>0.19912833333333424</v>
      </c>
      <c r="AA81" s="15">
        <f t="shared" si="7"/>
        <v>0.19602066666666573</v>
      </c>
      <c r="AB81" s="16">
        <f t="shared" si="7"/>
        <v>0</v>
      </c>
      <c r="AC81" s="16">
        <f t="shared" si="7"/>
        <v>9.2888000000000304E-2</v>
      </c>
      <c r="AD81" s="16">
        <f t="shared" si="8"/>
        <v>0</v>
      </c>
      <c r="AE81" s="16">
        <f t="shared" si="8"/>
        <v>3.4162833333332365E-2</v>
      </c>
      <c r="AF81" s="17">
        <f t="shared" si="8"/>
        <v>0.10913141666666526</v>
      </c>
      <c r="AG81" s="17">
        <f t="shared" si="8"/>
        <v>0.16749833333333619</v>
      </c>
      <c r="AH81" s="17">
        <f t="shared" si="9"/>
        <v>8.4740833333345478E-3</v>
      </c>
      <c r="AI81" s="17">
        <f t="shared" si="9"/>
        <v>0.35018999999999956</v>
      </c>
      <c r="AK81" s="5">
        <v>7</v>
      </c>
      <c r="AL81" s="57">
        <f t="shared" si="19"/>
        <v>5.6865833333330507E-3</v>
      </c>
      <c r="AM81">
        <f t="shared" si="20"/>
        <v>0.13380158333333311</v>
      </c>
      <c r="AN81">
        <f t="shared" si="21"/>
        <v>3.1762708333333167E-2</v>
      </c>
      <c r="AO81">
        <f t="shared" si="22"/>
        <v>0.15882345833333389</v>
      </c>
    </row>
    <row r="82" spans="2:41" x14ac:dyDescent="0.2">
      <c r="B82" s="45">
        <v>8</v>
      </c>
      <c r="C82" s="14">
        <v>6.0518749999999999</v>
      </c>
      <c r="D82" s="14">
        <v>7.1316098333333349</v>
      </c>
      <c r="E82" s="14">
        <v>5.3363549999999984</v>
      </c>
      <c r="F82" s="14">
        <v>5.0427210000000002</v>
      </c>
      <c r="G82" s="15">
        <v>6.2165136666666667</v>
      </c>
      <c r="H82" s="15">
        <v>15.53918166666667</v>
      </c>
      <c r="I82" s="15">
        <v>6.2454254166666674</v>
      </c>
      <c r="J82" s="16">
        <v>4.8785609999999995</v>
      </c>
      <c r="K82" s="16">
        <v>8.9347525000000001</v>
      </c>
      <c r="L82" s="16">
        <v>9.4267229999999991</v>
      </c>
      <c r="M82" s="16">
        <v>5.3510667500000011</v>
      </c>
      <c r="N82" s="17">
        <v>9.1124107500000004</v>
      </c>
      <c r="O82" s="17">
        <v>10.750730000000003</v>
      </c>
      <c r="P82" s="17">
        <v>6.2323160000000009</v>
      </c>
      <c r="Q82" s="17">
        <v>13.694378333333335</v>
      </c>
      <c r="T82" s="45">
        <v>8</v>
      </c>
      <c r="U82" s="14">
        <f t="shared" si="23"/>
        <v>0</v>
      </c>
      <c r="V82" s="14">
        <f t="shared" si="23"/>
        <v>6.1849166666689825E-3</v>
      </c>
      <c r="W82" s="14">
        <f t="shared" si="23"/>
        <v>0</v>
      </c>
      <c r="X82" s="14">
        <f t="shared" si="23"/>
        <v>0</v>
      </c>
      <c r="Y82" s="15">
        <f t="shared" si="18"/>
        <v>1.0707000000000022E-2</v>
      </c>
      <c r="Z82" s="15">
        <f t="shared" si="7"/>
        <v>0.19912666666667</v>
      </c>
      <c r="AA82" s="15">
        <f t="shared" si="7"/>
        <v>7.0021333333334823E-2</v>
      </c>
      <c r="AB82" s="16">
        <f t="shared" si="7"/>
        <v>0</v>
      </c>
      <c r="AC82" s="16">
        <f t="shared" ref="AC82:AF98" si="24">K82-K81</f>
        <v>3.7129333333332681E-2</v>
      </c>
      <c r="AD82" s="16">
        <f t="shared" si="8"/>
        <v>0</v>
      </c>
      <c r="AE82" s="16">
        <f t="shared" si="8"/>
        <v>2.4851250000001102E-2</v>
      </c>
      <c r="AF82" s="17">
        <f t="shared" si="8"/>
        <v>0.11814250000000115</v>
      </c>
      <c r="AG82" s="17">
        <f t="shared" ref="AG82:AI98" si="25">O82-O81</f>
        <v>0.47247166666666729</v>
      </c>
      <c r="AH82" s="17">
        <f t="shared" si="9"/>
        <v>9.0931666666671518E-3</v>
      </c>
      <c r="AI82" s="17">
        <f t="shared" si="9"/>
        <v>0.22948333333333615</v>
      </c>
      <c r="AK82" s="5">
        <v>8</v>
      </c>
      <c r="AL82" s="57">
        <f t="shared" si="19"/>
        <v>1.5462291666672456E-3</v>
      </c>
      <c r="AM82">
        <f t="shared" si="20"/>
        <v>9.3285000000001617E-2</v>
      </c>
      <c r="AN82">
        <f t="shared" si="21"/>
        <v>1.5495145833333446E-2</v>
      </c>
      <c r="AO82">
        <f t="shared" si="22"/>
        <v>0.20729766666666793</v>
      </c>
    </row>
    <row r="83" spans="2:41" x14ac:dyDescent="0.2">
      <c r="B83" s="45">
        <v>9</v>
      </c>
      <c r="C83" s="14">
        <v>6.0518749999999999</v>
      </c>
      <c r="D83" s="14">
        <v>7.135752666666666</v>
      </c>
      <c r="E83" s="14">
        <v>5.3363549999999984</v>
      </c>
      <c r="F83" s="14">
        <v>5.0427210000000002</v>
      </c>
      <c r="G83" s="15">
        <v>6.2285299166666661</v>
      </c>
      <c r="H83" s="15">
        <v>15.734296666666667</v>
      </c>
      <c r="I83" s="15">
        <v>6.271482333333334</v>
      </c>
      <c r="J83" s="16">
        <v>4.8785609999999995</v>
      </c>
      <c r="K83" s="16">
        <v>8.9690666666666647</v>
      </c>
      <c r="L83" s="16">
        <v>9.4267229999999991</v>
      </c>
      <c r="M83" s="16">
        <v>5.3521980000000005</v>
      </c>
      <c r="N83" s="17">
        <v>9.3069969999999973</v>
      </c>
      <c r="O83" s="17">
        <v>11.27869416666667</v>
      </c>
      <c r="P83" s="17">
        <v>6.2408827499999999</v>
      </c>
      <c r="Q83" s="17">
        <v>13.699420000000002</v>
      </c>
      <c r="T83" s="45">
        <v>9</v>
      </c>
      <c r="U83" s="14">
        <f t="shared" si="23"/>
        <v>0</v>
      </c>
      <c r="V83" s="14">
        <f t="shared" si="23"/>
        <v>4.1428333333310974E-3</v>
      </c>
      <c r="W83" s="14">
        <f t="shared" si="23"/>
        <v>0</v>
      </c>
      <c r="X83" s="14">
        <f t="shared" si="23"/>
        <v>0</v>
      </c>
      <c r="Y83" s="15">
        <f t="shared" si="18"/>
        <v>1.2016249999999395E-2</v>
      </c>
      <c r="Z83" s="15">
        <f t="shared" si="18"/>
        <v>0.19511499999999771</v>
      </c>
      <c r="AA83" s="15">
        <f t="shared" si="18"/>
        <v>2.6056916666666652E-2</v>
      </c>
      <c r="AB83" s="16">
        <f t="shared" si="18"/>
        <v>0</v>
      </c>
      <c r="AC83" s="16">
        <f t="shared" si="24"/>
        <v>3.4314166666664647E-2</v>
      </c>
      <c r="AD83" s="16">
        <f t="shared" si="24"/>
        <v>0</v>
      </c>
      <c r="AE83" s="16">
        <f t="shared" si="24"/>
        <v>1.1312499999993619E-3</v>
      </c>
      <c r="AF83" s="17">
        <f t="shared" si="24"/>
        <v>0.19458624999999685</v>
      </c>
      <c r="AG83" s="17">
        <f t="shared" si="25"/>
        <v>0.52796416666666701</v>
      </c>
      <c r="AH83" s="17">
        <f t="shared" si="25"/>
        <v>8.5667499999990682E-3</v>
      </c>
      <c r="AI83" s="17">
        <f t="shared" si="25"/>
        <v>5.0416666666670551E-3</v>
      </c>
      <c r="AK83" s="5">
        <v>9</v>
      </c>
      <c r="AL83" s="57">
        <f t="shared" si="19"/>
        <v>1.0357083333327743E-3</v>
      </c>
      <c r="AM83">
        <f t="shared" si="20"/>
        <v>7.7729388888887918E-2</v>
      </c>
      <c r="AN83">
        <f t="shared" si="21"/>
        <v>8.8613541666660023E-3</v>
      </c>
      <c r="AO83">
        <f t="shared" si="22"/>
        <v>0.1840397083333325</v>
      </c>
    </row>
    <row r="84" spans="2:41" x14ac:dyDescent="0.2">
      <c r="B84" s="45">
        <v>10</v>
      </c>
      <c r="C84" s="14">
        <v>6.0518749999999999</v>
      </c>
      <c r="D84" s="14">
        <v>7.1402244999999986</v>
      </c>
      <c r="E84" s="14">
        <v>5.3363549999999984</v>
      </c>
      <c r="F84" s="14">
        <v>5.0427210000000002</v>
      </c>
      <c r="G84" s="15">
        <v>6.240012666666666</v>
      </c>
      <c r="H84" s="15">
        <v>15.796940000000005</v>
      </c>
      <c r="I84" s="15">
        <v>6.282438</v>
      </c>
      <c r="J84" s="16">
        <v>4.8785609999999995</v>
      </c>
      <c r="K84" s="16">
        <v>8.9925278333333356</v>
      </c>
      <c r="L84" s="16">
        <v>9.4267229999999991</v>
      </c>
      <c r="M84" s="16">
        <v>5.3521980000000005</v>
      </c>
      <c r="N84" s="17">
        <v>9.3481429999999985</v>
      </c>
      <c r="O84" s="17">
        <v>11.340590000000004</v>
      </c>
      <c r="P84" s="17">
        <v>6.2448076666666674</v>
      </c>
      <c r="Q84" s="17">
        <v>13.699420000000002</v>
      </c>
      <c r="T84" s="45">
        <v>10</v>
      </c>
      <c r="U84" s="14">
        <f t="shared" si="23"/>
        <v>0</v>
      </c>
      <c r="V84" s="14">
        <f t="shared" si="23"/>
        <v>4.4718333333326754E-3</v>
      </c>
      <c r="W84" s="14">
        <f t="shared" si="23"/>
        <v>0</v>
      </c>
      <c r="X84" s="14">
        <f t="shared" si="23"/>
        <v>0</v>
      </c>
      <c r="Y84" s="15">
        <f t="shared" si="18"/>
        <v>1.1482749999999875E-2</v>
      </c>
      <c r="Z84" s="15">
        <f t="shared" si="18"/>
        <v>6.2643333333337381E-2</v>
      </c>
      <c r="AA84" s="15">
        <f t="shared" si="18"/>
        <v>1.095566666666592E-2</v>
      </c>
      <c r="AB84" s="16">
        <f t="shared" si="18"/>
        <v>0</v>
      </c>
      <c r="AC84" s="16">
        <f t="shared" si="24"/>
        <v>2.3461166666670863E-2</v>
      </c>
      <c r="AD84" s="16">
        <f t="shared" si="24"/>
        <v>0</v>
      </c>
      <c r="AE84" s="16">
        <f t="shared" si="24"/>
        <v>0</v>
      </c>
      <c r="AF84" s="17">
        <f t="shared" si="24"/>
        <v>4.1146000000001237E-2</v>
      </c>
      <c r="AG84" s="17">
        <f t="shared" si="25"/>
        <v>6.1895833333334593E-2</v>
      </c>
      <c r="AH84" s="17">
        <f t="shared" si="25"/>
        <v>3.9249166666674995E-3</v>
      </c>
      <c r="AI84" s="17">
        <f t="shared" si="25"/>
        <v>0</v>
      </c>
      <c r="AK84" s="5">
        <v>10</v>
      </c>
      <c r="AL84" s="57">
        <f t="shared" si="19"/>
        <v>1.1179583333331689E-3</v>
      </c>
      <c r="AM84">
        <f t="shared" si="20"/>
        <v>2.8360583333334393E-2</v>
      </c>
      <c r="AN84">
        <f t="shared" si="21"/>
        <v>5.8652916666677157E-3</v>
      </c>
      <c r="AO84">
        <f t="shared" si="22"/>
        <v>2.6741687500000833E-2</v>
      </c>
    </row>
    <row r="85" spans="2:41" x14ac:dyDescent="0.2">
      <c r="B85" s="45">
        <v>11</v>
      </c>
      <c r="C85" s="14">
        <v>6.0678269166666672</v>
      </c>
      <c r="D85" s="14">
        <v>7.140833999999999</v>
      </c>
      <c r="E85" s="14">
        <v>5.3363549999999984</v>
      </c>
      <c r="F85" s="14">
        <v>5.0427210000000002</v>
      </c>
      <c r="G85" s="15">
        <v>6.2451892500000001</v>
      </c>
      <c r="H85" s="15">
        <v>15.796940000000005</v>
      </c>
      <c r="I85" s="15">
        <v>6.282438</v>
      </c>
      <c r="J85" s="16">
        <v>4.8785609999999995</v>
      </c>
      <c r="K85" s="16">
        <v>9.0015234999999993</v>
      </c>
      <c r="L85" s="16">
        <v>9.440586500000002</v>
      </c>
      <c r="M85" s="16">
        <v>5.3521980000000005</v>
      </c>
      <c r="N85" s="17">
        <v>9.3481429999999985</v>
      </c>
      <c r="O85" s="17">
        <v>11.364300833333333</v>
      </c>
      <c r="P85" s="17">
        <v>6.2606210000000004</v>
      </c>
      <c r="Q85" s="17">
        <v>13.699420000000002</v>
      </c>
      <c r="T85" s="45">
        <v>11</v>
      </c>
      <c r="U85" s="14">
        <f t="shared" si="23"/>
        <v>1.5951916666667287E-2</v>
      </c>
      <c r="V85" s="14">
        <f t="shared" si="23"/>
        <v>6.0950000000037363E-4</v>
      </c>
      <c r="W85" s="14">
        <f t="shared" si="23"/>
        <v>0</v>
      </c>
      <c r="X85" s="14">
        <f t="shared" si="23"/>
        <v>0</v>
      </c>
      <c r="Y85" s="15">
        <f t="shared" si="18"/>
        <v>5.1765833333341504E-3</v>
      </c>
      <c r="Z85" s="15">
        <f t="shared" si="18"/>
        <v>0</v>
      </c>
      <c r="AA85" s="15">
        <f t="shared" si="18"/>
        <v>0</v>
      </c>
      <c r="AB85" s="16">
        <f t="shared" si="18"/>
        <v>0</v>
      </c>
      <c r="AC85" s="16">
        <f t="shared" si="24"/>
        <v>8.9956666666637375E-3</v>
      </c>
      <c r="AD85" s="16">
        <f t="shared" si="24"/>
        <v>1.3863500000002915E-2</v>
      </c>
      <c r="AE85" s="16">
        <f t="shared" si="24"/>
        <v>0</v>
      </c>
      <c r="AF85" s="17">
        <f t="shared" si="24"/>
        <v>0</v>
      </c>
      <c r="AG85" s="17">
        <f t="shared" si="25"/>
        <v>2.3710833333328907E-2</v>
      </c>
      <c r="AH85" s="17">
        <f t="shared" si="25"/>
        <v>1.5813333333333013E-2</v>
      </c>
      <c r="AI85" s="17">
        <f t="shared" si="25"/>
        <v>0</v>
      </c>
      <c r="AK85" s="5">
        <v>11</v>
      </c>
      <c r="AL85" s="57">
        <f t="shared" si="19"/>
        <v>4.1403541666669152E-3</v>
      </c>
      <c r="AM85">
        <f t="shared" si="20"/>
        <v>1.7255277777780502E-3</v>
      </c>
      <c r="AN85">
        <f t="shared" si="21"/>
        <v>5.7147916666666632E-3</v>
      </c>
      <c r="AO85">
        <f t="shared" si="22"/>
        <v>9.8810416666654799E-3</v>
      </c>
    </row>
    <row r="86" spans="2:41" x14ac:dyDescent="0.2">
      <c r="B86" s="45">
        <v>12</v>
      </c>
      <c r="C86" s="14">
        <v>6.1373147499999989</v>
      </c>
      <c r="D86" s="14">
        <v>7.1537015833333335</v>
      </c>
      <c r="E86" s="14">
        <v>5.3363549999999984</v>
      </c>
      <c r="F86" s="14">
        <v>5.0427210000000002</v>
      </c>
      <c r="G86" s="15">
        <v>6.2486224166666666</v>
      </c>
      <c r="H86" s="15">
        <v>15.796940000000005</v>
      </c>
      <c r="I86" s="15">
        <v>6.282438</v>
      </c>
      <c r="J86" s="16">
        <v>4.8785609999999995</v>
      </c>
      <c r="K86" s="16">
        <v>9.004169000000001</v>
      </c>
      <c r="L86" s="16">
        <v>9.5130024166666676</v>
      </c>
      <c r="M86" s="16">
        <v>5.3521980000000005</v>
      </c>
      <c r="N86" s="17">
        <v>9.3513401666666685</v>
      </c>
      <c r="O86" s="17">
        <v>11.418583333333332</v>
      </c>
      <c r="P86" s="17">
        <v>6.2746710000000006</v>
      </c>
      <c r="Q86" s="17">
        <v>13.727375833333333</v>
      </c>
      <c r="T86" s="45">
        <v>12</v>
      </c>
      <c r="U86" s="14">
        <f t="shared" si="23"/>
        <v>6.948783333333175E-2</v>
      </c>
      <c r="V86" s="14">
        <f t="shared" si="23"/>
        <v>1.2867583333334487E-2</v>
      </c>
      <c r="W86" s="14">
        <f t="shared" si="23"/>
        <v>0</v>
      </c>
      <c r="X86" s="14">
        <f t="shared" si="23"/>
        <v>0</v>
      </c>
      <c r="Y86" s="15">
        <f t="shared" si="18"/>
        <v>3.4331666666664873E-3</v>
      </c>
      <c r="Z86" s="15">
        <f t="shared" si="18"/>
        <v>0</v>
      </c>
      <c r="AA86" s="15">
        <f t="shared" si="18"/>
        <v>0</v>
      </c>
      <c r="AB86" s="16">
        <f t="shared" si="18"/>
        <v>0</v>
      </c>
      <c r="AC86" s="16">
        <f t="shared" si="24"/>
        <v>2.6455000000016327E-3</v>
      </c>
      <c r="AD86" s="16">
        <f t="shared" si="24"/>
        <v>7.2415916666665581E-2</v>
      </c>
      <c r="AE86" s="16">
        <f t="shared" si="24"/>
        <v>0</v>
      </c>
      <c r="AF86" s="17">
        <f t="shared" si="24"/>
        <v>3.197166666669915E-3</v>
      </c>
      <c r="AG86" s="17">
        <f t="shared" si="25"/>
        <v>5.4282499999999345E-2</v>
      </c>
      <c r="AH86" s="17">
        <f t="shared" si="25"/>
        <v>1.4050000000000118E-2</v>
      </c>
      <c r="AI86" s="17">
        <f t="shared" si="25"/>
        <v>2.7955833333331626E-2</v>
      </c>
      <c r="AK86" s="5">
        <v>12</v>
      </c>
      <c r="AL86" s="57">
        <f t="shared" si="19"/>
        <v>2.0588854166666559E-2</v>
      </c>
      <c r="AM86">
        <f t="shared" si="20"/>
        <v>1.1443888888888292E-3</v>
      </c>
      <c r="AN86">
        <f t="shared" si="21"/>
        <v>1.8765354166666803E-2</v>
      </c>
      <c r="AO86">
        <f t="shared" si="22"/>
        <v>2.4871375000000251E-2</v>
      </c>
    </row>
    <row r="87" spans="2:41" x14ac:dyDescent="0.2">
      <c r="B87" s="45">
        <v>13</v>
      </c>
      <c r="C87" s="14">
        <v>6.2053845000000001</v>
      </c>
      <c r="D87" s="14">
        <v>7.2130641666666664</v>
      </c>
      <c r="E87" s="14">
        <v>5.3363549999999984</v>
      </c>
      <c r="F87" s="14">
        <v>5.0502362500000002</v>
      </c>
      <c r="G87" s="15">
        <v>6.2520555833333331</v>
      </c>
      <c r="H87" s="15">
        <v>15.796940000000005</v>
      </c>
      <c r="I87" s="15">
        <v>6.282438</v>
      </c>
      <c r="J87" s="16">
        <v>4.8785609999999995</v>
      </c>
      <c r="K87" s="16">
        <v>9.0557821666666651</v>
      </c>
      <c r="L87" s="16">
        <v>9.591505333333334</v>
      </c>
      <c r="M87" s="16">
        <v>5.3521980000000005</v>
      </c>
      <c r="N87" s="17">
        <v>9.3777026666666661</v>
      </c>
      <c r="O87" s="17">
        <v>11.463443333333332</v>
      </c>
      <c r="P87" s="17">
        <v>6.2788461666666668</v>
      </c>
      <c r="Q87" s="17">
        <v>13.747579999999999</v>
      </c>
      <c r="T87" s="45">
        <v>13</v>
      </c>
      <c r="U87" s="14">
        <f t="shared" si="23"/>
        <v>6.806975000000115E-2</v>
      </c>
      <c r="V87" s="14">
        <f t="shared" si="23"/>
        <v>5.9362583333332886E-2</v>
      </c>
      <c r="W87" s="14">
        <f t="shared" si="23"/>
        <v>0</v>
      </c>
      <c r="X87" s="14">
        <f t="shared" si="23"/>
        <v>7.5152499999999733E-3</v>
      </c>
      <c r="Y87" s="15">
        <f t="shared" si="18"/>
        <v>3.4331666666664873E-3</v>
      </c>
      <c r="Z87" s="15">
        <f t="shared" si="18"/>
        <v>0</v>
      </c>
      <c r="AA87" s="15">
        <f t="shared" si="18"/>
        <v>0</v>
      </c>
      <c r="AB87" s="16">
        <f t="shared" si="18"/>
        <v>0</v>
      </c>
      <c r="AC87" s="16">
        <f t="shared" si="24"/>
        <v>5.1613166666664156E-2</v>
      </c>
      <c r="AD87" s="16">
        <f t="shared" si="24"/>
        <v>7.8502916666666422E-2</v>
      </c>
      <c r="AE87" s="16">
        <f t="shared" si="24"/>
        <v>0</v>
      </c>
      <c r="AF87" s="17">
        <f t="shared" si="24"/>
        <v>2.6362499999997624E-2</v>
      </c>
      <c r="AG87" s="17">
        <f t="shared" si="25"/>
        <v>4.48599999999999E-2</v>
      </c>
      <c r="AH87" s="17">
        <f t="shared" si="25"/>
        <v>4.1751666666662857E-3</v>
      </c>
      <c r="AI87" s="17">
        <f t="shared" si="25"/>
        <v>2.0204166666665913E-2</v>
      </c>
      <c r="AK87" s="5">
        <v>13</v>
      </c>
      <c r="AL87" s="57">
        <f t="shared" si="19"/>
        <v>3.3736895833333502E-2</v>
      </c>
      <c r="AM87">
        <f t="shared" si="20"/>
        <v>1.1443888888888292E-3</v>
      </c>
      <c r="AN87">
        <f t="shared" si="21"/>
        <v>3.2529020833332645E-2</v>
      </c>
      <c r="AO87">
        <f t="shared" si="22"/>
        <v>2.3900458333332431E-2</v>
      </c>
    </row>
    <row r="88" spans="2:41" x14ac:dyDescent="0.2">
      <c r="B88" s="45">
        <v>14</v>
      </c>
      <c r="C88" s="14">
        <v>6.2892094999999992</v>
      </c>
      <c r="D88" s="14">
        <v>7.2765789166666659</v>
      </c>
      <c r="E88" s="14">
        <v>5.3363549999999984</v>
      </c>
      <c r="F88" s="14">
        <v>5.0712630833333323</v>
      </c>
      <c r="G88" s="15">
        <v>6.2543029999999993</v>
      </c>
      <c r="H88" s="15">
        <v>15.818646666666664</v>
      </c>
      <c r="I88" s="15">
        <v>6.282438</v>
      </c>
      <c r="J88" s="16">
        <v>4.8785609999999995</v>
      </c>
      <c r="K88" s="16">
        <v>9.2322025833333328</v>
      </c>
      <c r="L88" s="16">
        <v>9.687521499999999</v>
      </c>
      <c r="M88" s="16">
        <v>5.3521980000000005</v>
      </c>
      <c r="N88" s="17">
        <v>9.4086017500000008</v>
      </c>
      <c r="O88" s="17">
        <v>11.484765000000001</v>
      </c>
      <c r="P88" s="17">
        <v>6.3341150000000006</v>
      </c>
      <c r="Q88" s="17">
        <v>13.757879166666669</v>
      </c>
      <c r="T88" s="45">
        <v>14</v>
      </c>
      <c r="U88" s="14">
        <f t="shared" si="23"/>
        <v>8.382499999999915E-2</v>
      </c>
      <c r="V88" s="14">
        <f t="shared" si="23"/>
        <v>6.3514749999999509E-2</v>
      </c>
      <c r="W88" s="14">
        <f t="shared" si="23"/>
        <v>0</v>
      </c>
      <c r="X88" s="14">
        <f t="shared" si="23"/>
        <v>2.1026833333332107E-2</v>
      </c>
      <c r="Y88" s="15">
        <f t="shared" si="18"/>
        <v>2.2474166666661688E-3</v>
      </c>
      <c r="Z88" s="15">
        <f t="shared" si="18"/>
        <v>2.1706666666659657E-2</v>
      </c>
      <c r="AA88" s="15">
        <f t="shared" si="18"/>
        <v>0</v>
      </c>
      <c r="AB88" s="16">
        <f t="shared" si="18"/>
        <v>0</v>
      </c>
      <c r="AC88" s="16">
        <f t="shared" si="24"/>
        <v>0.17642041666666763</v>
      </c>
      <c r="AD88" s="16">
        <f t="shared" si="24"/>
        <v>9.6016166666665015E-2</v>
      </c>
      <c r="AE88" s="16">
        <f t="shared" si="24"/>
        <v>0</v>
      </c>
      <c r="AF88" s="17">
        <f t="shared" si="24"/>
        <v>3.0899083333334687E-2</v>
      </c>
      <c r="AG88" s="17">
        <f t="shared" si="25"/>
        <v>2.1321666666668904E-2</v>
      </c>
      <c r="AH88" s="17">
        <f t="shared" si="25"/>
        <v>5.5268833333333767E-2</v>
      </c>
      <c r="AI88" s="17">
        <f t="shared" si="25"/>
        <v>1.0299166666669635E-2</v>
      </c>
      <c r="AK88" s="5">
        <v>14</v>
      </c>
      <c r="AL88" s="57">
        <f t="shared" si="19"/>
        <v>4.2091645833332691E-2</v>
      </c>
      <c r="AM88">
        <f t="shared" si="20"/>
        <v>7.9846944444419421E-3</v>
      </c>
      <c r="AN88">
        <f t="shared" si="21"/>
        <v>6.8109145833333162E-2</v>
      </c>
      <c r="AO88">
        <f t="shared" si="22"/>
        <v>2.9447187500001748E-2</v>
      </c>
    </row>
    <row r="89" spans="2:41" x14ac:dyDescent="0.2">
      <c r="B89" s="45">
        <v>15</v>
      </c>
      <c r="C89" s="14">
        <v>6.4643702499999991</v>
      </c>
      <c r="D89" s="14">
        <v>7.3400936666666672</v>
      </c>
      <c r="E89" s="14">
        <v>5.3475626666666658</v>
      </c>
      <c r="F89" s="14">
        <v>5.0751739999999987</v>
      </c>
      <c r="G89" s="15">
        <v>6.2543519999999981</v>
      </c>
      <c r="H89" s="15">
        <v>15.847865833333332</v>
      </c>
      <c r="I89" s="15">
        <v>6.282438</v>
      </c>
      <c r="J89" s="16">
        <v>4.8785609999999995</v>
      </c>
      <c r="K89" s="16">
        <v>9.4141635833333339</v>
      </c>
      <c r="L89" s="16">
        <v>9.6973559999999992</v>
      </c>
      <c r="M89" s="16">
        <v>5.3521980000000005</v>
      </c>
      <c r="N89" s="17">
        <v>9.4395008333333354</v>
      </c>
      <c r="O89" s="17">
        <v>11.505364999999999</v>
      </c>
      <c r="P89" s="17">
        <v>6.4044961666666653</v>
      </c>
      <c r="Q89" s="17">
        <v>13.772589999999999</v>
      </c>
      <c r="T89" s="45">
        <v>15</v>
      </c>
      <c r="U89" s="14">
        <f t="shared" si="23"/>
        <v>0.17516074999999987</v>
      </c>
      <c r="V89" s="14">
        <f t="shared" si="23"/>
        <v>6.3514750000001285E-2</v>
      </c>
      <c r="W89" s="14">
        <f t="shared" si="23"/>
        <v>1.1207666666667393E-2</v>
      </c>
      <c r="X89" s="14">
        <f t="shared" si="23"/>
        <v>3.9109166666664308E-3</v>
      </c>
      <c r="Y89" s="15">
        <f t="shared" si="18"/>
        <v>4.8999999998855515E-5</v>
      </c>
      <c r="Z89" s="15">
        <f t="shared" si="18"/>
        <v>2.9219166666667462E-2</v>
      </c>
      <c r="AA89" s="15">
        <f t="shared" si="18"/>
        <v>0</v>
      </c>
      <c r="AB89" s="16">
        <f t="shared" si="18"/>
        <v>0</v>
      </c>
      <c r="AC89" s="16">
        <f t="shared" si="24"/>
        <v>0.18196100000000115</v>
      </c>
      <c r="AD89" s="16">
        <f t="shared" si="24"/>
        <v>9.8345000000001903E-3</v>
      </c>
      <c r="AE89" s="16">
        <f t="shared" si="24"/>
        <v>0</v>
      </c>
      <c r="AF89" s="17">
        <f t="shared" si="24"/>
        <v>3.0899083333334687E-2</v>
      </c>
      <c r="AG89" s="17">
        <f t="shared" si="25"/>
        <v>2.0599999999998175E-2</v>
      </c>
      <c r="AH89" s="17">
        <f t="shared" si="25"/>
        <v>7.0381166666664718E-2</v>
      </c>
      <c r="AI89" s="17">
        <f t="shared" si="25"/>
        <v>1.4710833333330342E-2</v>
      </c>
      <c r="AK89" s="5">
        <v>15</v>
      </c>
      <c r="AL89" s="57">
        <f t="shared" si="19"/>
        <v>6.3448520833333744E-2</v>
      </c>
      <c r="AM89">
        <f t="shared" si="20"/>
        <v>9.7560555555554398E-3</v>
      </c>
      <c r="AN89">
        <f t="shared" si="21"/>
        <v>4.7948875000000335E-2</v>
      </c>
      <c r="AO89">
        <f t="shared" si="22"/>
        <v>3.4147770833331981E-2</v>
      </c>
    </row>
    <row r="90" spans="2:41" x14ac:dyDescent="0.2">
      <c r="B90" s="45">
        <v>16</v>
      </c>
      <c r="C90" s="14">
        <v>6.6531977499999995</v>
      </c>
      <c r="D90" s="14">
        <v>7.4036082500000013</v>
      </c>
      <c r="E90" s="14">
        <v>5.3920459999999997</v>
      </c>
      <c r="F90" s="14">
        <v>5.0751739999999987</v>
      </c>
      <c r="G90" s="15">
        <v>6.2543519999999981</v>
      </c>
      <c r="H90" s="15">
        <v>15.918113333333332</v>
      </c>
      <c r="I90" s="15">
        <v>6.282438</v>
      </c>
      <c r="J90" s="16">
        <v>4.8785609999999995</v>
      </c>
      <c r="K90" s="16">
        <v>9.5961246666666682</v>
      </c>
      <c r="L90" s="16">
        <v>9.6973559999999992</v>
      </c>
      <c r="M90" s="16">
        <v>5.3521980000000005</v>
      </c>
      <c r="N90" s="17">
        <v>9.4703998333333335</v>
      </c>
      <c r="O90" s="17">
        <v>11.533007499999998</v>
      </c>
      <c r="P90" s="17">
        <v>6.4748773333333327</v>
      </c>
      <c r="Q90" s="17">
        <v>13.790489166666667</v>
      </c>
      <c r="T90" s="45">
        <v>16</v>
      </c>
      <c r="U90" s="14">
        <f t="shared" si="23"/>
        <v>0.18882750000000037</v>
      </c>
      <c r="V90" s="14">
        <f t="shared" si="23"/>
        <v>6.3514583333334151E-2</v>
      </c>
      <c r="W90" s="14">
        <f t="shared" si="23"/>
        <v>4.4483333333333874E-2</v>
      </c>
      <c r="X90" s="14">
        <f t="shared" si="23"/>
        <v>0</v>
      </c>
      <c r="Y90" s="15">
        <f t="shared" si="18"/>
        <v>0</v>
      </c>
      <c r="Z90" s="15">
        <f t="shared" si="18"/>
        <v>7.0247500000000684E-2</v>
      </c>
      <c r="AA90" s="15">
        <f t="shared" si="18"/>
        <v>0</v>
      </c>
      <c r="AB90" s="16">
        <f t="shared" si="18"/>
        <v>0</v>
      </c>
      <c r="AC90" s="16">
        <f t="shared" si="24"/>
        <v>0.18196108333333427</v>
      </c>
      <c r="AD90" s="16">
        <f t="shared" si="24"/>
        <v>0</v>
      </c>
      <c r="AE90" s="16">
        <f t="shared" si="24"/>
        <v>0</v>
      </c>
      <c r="AF90" s="17">
        <f t="shared" si="24"/>
        <v>3.0898999999998011E-2</v>
      </c>
      <c r="AG90" s="17">
        <f t="shared" si="25"/>
        <v>2.7642499999998904E-2</v>
      </c>
      <c r="AH90" s="17">
        <f t="shared" si="25"/>
        <v>7.0381166666667383E-2</v>
      </c>
      <c r="AI90" s="17">
        <f t="shared" si="25"/>
        <v>1.7899166666667909E-2</v>
      </c>
      <c r="AK90" s="5">
        <v>16</v>
      </c>
      <c r="AL90" s="57">
        <f t="shared" si="19"/>
        <v>7.4206354166667099E-2</v>
      </c>
      <c r="AM90">
        <f t="shared" si="20"/>
        <v>2.3415833333333563E-2</v>
      </c>
      <c r="AN90">
        <f t="shared" si="21"/>
        <v>4.5490270833333568E-2</v>
      </c>
      <c r="AO90">
        <f t="shared" si="22"/>
        <v>3.6705458333333052E-2</v>
      </c>
    </row>
    <row r="91" spans="2:41" x14ac:dyDescent="0.2">
      <c r="B91" s="45">
        <v>17</v>
      </c>
      <c r="C91" s="14">
        <v>6.8420252499999998</v>
      </c>
      <c r="D91" s="14">
        <v>7.5138239166666665</v>
      </c>
      <c r="E91" s="14">
        <v>5.4378950000000001</v>
      </c>
      <c r="F91" s="14">
        <v>5.0751739999999987</v>
      </c>
      <c r="G91" s="15">
        <v>6.2543519999999981</v>
      </c>
      <c r="H91" s="15">
        <v>16.030371666666667</v>
      </c>
      <c r="I91" s="15">
        <v>6.282438</v>
      </c>
      <c r="J91" s="16">
        <v>4.8785609999999995</v>
      </c>
      <c r="K91" s="16">
        <v>9.7706756666666674</v>
      </c>
      <c r="L91" s="16">
        <v>9.6973559999999992</v>
      </c>
      <c r="M91" s="16">
        <v>5.3521980000000005</v>
      </c>
      <c r="N91" s="17">
        <v>9.5012989166666664</v>
      </c>
      <c r="O91" s="17">
        <v>11.608125833333334</v>
      </c>
      <c r="P91" s="17">
        <v>6.5250016666666646</v>
      </c>
      <c r="Q91" s="17">
        <v>13.818599999999998</v>
      </c>
      <c r="T91" s="45">
        <v>17</v>
      </c>
      <c r="U91" s="14">
        <f t="shared" si="23"/>
        <v>0.18882750000000037</v>
      </c>
      <c r="V91" s="14">
        <f t="shared" si="23"/>
        <v>0.11021566666666516</v>
      </c>
      <c r="W91" s="14">
        <f t="shared" si="23"/>
        <v>4.5849000000000473E-2</v>
      </c>
      <c r="X91" s="14">
        <f t="shared" si="23"/>
        <v>0</v>
      </c>
      <c r="Y91" s="15">
        <f t="shared" si="18"/>
        <v>0</v>
      </c>
      <c r="Z91" s="15">
        <f t="shared" si="18"/>
        <v>0.1122583333333349</v>
      </c>
      <c r="AA91" s="15">
        <f t="shared" si="18"/>
        <v>0</v>
      </c>
      <c r="AB91" s="16">
        <f t="shared" si="18"/>
        <v>0</v>
      </c>
      <c r="AC91" s="16">
        <f t="shared" si="24"/>
        <v>0.17455099999999923</v>
      </c>
      <c r="AD91" s="16">
        <f t="shared" si="24"/>
        <v>0</v>
      </c>
      <c r="AE91" s="16">
        <f t="shared" si="24"/>
        <v>0</v>
      </c>
      <c r="AF91" s="17">
        <f t="shared" si="24"/>
        <v>3.0899083333332911E-2</v>
      </c>
      <c r="AG91" s="17">
        <f t="shared" si="25"/>
        <v>7.5118333333335841E-2</v>
      </c>
      <c r="AH91" s="17">
        <f t="shared" si="25"/>
        <v>5.0124333333331883E-2</v>
      </c>
      <c r="AI91" s="17">
        <f t="shared" si="25"/>
        <v>2.8110833333331087E-2</v>
      </c>
      <c r="AK91" s="5">
        <v>17</v>
      </c>
      <c r="AL91" s="57">
        <f t="shared" si="19"/>
        <v>8.62230416666665E-2</v>
      </c>
      <c r="AM91">
        <f t="shared" si="20"/>
        <v>3.741944444444497E-2</v>
      </c>
      <c r="AN91">
        <f t="shared" si="21"/>
        <v>4.3637749999999809E-2</v>
      </c>
      <c r="AO91">
        <f t="shared" si="22"/>
        <v>4.606314583333293E-2</v>
      </c>
    </row>
    <row r="92" spans="2:41" x14ac:dyDescent="0.2">
      <c r="B92" s="45">
        <v>18</v>
      </c>
      <c r="C92" s="14">
        <v>7.015519666666667</v>
      </c>
      <c r="D92" s="14">
        <v>7.7478480000000021</v>
      </c>
      <c r="E92" s="14">
        <v>5.4876241666666665</v>
      </c>
      <c r="F92" s="14">
        <v>5.0751739999999987</v>
      </c>
      <c r="G92" s="15">
        <v>6.2544699999999986</v>
      </c>
      <c r="H92" s="15">
        <v>16.134053333333338</v>
      </c>
      <c r="I92" s="15">
        <v>6.282438</v>
      </c>
      <c r="J92" s="16">
        <v>4.8785609999999995</v>
      </c>
      <c r="K92" s="16">
        <v>10.11727066666667</v>
      </c>
      <c r="L92" s="16">
        <v>9.8065584999999995</v>
      </c>
      <c r="M92" s="16">
        <v>5.3521980000000005</v>
      </c>
      <c r="N92" s="17">
        <v>9.5321979166666679</v>
      </c>
      <c r="O92" s="17">
        <v>11.647806666666668</v>
      </c>
      <c r="P92" s="17">
        <v>6.5270469999999969</v>
      </c>
      <c r="Q92" s="17">
        <v>13.925451666666666</v>
      </c>
      <c r="T92" s="45">
        <v>18</v>
      </c>
      <c r="U92" s="14">
        <f t="shared" si="23"/>
        <v>0.17349441666666721</v>
      </c>
      <c r="V92" s="14">
        <f t="shared" si="23"/>
        <v>0.23402408333333558</v>
      </c>
      <c r="W92" s="14">
        <f t="shared" si="23"/>
        <v>4.972916666666638E-2</v>
      </c>
      <c r="X92" s="14">
        <f t="shared" si="23"/>
        <v>0</v>
      </c>
      <c r="Y92" s="15">
        <f t="shared" si="18"/>
        <v>1.1800000000050659E-4</v>
      </c>
      <c r="Z92" s="15">
        <f t="shared" si="18"/>
        <v>0.10368166666667022</v>
      </c>
      <c r="AA92" s="15">
        <f t="shared" si="18"/>
        <v>0</v>
      </c>
      <c r="AB92" s="16">
        <f t="shared" si="18"/>
        <v>0</v>
      </c>
      <c r="AC92" s="16">
        <f t="shared" si="24"/>
        <v>0.34659500000000243</v>
      </c>
      <c r="AD92" s="16">
        <f t="shared" si="24"/>
        <v>0.10920250000000031</v>
      </c>
      <c r="AE92" s="16">
        <f t="shared" si="24"/>
        <v>0</v>
      </c>
      <c r="AF92" s="17">
        <f t="shared" si="24"/>
        <v>3.0899000000001564E-2</v>
      </c>
      <c r="AG92" s="17">
        <f t="shared" si="25"/>
        <v>3.9680833333333609E-2</v>
      </c>
      <c r="AH92" s="17">
        <f t="shared" si="25"/>
        <v>2.0453333333323442E-3</v>
      </c>
      <c r="AI92" s="17">
        <f t="shared" si="25"/>
        <v>0.10685166666666746</v>
      </c>
      <c r="AK92" s="5">
        <v>18</v>
      </c>
      <c r="AL92" s="57">
        <f t="shared" si="19"/>
        <v>0.11431191666666729</v>
      </c>
      <c r="AM92">
        <f t="shared" si="20"/>
        <v>3.4599888888890241E-2</v>
      </c>
      <c r="AN92">
        <f t="shared" si="21"/>
        <v>0.11394937500000069</v>
      </c>
      <c r="AO92">
        <f t="shared" si="22"/>
        <v>4.4869208333333743E-2</v>
      </c>
    </row>
    <row r="93" spans="2:41" x14ac:dyDescent="0.2">
      <c r="B93" s="45">
        <v>19</v>
      </c>
      <c r="C93" s="14">
        <v>7.1532796666666663</v>
      </c>
      <c r="D93" s="14">
        <v>7.7526540000000024</v>
      </c>
      <c r="E93" s="14">
        <v>5.5408391666666672</v>
      </c>
      <c r="F93" s="14">
        <v>5.0751739999999987</v>
      </c>
      <c r="G93" s="15">
        <v>6.2610678333333318</v>
      </c>
      <c r="H93" s="15">
        <v>16.251920000000002</v>
      </c>
      <c r="I93" s="15">
        <v>6.282438</v>
      </c>
      <c r="J93" s="16">
        <v>4.8785609999999995</v>
      </c>
      <c r="K93" s="16">
        <v>10.201220000000001</v>
      </c>
      <c r="L93" s="16">
        <v>10.073120333333334</v>
      </c>
      <c r="M93" s="16">
        <v>5.3521980000000005</v>
      </c>
      <c r="N93" s="17">
        <v>9.5630970000000008</v>
      </c>
      <c r="O93" s="17">
        <v>11.668015000000002</v>
      </c>
      <c r="P93" s="17">
        <v>6.5270469999999969</v>
      </c>
      <c r="Q93" s="17">
        <v>14.076514166666668</v>
      </c>
      <c r="T93" s="45">
        <v>19</v>
      </c>
      <c r="U93" s="14">
        <f t="shared" si="23"/>
        <v>0.13775999999999922</v>
      </c>
      <c r="V93" s="14">
        <f t="shared" si="23"/>
        <v>4.80600000000031E-3</v>
      </c>
      <c r="W93" s="14">
        <f t="shared" si="23"/>
        <v>5.3215000000000678E-2</v>
      </c>
      <c r="X93" s="14">
        <f t="shared" si="23"/>
        <v>0</v>
      </c>
      <c r="Y93" s="15">
        <f t="shared" si="18"/>
        <v>6.5978333333331918E-3</v>
      </c>
      <c r="Z93" s="15">
        <f t="shared" si="18"/>
        <v>0.11786666666666434</v>
      </c>
      <c r="AA93" s="15">
        <f t="shared" si="18"/>
        <v>0</v>
      </c>
      <c r="AB93" s="16">
        <f t="shared" si="18"/>
        <v>0</v>
      </c>
      <c r="AC93" s="16">
        <f t="shared" si="24"/>
        <v>8.3949333333331211E-2</v>
      </c>
      <c r="AD93" s="16">
        <f t="shared" si="24"/>
        <v>0.26656183333333416</v>
      </c>
      <c r="AE93" s="16">
        <f t="shared" si="24"/>
        <v>0</v>
      </c>
      <c r="AF93" s="17">
        <f t="shared" si="24"/>
        <v>3.0899083333332911E-2</v>
      </c>
      <c r="AG93" s="17">
        <f t="shared" si="25"/>
        <v>2.0208333333334494E-2</v>
      </c>
      <c r="AH93" s="17">
        <f t="shared" si="25"/>
        <v>0</v>
      </c>
      <c r="AI93" s="17">
        <f t="shared" si="25"/>
        <v>0.15106250000000188</v>
      </c>
      <c r="AK93" s="5">
        <v>19</v>
      </c>
      <c r="AL93" s="57">
        <f t="shared" si="19"/>
        <v>4.8945250000000051E-2</v>
      </c>
      <c r="AM93">
        <f t="shared" si="20"/>
        <v>4.1488166666665847E-2</v>
      </c>
      <c r="AN93">
        <f t="shared" si="21"/>
        <v>8.7627791666666344E-2</v>
      </c>
      <c r="AO93">
        <f t="shared" si="22"/>
        <v>5.054247916666732E-2</v>
      </c>
    </row>
    <row r="94" spans="2:41" x14ac:dyDescent="0.2">
      <c r="B94" s="45">
        <v>20</v>
      </c>
      <c r="C94" s="14">
        <v>7.3613442499999993</v>
      </c>
      <c r="D94" s="14">
        <v>7.8461894166666655</v>
      </c>
      <c r="E94" s="14">
        <v>5.5954827499999995</v>
      </c>
      <c r="F94" s="14">
        <v>5.0751739999999987</v>
      </c>
      <c r="G94" s="15">
        <v>6.2713675000000002</v>
      </c>
      <c r="H94" s="15">
        <v>16.548792500000001</v>
      </c>
      <c r="I94" s="15">
        <v>6.282438</v>
      </c>
      <c r="J94" s="16">
        <v>5.0374075000000005</v>
      </c>
      <c r="K94" s="16">
        <v>10.201220000000001</v>
      </c>
      <c r="L94" s="16">
        <v>10.340911666666669</v>
      </c>
      <c r="M94" s="16">
        <v>5.3521980000000005</v>
      </c>
      <c r="N94" s="17">
        <v>9.593996083333332</v>
      </c>
      <c r="O94" s="17">
        <v>11.676849166666665</v>
      </c>
      <c r="P94" s="17">
        <v>6.529921916666666</v>
      </c>
      <c r="Q94" s="17">
        <v>14.227576666666666</v>
      </c>
      <c r="T94" s="45">
        <v>20</v>
      </c>
      <c r="U94" s="14">
        <f t="shared" si="23"/>
        <v>0.208064583333333</v>
      </c>
      <c r="V94" s="14">
        <f t="shared" si="23"/>
        <v>9.3535416666663096E-2</v>
      </c>
      <c r="W94" s="14">
        <f t="shared" si="23"/>
        <v>5.4643583333332302E-2</v>
      </c>
      <c r="X94" s="14">
        <f t="shared" si="23"/>
        <v>0</v>
      </c>
      <c r="Y94" s="15">
        <f t="shared" si="18"/>
        <v>1.0299666666668372E-2</v>
      </c>
      <c r="Z94" s="15">
        <f t="shared" si="18"/>
        <v>0.29687249999999921</v>
      </c>
      <c r="AA94" s="15">
        <f t="shared" si="18"/>
        <v>0</v>
      </c>
      <c r="AB94" s="16">
        <f t="shared" si="18"/>
        <v>0.158846500000001</v>
      </c>
      <c r="AC94" s="16">
        <f t="shared" si="24"/>
        <v>0</v>
      </c>
      <c r="AD94" s="16">
        <f t="shared" si="24"/>
        <v>0.26779133333333505</v>
      </c>
      <c r="AE94" s="16">
        <f t="shared" si="24"/>
        <v>0</v>
      </c>
      <c r="AF94" s="17">
        <f t="shared" si="24"/>
        <v>3.0899083333331134E-2</v>
      </c>
      <c r="AG94" s="17">
        <f t="shared" si="25"/>
        <v>8.8341666666629237E-3</v>
      </c>
      <c r="AH94" s="17">
        <f t="shared" si="25"/>
        <v>2.8749166666690584E-3</v>
      </c>
      <c r="AI94" s="17">
        <f t="shared" si="25"/>
        <v>0.15106249999999832</v>
      </c>
      <c r="AK94" s="5">
        <v>20</v>
      </c>
      <c r="AL94" s="57">
        <f t="shared" si="19"/>
        <v>8.9060895833332099E-2</v>
      </c>
      <c r="AM94">
        <f t="shared" si="20"/>
        <v>0.10239072222222252</v>
      </c>
      <c r="AN94">
        <f t="shared" si="21"/>
        <v>0.10665945833333401</v>
      </c>
      <c r="AO94">
        <f t="shared" si="22"/>
        <v>4.841766666666536E-2</v>
      </c>
    </row>
    <row r="95" spans="2:41" x14ac:dyDescent="0.2">
      <c r="B95" s="45">
        <v>21</v>
      </c>
      <c r="C95" s="14">
        <v>7.5076650833333352</v>
      </c>
      <c r="D95" s="14">
        <v>8.130090749999999</v>
      </c>
      <c r="E95" s="14">
        <v>5.6824444166666668</v>
      </c>
      <c r="F95" s="14">
        <v>5.0894744166666674</v>
      </c>
      <c r="G95" s="15">
        <v>6.2816672500000008</v>
      </c>
      <c r="H95" s="15">
        <v>17.154465000000002</v>
      </c>
      <c r="I95" s="15">
        <v>6.282438</v>
      </c>
      <c r="J95" s="16">
        <v>5.3060012500000004</v>
      </c>
      <c r="K95" s="16">
        <v>10.201220000000001</v>
      </c>
      <c r="L95" s="16">
        <v>10.575733333333334</v>
      </c>
      <c r="M95" s="16">
        <v>5.3521980000000005</v>
      </c>
      <c r="N95" s="17">
        <v>9.6248950833333335</v>
      </c>
      <c r="O95" s="17">
        <v>11.692066666666667</v>
      </c>
      <c r="P95" s="17">
        <v>6.5495338333333342</v>
      </c>
      <c r="Q95" s="17">
        <v>14.378639166666666</v>
      </c>
      <c r="T95" s="45">
        <v>21</v>
      </c>
      <c r="U95" s="14">
        <f t="shared" si="23"/>
        <v>0.1463208333333359</v>
      </c>
      <c r="V95" s="14">
        <f t="shared" si="23"/>
        <v>0.28390133333333356</v>
      </c>
      <c r="W95" s="14">
        <f t="shared" si="23"/>
        <v>8.696166666666727E-2</v>
      </c>
      <c r="X95" s="14">
        <f t="shared" si="23"/>
        <v>1.4300416666668703E-2</v>
      </c>
      <c r="Y95" s="15">
        <f t="shared" si="18"/>
        <v>1.0299750000000607E-2</v>
      </c>
      <c r="Z95" s="15">
        <f t="shared" si="18"/>
        <v>0.60567250000000072</v>
      </c>
      <c r="AA95" s="15">
        <f t="shared" si="18"/>
        <v>0</v>
      </c>
      <c r="AB95" s="16">
        <f t="shared" si="18"/>
        <v>0.26859374999999996</v>
      </c>
      <c r="AC95" s="16">
        <f t="shared" si="24"/>
        <v>0</v>
      </c>
      <c r="AD95" s="16">
        <f t="shared" si="24"/>
        <v>0.23482166666666515</v>
      </c>
      <c r="AE95" s="16">
        <f t="shared" si="24"/>
        <v>0</v>
      </c>
      <c r="AF95" s="17">
        <f t="shared" si="24"/>
        <v>3.0899000000001564E-2</v>
      </c>
      <c r="AG95" s="17">
        <f t="shared" si="25"/>
        <v>1.5217500000002104E-2</v>
      </c>
      <c r="AH95" s="17">
        <f t="shared" si="25"/>
        <v>1.9611916666668172E-2</v>
      </c>
      <c r="AI95" s="17">
        <f t="shared" si="25"/>
        <v>0.1510625000000001</v>
      </c>
      <c r="AK95" s="5">
        <v>21</v>
      </c>
      <c r="AL95" s="57">
        <f t="shared" si="19"/>
        <v>0.13287106250000136</v>
      </c>
      <c r="AM95">
        <f t="shared" si="20"/>
        <v>0.20532408333333377</v>
      </c>
      <c r="AN95">
        <f t="shared" si="21"/>
        <v>0.12585385416666628</v>
      </c>
      <c r="AO95">
        <f t="shared" si="22"/>
        <v>5.4197729166667985E-2</v>
      </c>
    </row>
    <row r="96" spans="2:41" x14ac:dyDescent="0.2">
      <c r="B96" s="45">
        <v>22</v>
      </c>
      <c r="C96" s="14">
        <v>7.5358860000000005</v>
      </c>
      <c r="D96" s="14">
        <v>8.2839775000000007</v>
      </c>
      <c r="E96" s="14">
        <v>5.7986739999999992</v>
      </c>
      <c r="F96" s="14">
        <v>5.100625</v>
      </c>
      <c r="G96" s="15">
        <v>6.2919669166666674</v>
      </c>
      <c r="H96" s="15">
        <v>17.479958333333332</v>
      </c>
      <c r="I96" s="15">
        <v>6.2848759999999997</v>
      </c>
      <c r="J96" s="16">
        <v>5.5065765000000004</v>
      </c>
      <c r="K96" s="16">
        <v>10.201220000000001</v>
      </c>
      <c r="L96" s="16">
        <v>10.709938333333334</v>
      </c>
      <c r="M96" s="16">
        <v>5.3521980000000005</v>
      </c>
      <c r="N96" s="17">
        <v>9.6557941666666682</v>
      </c>
      <c r="O96" s="17">
        <v>11.726311666666666</v>
      </c>
      <c r="P96" s="17">
        <v>6.5718498333333342</v>
      </c>
      <c r="Q96" s="17">
        <v>14.485314999999998</v>
      </c>
      <c r="T96" s="45">
        <v>22</v>
      </c>
      <c r="U96" s="14">
        <f t="shared" si="23"/>
        <v>2.8220916666665374E-2</v>
      </c>
      <c r="V96" s="14">
        <f t="shared" si="23"/>
        <v>0.15388675000000163</v>
      </c>
      <c r="W96" s="14">
        <f t="shared" si="23"/>
        <v>0.11622958333333244</v>
      </c>
      <c r="X96" s="14">
        <f t="shared" si="23"/>
        <v>1.115058333333252E-2</v>
      </c>
      <c r="Y96" s="15">
        <f t="shared" si="18"/>
        <v>1.0299666666666596E-2</v>
      </c>
      <c r="Z96" s="15">
        <f t="shared" si="18"/>
        <v>0.32549333333333053</v>
      </c>
      <c r="AA96" s="15">
        <f t="shared" si="18"/>
        <v>2.4379999999997182E-3</v>
      </c>
      <c r="AB96" s="16">
        <f t="shared" si="18"/>
        <v>0.20057524999999998</v>
      </c>
      <c r="AC96" s="16">
        <f t="shared" si="24"/>
        <v>0</v>
      </c>
      <c r="AD96" s="16">
        <f t="shared" si="24"/>
        <v>0.13420499999999969</v>
      </c>
      <c r="AE96" s="16">
        <f t="shared" si="24"/>
        <v>0</v>
      </c>
      <c r="AF96" s="17">
        <f t="shared" si="24"/>
        <v>3.0899083333334687E-2</v>
      </c>
      <c r="AG96" s="17">
        <f t="shared" si="25"/>
        <v>3.4244999999998527E-2</v>
      </c>
      <c r="AH96" s="17">
        <f t="shared" si="25"/>
        <v>2.2316000000000003E-2</v>
      </c>
      <c r="AI96" s="17">
        <f t="shared" si="25"/>
        <v>0.10667583333333219</v>
      </c>
      <c r="AK96" s="5">
        <v>22</v>
      </c>
      <c r="AL96" s="57">
        <f t="shared" si="19"/>
        <v>7.7371958333332991E-2</v>
      </c>
      <c r="AM96">
        <f t="shared" si="20"/>
        <v>0.11274366666666562</v>
      </c>
      <c r="AN96">
        <f t="shared" si="21"/>
        <v>8.3695062499999917E-2</v>
      </c>
      <c r="AO96">
        <f t="shared" si="22"/>
        <v>4.8533979166666352E-2</v>
      </c>
    </row>
    <row r="97" spans="2:41" x14ac:dyDescent="0.2">
      <c r="B97" s="45">
        <v>23</v>
      </c>
      <c r="C97" s="14">
        <v>7.5358860000000005</v>
      </c>
      <c r="D97" s="14">
        <v>8.4138604166666671</v>
      </c>
      <c r="E97" s="14">
        <v>5.9145960833333326</v>
      </c>
      <c r="F97" s="14">
        <v>5.100625</v>
      </c>
      <c r="G97" s="15">
        <v>6.3017764999999999</v>
      </c>
      <c r="H97" s="15">
        <v>17.732489166666667</v>
      </c>
      <c r="I97" s="15">
        <v>6.3053121666666669</v>
      </c>
      <c r="J97" s="16">
        <v>5.7000980000000006</v>
      </c>
      <c r="K97" s="16">
        <v>10.203019166666667</v>
      </c>
      <c r="L97" s="16">
        <v>10.98706</v>
      </c>
      <c r="M97" s="16">
        <v>5.3521980000000005</v>
      </c>
      <c r="N97" s="17">
        <v>9.6866931666666662</v>
      </c>
      <c r="O97" s="17">
        <v>11.856530833333336</v>
      </c>
      <c r="P97" s="17">
        <v>6.5941658333333342</v>
      </c>
      <c r="Q97" s="17">
        <v>14.534642499999997</v>
      </c>
      <c r="T97" s="45">
        <v>23</v>
      </c>
      <c r="U97" s="14">
        <f t="shared" si="23"/>
        <v>0</v>
      </c>
      <c r="V97" s="14">
        <f t="shared" si="23"/>
        <v>0.1298829166666664</v>
      </c>
      <c r="W97" s="14">
        <f t="shared" si="23"/>
        <v>0.11592208333333343</v>
      </c>
      <c r="X97" s="14">
        <f t="shared" si="23"/>
        <v>0</v>
      </c>
      <c r="Y97" s="15">
        <f t="shared" si="18"/>
        <v>9.8095833333324833E-3</v>
      </c>
      <c r="Z97" s="15">
        <f t="shared" si="18"/>
        <v>0.25253083333333493</v>
      </c>
      <c r="AA97" s="15">
        <f t="shared" si="18"/>
        <v>2.0436166666667255E-2</v>
      </c>
      <c r="AB97" s="16">
        <f t="shared" si="18"/>
        <v>0.19352150000000012</v>
      </c>
      <c r="AC97" s="16">
        <f t="shared" si="24"/>
        <v>1.7991666666663519E-3</v>
      </c>
      <c r="AD97" s="16">
        <f t="shared" si="24"/>
        <v>0.27712166666666604</v>
      </c>
      <c r="AE97" s="16">
        <f t="shared" si="24"/>
        <v>0</v>
      </c>
      <c r="AF97" s="17">
        <f t="shared" si="24"/>
        <v>3.0898999999998011E-2</v>
      </c>
      <c r="AG97" s="17">
        <f t="shared" si="25"/>
        <v>0.13021916666667011</v>
      </c>
      <c r="AH97" s="17">
        <f t="shared" si="25"/>
        <v>2.2316000000000003E-2</v>
      </c>
      <c r="AI97" s="17">
        <f t="shared" si="25"/>
        <v>4.9327499999998636E-2</v>
      </c>
      <c r="AK97" s="5">
        <v>23</v>
      </c>
      <c r="AL97" s="57">
        <f t="shared" si="19"/>
        <v>6.1451249999999957E-2</v>
      </c>
      <c r="AM97">
        <f t="shared" si="20"/>
        <v>9.425886111111155E-2</v>
      </c>
      <c r="AN97">
        <f t="shared" si="21"/>
        <v>0.11811058333333313</v>
      </c>
      <c r="AO97">
        <f t="shared" si="22"/>
        <v>5.8190416666666689E-2</v>
      </c>
    </row>
    <row r="98" spans="2:41" x14ac:dyDescent="0.2">
      <c r="B98" s="13">
        <v>0</v>
      </c>
      <c r="C98" s="14">
        <v>7.5358860000000005</v>
      </c>
      <c r="D98" s="14">
        <v>8.5305534166666668</v>
      </c>
      <c r="E98" s="14">
        <v>6.084472166666667</v>
      </c>
      <c r="F98" s="14">
        <v>5.1183676666666669</v>
      </c>
      <c r="G98" s="15">
        <v>6.3102815833333326</v>
      </c>
      <c r="H98" s="15">
        <v>18.267436666666665</v>
      </c>
      <c r="I98" s="15">
        <v>6.3293448333333338</v>
      </c>
      <c r="J98" s="16">
        <v>5.7534470000000004</v>
      </c>
      <c r="K98" s="16">
        <v>10.360183333333334</v>
      </c>
      <c r="L98" s="16">
        <v>11.171399166666667</v>
      </c>
      <c r="M98" s="16">
        <v>5.3521980000000005</v>
      </c>
      <c r="N98" s="17">
        <v>9.7175922499999992</v>
      </c>
      <c r="O98" s="17">
        <v>11.894900000000002</v>
      </c>
      <c r="P98" s="17">
        <v>6.6159886666666665</v>
      </c>
      <c r="Q98" s="17">
        <v>14.535599999999997</v>
      </c>
      <c r="T98" s="13">
        <v>0</v>
      </c>
      <c r="U98" s="14">
        <f t="shared" si="23"/>
        <v>0</v>
      </c>
      <c r="V98" s="14">
        <f t="shared" si="23"/>
        <v>0.11669299999999971</v>
      </c>
      <c r="W98" s="14">
        <f>E98-E97</f>
        <v>0.16987608333333437</v>
      </c>
      <c r="X98" s="14">
        <f t="shared" si="23"/>
        <v>1.7742666666666906E-2</v>
      </c>
      <c r="Y98" s="15">
        <f t="shared" si="18"/>
        <v>8.5050833333326636E-3</v>
      </c>
      <c r="Z98" s="15">
        <f t="shared" si="18"/>
        <v>0.53494749999999769</v>
      </c>
      <c r="AA98" s="15">
        <f t="shared" si="18"/>
        <v>2.4032666666666813E-2</v>
      </c>
      <c r="AB98" s="16">
        <f t="shared" si="18"/>
        <v>5.3348999999999869E-2</v>
      </c>
      <c r="AC98" s="16">
        <f t="shared" si="24"/>
        <v>0.15716416666666611</v>
      </c>
      <c r="AD98" s="16">
        <f t="shared" si="24"/>
        <v>0.18433916666666761</v>
      </c>
      <c r="AE98" s="16">
        <f t="shared" si="24"/>
        <v>0</v>
      </c>
      <c r="AF98" s="17">
        <f t="shared" si="24"/>
        <v>3.0899083333332911E-2</v>
      </c>
      <c r="AG98" s="17">
        <f t="shared" si="25"/>
        <v>3.8369166666665677E-2</v>
      </c>
      <c r="AH98" s="17">
        <f t="shared" si="25"/>
        <v>2.1822833333332348E-2</v>
      </c>
      <c r="AI98" s="17">
        <f t="shared" si="25"/>
        <v>9.5750000000016655E-4</v>
      </c>
      <c r="AK98" s="13">
        <v>0</v>
      </c>
      <c r="AL98" s="57">
        <f t="shared" si="19"/>
        <v>7.6077937500000248E-2</v>
      </c>
      <c r="AM98">
        <f t="shared" si="20"/>
        <v>0.18916174999999905</v>
      </c>
      <c r="AN98">
        <f>AVERAGE(AB98:AE98)</f>
        <v>9.8713083333333396E-2</v>
      </c>
      <c r="AO98">
        <f t="shared" si="22"/>
        <v>2.3012145833332776E-2</v>
      </c>
    </row>
  </sheetData>
  <mergeCells count="8">
    <mergeCell ref="BE30:BG30"/>
    <mergeCell ref="BJ30:BL30"/>
    <mergeCell ref="AR1:AU1"/>
    <mergeCell ref="AX1:BA1"/>
    <mergeCell ref="BD1:BG1"/>
    <mergeCell ref="BJ1:BM1"/>
    <mergeCell ref="AR30:AU30"/>
    <mergeCell ref="AX30:BA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9744-6EB1-3D42-A569-F603D4F80A67}">
  <dimension ref="A1:S1154"/>
  <sheetViews>
    <sheetView topLeftCell="M1" zoomScale="75" workbookViewId="0">
      <selection activeCell="F26" sqref="F26"/>
    </sheetView>
  </sheetViews>
  <sheetFormatPr baseColWidth="10" defaultRowHeight="16" x14ac:dyDescent="0.2"/>
  <cols>
    <col min="2" max="2" width="10.83203125" style="45"/>
    <col min="19" max="19" width="10.83203125" style="31"/>
  </cols>
  <sheetData>
    <row r="1" spans="1:18" x14ac:dyDescent="0.2">
      <c r="A1" s="23" t="s">
        <v>36</v>
      </c>
      <c r="B1" s="45" t="s">
        <v>1</v>
      </c>
      <c r="C1" s="19" t="s">
        <v>57</v>
      </c>
      <c r="D1" s="19" t="s">
        <v>58</v>
      </c>
      <c r="E1" s="19" t="s">
        <v>59</v>
      </c>
      <c r="F1" s="19" t="s">
        <v>60</v>
      </c>
      <c r="G1" s="20" t="s">
        <v>61</v>
      </c>
      <c r="H1" s="20" t="s">
        <v>62</v>
      </c>
      <c r="I1" s="20" t="s">
        <v>63</v>
      </c>
      <c r="J1" s="20" t="s">
        <v>64</v>
      </c>
      <c r="K1" s="21" t="s">
        <v>65</v>
      </c>
      <c r="L1" s="21" t="s">
        <v>66</v>
      </c>
      <c r="M1" s="21" t="s">
        <v>67</v>
      </c>
      <c r="N1" s="21" t="s">
        <v>68</v>
      </c>
      <c r="O1" s="22" t="s">
        <v>69</v>
      </c>
      <c r="P1" s="22" t="s">
        <v>70</v>
      </c>
      <c r="Q1" s="22" t="s">
        <v>71</v>
      </c>
      <c r="R1" s="22" t="s">
        <v>72</v>
      </c>
    </row>
    <row r="2" spans="1:18" x14ac:dyDescent="0.2">
      <c r="B2" s="4">
        <v>0</v>
      </c>
      <c r="C2">
        <v>2.9967630000000001</v>
      </c>
      <c r="D2">
        <v>2.313647</v>
      </c>
      <c r="E2">
        <v>2.8834840000000002</v>
      </c>
      <c r="F2">
        <v>1.5335129999999999</v>
      </c>
      <c r="G2">
        <v>1.9901960000000001</v>
      </c>
      <c r="H2">
        <v>2.7316560000000001</v>
      </c>
      <c r="I2">
        <v>6.2141799999999998</v>
      </c>
      <c r="J2">
        <v>1.8777759999999999</v>
      </c>
      <c r="K2">
        <v>2.2008079999999999</v>
      </c>
      <c r="L2">
        <v>3.4174570000000002</v>
      </c>
      <c r="M2">
        <v>3.8819840000000001</v>
      </c>
      <c r="N2">
        <v>1.964043</v>
      </c>
      <c r="O2">
        <v>3.5035609999999999</v>
      </c>
      <c r="P2">
        <v>3.6552319999999998</v>
      </c>
      <c r="Q2">
        <v>1.8362289999999999</v>
      </c>
      <c r="R2">
        <v>4.7351919999999996</v>
      </c>
    </row>
    <row r="14" spans="1:18" x14ac:dyDescent="0.2">
      <c r="B14" s="45">
        <v>1</v>
      </c>
      <c r="C14">
        <v>3.0125327500000001</v>
      </c>
      <c r="D14">
        <v>2.3973289999999996</v>
      </c>
      <c r="E14">
        <v>3.0246625833333334</v>
      </c>
      <c r="F14">
        <v>1.5335129999999995</v>
      </c>
      <c r="G14">
        <v>2.0069331666666668</v>
      </c>
      <c r="H14">
        <v>2.7316560000000005</v>
      </c>
      <c r="I14">
        <v>6.2141799999999998</v>
      </c>
      <c r="J14">
        <v>1.9022917500000005</v>
      </c>
      <c r="K14">
        <v>2.2008079999999994</v>
      </c>
      <c r="L14">
        <v>3.4174569999999993</v>
      </c>
      <c r="M14">
        <v>3.8819840000000005</v>
      </c>
      <c r="N14">
        <v>1.964043</v>
      </c>
      <c r="O14">
        <v>3.5035609999999999</v>
      </c>
      <c r="P14">
        <v>3.79758475</v>
      </c>
      <c r="Q14">
        <v>1.8854332499999999</v>
      </c>
      <c r="R14">
        <v>4.8886439166666671</v>
      </c>
    </row>
    <row r="26" spans="2:18" x14ac:dyDescent="0.2">
      <c r="B26" s="45">
        <v>2</v>
      </c>
      <c r="C26">
        <v>3.0493358333333336</v>
      </c>
      <c r="D26">
        <v>2.4614936666666667</v>
      </c>
      <c r="E26">
        <v>3.101197916666667</v>
      </c>
      <c r="F26">
        <v>1.5360351666666665</v>
      </c>
      <c r="G26">
        <v>2.0371531666666667</v>
      </c>
      <c r="H26">
        <v>2.7316560000000005</v>
      </c>
      <c r="I26">
        <v>6.2665204166666664</v>
      </c>
      <c r="J26">
        <v>1.9363064999999999</v>
      </c>
      <c r="K26">
        <v>2.2008079999999994</v>
      </c>
      <c r="L26">
        <v>3.4174569999999993</v>
      </c>
      <c r="M26">
        <v>3.8819840000000005</v>
      </c>
      <c r="N26">
        <v>1.9843930833333336</v>
      </c>
      <c r="O26">
        <v>3.5043001666666669</v>
      </c>
      <c r="P26">
        <v>4.0491909166666664</v>
      </c>
      <c r="Q26">
        <v>1.9679405000000001</v>
      </c>
      <c r="R26">
        <v>5.2367096666666662</v>
      </c>
    </row>
    <row r="38" spans="2:18" x14ac:dyDescent="0.2">
      <c r="B38" s="45">
        <v>3</v>
      </c>
      <c r="C38">
        <v>3.0837325833333336</v>
      </c>
      <c r="D38">
        <v>2.4880887499999997</v>
      </c>
      <c r="E38">
        <v>3.1247885833333338</v>
      </c>
      <c r="F38">
        <v>1.5421240000000001</v>
      </c>
      <c r="G38">
        <v>2.0584266666666671</v>
      </c>
      <c r="H38">
        <v>2.7316560000000005</v>
      </c>
      <c r="I38">
        <v>6.4058298333333328</v>
      </c>
      <c r="J38">
        <v>1.9644566666666667</v>
      </c>
      <c r="K38">
        <v>2.2008079999999994</v>
      </c>
      <c r="L38">
        <v>3.4174569999999993</v>
      </c>
      <c r="M38">
        <v>3.8819840000000005</v>
      </c>
      <c r="N38">
        <v>2.0403992500000001</v>
      </c>
      <c r="O38">
        <v>3.5761920833333334</v>
      </c>
      <c r="P38">
        <v>4.3135915000000002</v>
      </c>
      <c r="Q38">
        <v>2.0510266666666666</v>
      </c>
      <c r="R38">
        <v>5.5254452500000015</v>
      </c>
    </row>
    <row r="50" spans="2:18" x14ac:dyDescent="0.2">
      <c r="B50" s="45">
        <v>4</v>
      </c>
      <c r="C50">
        <v>3.1082778333333336</v>
      </c>
      <c r="D50">
        <v>2.5329527500000002</v>
      </c>
      <c r="E50">
        <v>3.1365812500000003</v>
      </c>
      <c r="F50">
        <v>1.5421240000000001</v>
      </c>
      <c r="G50">
        <v>2.0694316666666666</v>
      </c>
      <c r="H50">
        <v>2.7325179166666671</v>
      </c>
      <c r="I50">
        <v>6.5119104999999999</v>
      </c>
      <c r="J50">
        <v>1.9736762500000002</v>
      </c>
      <c r="K50">
        <v>2.2008079999999994</v>
      </c>
      <c r="L50">
        <v>3.4175784999999994</v>
      </c>
      <c r="M50">
        <v>3.8819840000000005</v>
      </c>
      <c r="N50">
        <v>2.0593835833333336</v>
      </c>
      <c r="O50">
        <v>3.7333229999999999</v>
      </c>
      <c r="P50">
        <v>4.4481210000000004</v>
      </c>
      <c r="Q50">
        <v>2.1342829999999999</v>
      </c>
      <c r="R50">
        <v>5.6078719166666664</v>
      </c>
    </row>
    <row r="62" spans="2:18" x14ac:dyDescent="0.2">
      <c r="B62" s="45">
        <v>5</v>
      </c>
      <c r="C62">
        <v>3.1297770000000003</v>
      </c>
      <c r="D62">
        <v>2.5835988333333337</v>
      </c>
      <c r="E62">
        <v>3.1485974999999997</v>
      </c>
      <c r="F62">
        <v>1.5429575833333333</v>
      </c>
      <c r="G62">
        <v>2.1688764166666665</v>
      </c>
      <c r="H62">
        <v>2.7708735000000004</v>
      </c>
      <c r="I62">
        <v>6.5990774166666641</v>
      </c>
      <c r="J62">
        <v>1.9777420000000003</v>
      </c>
      <c r="K62">
        <v>2.2008079999999994</v>
      </c>
      <c r="L62">
        <v>3.4223359999999996</v>
      </c>
      <c r="M62">
        <v>3.8875079166666668</v>
      </c>
      <c r="N62">
        <v>2.0671084166666662</v>
      </c>
      <c r="O62">
        <v>3.9406140833333327</v>
      </c>
      <c r="P62">
        <v>4.5691090833333332</v>
      </c>
      <c r="Q62">
        <v>2.2175389999999999</v>
      </c>
      <c r="R62">
        <v>5.8743000000000007</v>
      </c>
    </row>
    <row r="74" spans="2:18" x14ac:dyDescent="0.2">
      <c r="B74" s="45">
        <v>6</v>
      </c>
      <c r="C74">
        <v>3.1403025833333325</v>
      </c>
      <c r="D74">
        <v>2.6161941666666668</v>
      </c>
      <c r="E74">
        <v>3.16061375</v>
      </c>
      <c r="F74">
        <v>1.5527077499999999</v>
      </c>
      <c r="G74">
        <v>2.290756</v>
      </c>
      <c r="H74">
        <v>2.8292385000000002</v>
      </c>
      <c r="I74">
        <v>6.6147622499999992</v>
      </c>
      <c r="J74">
        <v>1.981053</v>
      </c>
      <c r="K74">
        <v>2.2008079999999994</v>
      </c>
      <c r="L74">
        <v>3.4224389999999993</v>
      </c>
      <c r="M74">
        <v>3.9131579166666675</v>
      </c>
      <c r="N74">
        <v>2.0748331666666666</v>
      </c>
      <c r="O74">
        <v>4.1434053333333338</v>
      </c>
      <c r="P74">
        <v>4.791023916666667</v>
      </c>
      <c r="Q74">
        <v>2.3007950000000004</v>
      </c>
      <c r="R74">
        <v>6.1282846666666666</v>
      </c>
    </row>
    <row r="86" spans="2:18" x14ac:dyDescent="0.2">
      <c r="B86" s="45">
        <v>7</v>
      </c>
      <c r="C86">
        <v>3.1490370833333334</v>
      </c>
      <c r="D86">
        <v>2.6237753333333331</v>
      </c>
      <c r="E86">
        <v>3.172630083333333</v>
      </c>
      <c r="F86">
        <v>1.5832634999999999</v>
      </c>
      <c r="G86">
        <v>2.4126341666666673</v>
      </c>
      <c r="H86">
        <v>2.8876032500000002</v>
      </c>
      <c r="I86">
        <v>6.8123793333333325</v>
      </c>
      <c r="J86">
        <v>1.9839942500000003</v>
      </c>
      <c r="K86">
        <v>2.2008079999999994</v>
      </c>
      <c r="L86">
        <v>3.4224389999999993</v>
      </c>
      <c r="M86">
        <v>3.9406237500000003</v>
      </c>
      <c r="N86">
        <v>2.0822490000000005</v>
      </c>
      <c r="O86">
        <v>4.3395109166666659</v>
      </c>
      <c r="P86">
        <v>4.8955688333333329</v>
      </c>
      <c r="Q86">
        <v>2.3818623333333329</v>
      </c>
      <c r="R86">
        <v>6.1659759999999997</v>
      </c>
    </row>
    <row r="98" spans="2:18" x14ac:dyDescent="0.2">
      <c r="B98" s="45">
        <v>8</v>
      </c>
      <c r="C98">
        <v>3.2073865000000001</v>
      </c>
      <c r="D98">
        <v>2.6323430000000001</v>
      </c>
      <c r="E98">
        <v>3.1846463333333337</v>
      </c>
      <c r="F98">
        <v>1.6133502499999999</v>
      </c>
      <c r="G98">
        <v>2.5345151666666665</v>
      </c>
      <c r="H98">
        <v>2.9459681666666668</v>
      </c>
      <c r="I98">
        <v>6.9871096666666661</v>
      </c>
      <c r="J98">
        <v>1.9861240833333333</v>
      </c>
      <c r="K98">
        <v>2.2008079999999994</v>
      </c>
      <c r="L98">
        <v>3.4224389999999993</v>
      </c>
      <c r="M98">
        <v>3.955718249999999</v>
      </c>
      <c r="N98">
        <v>2.1177403333333333</v>
      </c>
      <c r="O98">
        <v>4.5321579999999999</v>
      </c>
      <c r="P98">
        <v>5.0002823333333337</v>
      </c>
      <c r="Q98">
        <v>2.4393595833333332</v>
      </c>
      <c r="R98">
        <v>6.1659759999999997</v>
      </c>
    </row>
    <row r="110" spans="2:18" x14ac:dyDescent="0.2">
      <c r="B110" s="45">
        <v>9</v>
      </c>
      <c r="C110">
        <v>3.2743345000000001</v>
      </c>
      <c r="D110">
        <v>2.647605916666667</v>
      </c>
      <c r="E110">
        <v>3.2014434166666668</v>
      </c>
      <c r="F110">
        <v>1.6450554999999998</v>
      </c>
      <c r="G110">
        <v>2.65639475</v>
      </c>
      <c r="H110">
        <v>2.9830211666666666</v>
      </c>
      <c r="I110">
        <v>7.1405804999999996</v>
      </c>
      <c r="J110">
        <v>1.9882697499999999</v>
      </c>
      <c r="K110">
        <v>2.2008079999999994</v>
      </c>
      <c r="L110">
        <v>3.4224389999999993</v>
      </c>
      <c r="M110">
        <v>3.9593810833333336</v>
      </c>
      <c r="N110">
        <v>2.1816254166666669</v>
      </c>
      <c r="O110">
        <v>4.8154525000000001</v>
      </c>
      <c r="P110">
        <v>5.0722782500000001</v>
      </c>
      <c r="Q110">
        <v>2.4574139166666664</v>
      </c>
      <c r="R110">
        <v>6.1742844999999997</v>
      </c>
    </row>
    <row r="122" spans="2:18" x14ac:dyDescent="0.2">
      <c r="B122" s="45">
        <v>10</v>
      </c>
      <c r="C122">
        <v>3.34044125</v>
      </c>
      <c r="D122">
        <v>2.6724484166666671</v>
      </c>
      <c r="E122">
        <v>3.2286369166666664</v>
      </c>
      <c r="F122">
        <v>1.6824436666666667</v>
      </c>
      <c r="G122">
        <v>2.7589397499999992</v>
      </c>
      <c r="H122">
        <v>2.9867940000000002</v>
      </c>
      <c r="I122">
        <v>7.1919639999999996</v>
      </c>
      <c r="J122">
        <v>1.99593025</v>
      </c>
      <c r="K122">
        <v>2.2008079999999994</v>
      </c>
      <c r="L122">
        <v>3.4224389999999993</v>
      </c>
      <c r="M122">
        <v>4.0626796666666669</v>
      </c>
      <c r="N122">
        <v>2.2443588333333335</v>
      </c>
      <c r="O122">
        <v>5.2987259166666663</v>
      </c>
      <c r="P122">
        <v>5.2570625</v>
      </c>
      <c r="Q122">
        <v>2.4908844999999995</v>
      </c>
      <c r="R122">
        <v>6.1986745833333323</v>
      </c>
    </row>
    <row r="134" spans="2:18" x14ac:dyDescent="0.2">
      <c r="B134" s="45">
        <v>11</v>
      </c>
      <c r="C134">
        <v>3.371616916666667</v>
      </c>
      <c r="D134">
        <v>2.687478833333333</v>
      </c>
      <c r="E134">
        <v>3.2561027499999997</v>
      </c>
      <c r="F134">
        <v>1.7236425000000002</v>
      </c>
      <c r="G134">
        <v>2.9832299166666671</v>
      </c>
      <c r="H134">
        <v>2.9902272500000002</v>
      </c>
      <c r="I134">
        <v>7.1919639999999996</v>
      </c>
      <c r="J134">
        <v>2.2482332499999997</v>
      </c>
      <c r="K134">
        <v>2.2008079999999994</v>
      </c>
      <c r="L134">
        <v>3.4224389999999993</v>
      </c>
      <c r="M134">
        <v>4.1608292499999999</v>
      </c>
      <c r="N134">
        <v>2.3164773333333337</v>
      </c>
      <c r="O134">
        <v>5.3377789999999985</v>
      </c>
      <c r="P134">
        <v>5.5763524999999996</v>
      </c>
      <c r="Q134">
        <v>2.5243584999999999</v>
      </c>
      <c r="R134">
        <v>6.223089916666666</v>
      </c>
    </row>
    <row r="146" spans="2:18" x14ac:dyDescent="0.2">
      <c r="B146" s="45">
        <v>12</v>
      </c>
      <c r="C146">
        <v>3.3844914166666662</v>
      </c>
      <c r="D146">
        <v>2.688490666666667</v>
      </c>
      <c r="E146">
        <v>3.2821213333333343</v>
      </c>
      <c r="F146">
        <v>1.7648411666666668</v>
      </c>
      <c r="G146">
        <v>3.2277645000000006</v>
      </c>
      <c r="H146">
        <v>3.0030217500000003</v>
      </c>
      <c r="I146">
        <v>7.2601665833333335</v>
      </c>
      <c r="J146">
        <v>2.4573240833333325</v>
      </c>
      <c r="K146">
        <v>2.2008079999999994</v>
      </c>
      <c r="L146">
        <v>3.4224389999999993</v>
      </c>
      <c r="M146">
        <v>4.2328754166666664</v>
      </c>
      <c r="N146">
        <v>2.396652</v>
      </c>
      <c r="O146">
        <v>5.4115472500000008</v>
      </c>
      <c r="P146">
        <v>5.8106460833333342</v>
      </c>
      <c r="Q146">
        <v>2.5581649166666662</v>
      </c>
      <c r="R146">
        <v>6.2765990833333332</v>
      </c>
    </row>
    <row r="158" spans="2:18" x14ac:dyDescent="0.2">
      <c r="B158" s="45">
        <v>13</v>
      </c>
      <c r="C158">
        <v>3.3973659999999999</v>
      </c>
      <c r="D158">
        <v>2.6884930000000007</v>
      </c>
      <c r="E158">
        <v>3.2938083333333332</v>
      </c>
      <c r="F158">
        <v>1.806039916666667</v>
      </c>
      <c r="G158">
        <v>3.2348737500000002</v>
      </c>
      <c r="H158">
        <v>3.0270543333333335</v>
      </c>
      <c r="I158">
        <v>7.3593510000000029</v>
      </c>
      <c r="J158">
        <v>2.4573299999999993</v>
      </c>
      <c r="K158">
        <v>2.2008079999999994</v>
      </c>
      <c r="L158">
        <v>3.4224389999999993</v>
      </c>
      <c r="M158">
        <v>4.3049730833333326</v>
      </c>
      <c r="N158">
        <v>2.4781902499999995</v>
      </c>
      <c r="O158">
        <v>5.5405681666666666</v>
      </c>
      <c r="P158">
        <v>5.9081452500000005</v>
      </c>
      <c r="Q158">
        <v>2.608418083333333</v>
      </c>
      <c r="R158">
        <v>6.3451881666666665</v>
      </c>
    </row>
    <row r="170" spans="2:18" x14ac:dyDescent="0.2">
      <c r="B170" s="45">
        <v>14</v>
      </c>
      <c r="C170">
        <v>3.4093722500000001</v>
      </c>
      <c r="D170">
        <v>2.6884930000000007</v>
      </c>
      <c r="E170">
        <v>3.3518649999999997</v>
      </c>
      <c r="F170">
        <v>1.8364157500000002</v>
      </c>
      <c r="G170">
        <v>3.2408820000000005</v>
      </c>
      <c r="H170">
        <v>3.0510869166666672</v>
      </c>
      <c r="I170">
        <v>7.4088554166666674</v>
      </c>
      <c r="J170">
        <v>2.5667810833333333</v>
      </c>
      <c r="K170">
        <v>2.2008079999999994</v>
      </c>
      <c r="L170">
        <v>3.4496494166666665</v>
      </c>
      <c r="M170">
        <v>4.3752734999999996</v>
      </c>
      <c r="N170">
        <v>2.5597293333333333</v>
      </c>
      <c r="O170">
        <v>5.5502269999999996</v>
      </c>
      <c r="P170">
        <v>5.9726988333333333</v>
      </c>
      <c r="Q170">
        <v>2.6650663333333333</v>
      </c>
      <c r="R170">
        <v>6.5767521666666653</v>
      </c>
    </row>
    <row r="182" spans="2:18" x14ac:dyDescent="0.2">
      <c r="B182" s="45">
        <v>15</v>
      </c>
      <c r="C182">
        <v>3.4203340833333336</v>
      </c>
      <c r="D182">
        <v>2.8609209999999998</v>
      </c>
      <c r="E182">
        <v>3.4231044999999996</v>
      </c>
      <c r="F182">
        <v>1.8379580000000002</v>
      </c>
      <c r="G182">
        <v>3.2468900000000005</v>
      </c>
      <c r="H182">
        <v>3.0751194999999996</v>
      </c>
      <c r="I182">
        <v>7.5318021666666679</v>
      </c>
      <c r="J182">
        <v>2.845138916666667</v>
      </c>
      <c r="K182">
        <v>2.2008079999999994</v>
      </c>
      <c r="L182">
        <v>3.599548083333334</v>
      </c>
      <c r="M182">
        <v>4.3969180000000003</v>
      </c>
      <c r="N182">
        <v>2.6412694999999995</v>
      </c>
      <c r="O182">
        <v>5.5502269999999996</v>
      </c>
      <c r="P182">
        <v>6.0240264166666657</v>
      </c>
      <c r="Q182">
        <v>2.7217151666666664</v>
      </c>
      <c r="R182">
        <v>6.8651433333333332</v>
      </c>
    </row>
    <row r="194" spans="2:18" x14ac:dyDescent="0.2">
      <c r="B194" s="45">
        <v>16</v>
      </c>
      <c r="C194">
        <v>3.4241990833333333</v>
      </c>
      <c r="D194">
        <v>3.3668774166666675</v>
      </c>
      <c r="E194">
        <v>3.4943439999999999</v>
      </c>
      <c r="F194">
        <v>1.8379580000000002</v>
      </c>
      <c r="G194">
        <v>3.2549431666666675</v>
      </c>
      <c r="H194">
        <v>3.097674</v>
      </c>
      <c r="I194">
        <v>7.654341249999999</v>
      </c>
      <c r="J194">
        <v>2.8974904999999995</v>
      </c>
      <c r="K194">
        <v>2.2008079999999994</v>
      </c>
      <c r="L194">
        <v>3.7579000000000007</v>
      </c>
      <c r="M194">
        <v>4.3969180000000003</v>
      </c>
      <c r="N194">
        <v>2.7228084999999997</v>
      </c>
      <c r="O194">
        <v>5.5502269999999996</v>
      </c>
      <c r="P194">
        <v>6.0479574999999999</v>
      </c>
      <c r="Q194">
        <v>2.7783634166666666</v>
      </c>
      <c r="R194">
        <v>7.1424560833333324</v>
      </c>
    </row>
    <row r="206" spans="2:18" x14ac:dyDescent="0.2">
      <c r="B206" s="45">
        <v>17</v>
      </c>
      <c r="C206">
        <v>3.4277362500000002</v>
      </c>
      <c r="D206">
        <v>3.5080082499999996</v>
      </c>
      <c r="E206">
        <v>3.5628576666666665</v>
      </c>
      <c r="F206">
        <v>1.8379580000000002</v>
      </c>
      <c r="G206">
        <v>3.2567200000000009</v>
      </c>
      <c r="H206">
        <v>3.1110802500000001</v>
      </c>
      <c r="I206">
        <v>7.7989787499999998</v>
      </c>
      <c r="J206">
        <v>2.8983488333333334</v>
      </c>
      <c r="K206">
        <v>2.4704944166666669</v>
      </c>
      <c r="L206">
        <v>3.9986730000000001</v>
      </c>
      <c r="M206">
        <v>4.3969180000000003</v>
      </c>
      <c r="N206">
        <v>2.8043468333333337</v>
      </c>
      <c r="O206">
        <v>5.5502269999999996</v>
      </c>
      <c r="P206">
        <v>6.0663327500000008</v>
      </c>
      <c r="Q206">
        <v>2.8120629166666666</v>
      </c>
      <c r="R206">
        <v>7.221659083333333</v>
      </c>
    </row>
    <row r="218" spans="2:18" x14ac:dyDescent="0.2">
      <c r="B218" s="45">
        <v>18</v>
      </c>
      <c r="C218">
        <v>3.5516434166666664</v>
      </c>
      <c r="D218">
        <v>3.6461956666666673</v>
      </c>
      <c r="E218">
        <v>3.5996655000000004</v>
      </c>
      <c r="F218">
        <v>1.8379580000000002</v>
      </c>
      <c r="G218">
        <v>3.2567200000000009</v>
      </c>
      <c r="H218">
        <v>3.1334036666666663</v>
      </c>
      <c r="I218">
        <v>7.9759025833333341</v>
      </c>
      <c r="J218">
        <v>2.8992070833333332</v>
      </c>
      <c r="K218">
        <v>2.8900275833333331</v>
      </c>
      <c r="L218">
        <v>4.2066695000000003</v>
      </c>
      <c r="M218">
        <v>4.3969180000000003</v>
      </c>
      <c r="N218">
        <v>2.8858860000000006</v>
      </c>
      <c r="O218">
        <v>5.5502269999999996</v>
      </c>
      <c r="P218">
        <v>6.0941948333333329</v>
      </c>
      <c r="Q218">
        <v>2.8123369999999999</v>
      </c>
      <c r="R218">
        <v>7.2285174999999997</v>
      </c>
    </row>
    <row r="230" spans="2:18" x14ac:dyDescent="0.2">
      <c r="B230" s="45">
        <v>19</v>
      </c>
      <c r="C230">
        <v>3.7653617499999998</v>
      </c>
      <c r="D230">
        <v>3.7843830000000001</v>
      </c>
      <c r="E230">
        <v>3.653162333333333</v>
      </c>
      <c r="F230">
        <v>1.8379580000000002</v>
      </c>
      <c r="G230">
        <v>3.2569214166666671</v>
      </c>
      <c r="H230">
        <v>3.1535714166666664</v>
      </c>
      <c r="I230">
        <v>8.1540833333333325</v>
      </c>
      <c r="J230">
        <v>2.900047666666667</v>
      </c>
      <c r="K230">
        <v>2.9235994166666668</v>
      </c>
      <c r="L230">
        <v>4.4049578333333335</v>
      </c>
      <c r="M230">
        <v>4.3981862500000002</v>
      </c>
      <c r="N230">
        <v>2.9592143333333336</v>
      </c>
      <c r="O230">
        <v>5.5502269999999996</v>
      </c>
      <c r="P230">
        <v>6.1101808333333345</v>
      </c>
      <c r="Q230">
        <v>2.8123369999999999</v>
      </c>
      <c r="R230">
        <v>7.3311561666666663</v>
      </c>
    </row>
    <row r="242" spans="2:18" x14ac:dyDescent="0.2">
      <c r="B242" s="45">
        <v>20</v>
      </c>
      <c r="C242">
        <v>3.9791495833333337</v>
      </c>
      <c r="D242">
        <v>3.9225704999999995</v>
      </c>
      <c r="E242">
        <v>3.7610519166666667</v>
      </c>
      <c r="F242">
        <v>1.8379580000000002</v>
      </c>
      <c r="G242">
        <v>3.2619370833333328</v>
      </c>
      <c r="H242">
        <v>3.1578452499999998</v>
      </c>
      <c r="I242">
        <v>8.3230381666666666</v>
      </c>
      <c r="J242">
        <v>2.9003160000000001</v>
      </c>
      <c r="K242">
        <v>2.9654657500000003</v>
      </c>
      <c r="L242">
        <v>4.6040780833333335</v>
      </c>
      <c r="M242">
        <v>4.7877809166666667</v>
      </c>
      <c r="N242">
        <v>3.0389240000000002</v>
      </c>
      <c r="O242">
        <v>5.56713375</v>
      </c>
      <c r="P242">
        <v>6.1472099166666672</v>
      </c>
      <c r="Q242">
        <v>2.8123369999999999</v>
      </c>
      <c r="R242">
        <v>7.5285669166666667</v>
      </c>
    </row>
    <row r="254" spans="2:18" x14ac:dyDescent="0.2">
      <c r="B254" s="45">
        <v>21</v>
      </c>
      <c r="C254">
        <v>4.1935730000000007</v>
      </c>
      <c r="D254">
        <v>4.033701333333334</v>
      </c>
      <c r="E254">
        <v>3.800094000000001</v>
      </c>
      <c r="F254">
        <v>1.8379580000000002</v>
      </c>
      <c r="G254">
        <v>3.2669719166666664</v>
      </c>
      <c r="H254">
        <v>3.1621367500000002</v>
      </c>
      <c r="I254">
        <v>8.4780577499999978</v>
      </c>
      <c r="J254">
        <v>2.9003160000000001</v>
      </c>
      <c r="K254">
        <v>2.9832430000000003</v>
      </c>
      <c r="L254">
        <v>4.8032075000000001</v>
      </c>
      <c r="M254">
        <v>5.3052398333333342</v>
      </c>
      <c r="N254">
        <v>3.1354111666666662</v>
      </c>
      <c r="O254">
        <v>5.757544750000001</v>
      </c>
      <c r="P254">
        <v>6.1646679166666685</v>
      </c>
      <c r="Q254">
        <v>2.8123369999999999</v>
      </c>
      <c r="R254">
        <v>7.6717720833333338</v>
      </c>
    </row>
    <row r="266" spans="2:18" x14ac:dyDescent="0.2">
      <c r="B266" s="45">
        <v>22</v>
      </c>
      <c r="C266">
        <v>4.3497668333333346</v>
      </c>
      <c r="D266">
        <v>4.0432520000000007</v>
      </c>
      <c r="E266">
        <v>3.800094000000001</v>
      </c>
      <c r="F266">
        <v>1.8623214166666668</v>
      </c>
      <c r="G266">
        <v>3.4410557500000003</v>
      </c>
      <c r="H266">
        <v>3.1664934166666665</v>
      </c>
      <c r="I266">
        <v>8.6394195833333338</v>
      </c>
      <c r="J266">
        <v>2.9003160000000001</v>
      </c>
      <c r="K266">
        <v>2.9832430000000003</v>
      </c>
      <c r="L266">
        <v>4.9653210833333326</v>
      </c>
      <c r="M266">
        <v>5.5000500833333339</v>
      </c>
      <c r="N266">
        <v>3.4209134166666675</v>
      </c>
      <c r="O266">
        <v>5.8241319999999996</v>
      </c>
      <c r="P266">
        <v>6.1647140000000009</v>
      </c>
      <c r="Q266">
        <v>2.8123369999999999</v>
      </c>
      <c r="R266">
        <v>7.6783800000000006</v>
      </c>
    </row>
    <row r="278" spans="2:18" x14ac:dyDescent="0.2">
      <c r="B278" s="45">
        <v>23</v>
      </c>
      <c r="C278">
        <v>4.3571280000000012</v>
      </c>
      <c r="D278">
        <v>4.0432520000000007</v>
      </c>
      <c r="E278">
        <v>3.800094000000001</v>
      </c>
      <c r="F278">
        <v>2.0263680833333333</v>
      </c>
      <c r="G278">
        <v>3.708502333333334</v>
      </c>
      <c r="H278">
        <v>3.1836251666666668</v>
      </c>
      <c r="I278">
        <v>8.8007812500000018</v>
      </c>
      <c r="J278">
        <v>2.9107328333333338</v>
      </c>
      <c r="K278">
        <v>2.9832430000000003</v>
      </c>
      <c r="L278">
        <v>4.9803799999999994</v>
      </c>
      <c r="M278">
        <v>5.8408809166666664</v>
      </c>
      <c r="N278">
        <v>3.6126537499999998</v>
      </c>
      <c r="O278">
        <v>6.0106912499999998</v>
      </c>
      <c r="P278">
        <v>6.1647140000000009</v>
      </c>
      <c r="Q278">
        <v>2.8232396666666664</v>
      </c>
      <c r="R278">
        <v>7.6783800000000006</v>
      </c>
    </row>
    <row r="290" spans="2:18" x14ac:dyDescent="0.2">
      <c r="B290" s="7">
        <v>0</v>
      </c>
      <c r="C290">
        <v>4.3571280000000012</v>
      </c>
      <c r="D290">
        <v>4.135313</v>
      </c>
      <c r="E290">
        <v>3.800094000000001</v>
      </c>
      <c r="F290">
        <v>2.2126268333333337</v>
      </c>
      <c r="G290">
        <v>3.7566350000000006</v>
      </c>
      <c r="H290">
        <v>3.210232833333333</v>
      </c>
      <c r="I290">
        <v>8.9628419166666671</v>
      </c>
      <c r="J290">
        <v>3.1522649166666667</v>
      </c>
      <c r="K290">
        <v>2.9832430000000003</v>
      </c>
      <c r="L290">
        <v>4.9803799999999994</v>
      </c>
      <c r="M290">
        <v>6.4331649999999989</v>
      </c>
      <c r="N290">
        <v>3.6130929999999997</v>
      </c>
      <c r="O290">
        <v>6.2996432499999999</v>
      </c>
      <c r="P290">
        <v>6.1647140000000009</v>
      </c>
      <c r="Q290">
        <v>3.0914584999999994</v>
      </c>
      <c r="R290">
        <v>7.6783800000000006</v>
      </c>
    </row>
    <row r="302" spans="2:18" x14ac:dyDescent="0.2">
      <c r="B302" s="45">
        <v>1</v>
      </c>
      <c r="C302">
        <v>4.3571280000000012</v>
      </c>
      <c r="D302">
        <v>4.2752689999999998</v>
      </c>
      <c r="E302">
        <v>3.800094000000001</v>
      </c>
      <c r="F302">
        <v>2.3908744166666662</v>
      </c>
      <c r="G302">
        <v>3.7566350000000006</v>
      </c>
      <c r="H302">
        <v>3.23654325</v>
      </c>
      <c r="I302">
        <v>9.1786116666666668</v>
      </c>
      <c r="J302">
        <v>3.4353886666666664</v>
      </c>
      <c r="K302">
        <v>2.9832430000000003</v>
      </c>
      <c r="L302">
        <v>4.9890797499999993</v>
      </c>
      <c r="M302">
        <v>6.5464999999999991</v>
      </c>
      <c r="N302">
        <v>3.6174319999999991</v>
      </c>
      <c r="O302">
        <v>6.4949521666666667</v>
      </c>
      <c r="P302">
        <v>6.1647140000000009</v>
      </c>
      <c r="Q302">
        <v>3.4647968333333332</v>
      </c>
      <c r="R302">
        <v>7.6783800000000006</v>
      </c>
    </row>
    <row r="314" spans="2:18" x14ac:dyDescent="0.2">
      <c r="B314" s="45">
        <v>2</v>
      </c>
      <c r="C314">
        <v>4.3571280000000012</v>
      </c>
      <c r="D314">
        <v>4.299069666666667</v>
      </c>
      <c r="E314">
        <v>3.800094000000001</v>
      </c>
      <c r="F314">
        <v>2.4397389999999999</v>
      </c>
      <c r="G314">
        <v>3.8013308333333331</v>
      </c>
      <c r="H314">
        <v>3.2461449999999989</v>
      </c>
      <c r="I314">
        <v>9.4155044999999991</v>
      </c>
      <c r="J314">
        <v>3.474421</v>
      </c>
      <c r="K314">
        <v>2.9832430000000003</v>
      </c>
      <c r="L314">
        <v>5.03742</v>
      </c>
      <c r="M314">
        <v>6.5464999999999991</v>
      </c>
      <c r="N314">
        <v>3.6281869999999992</v>
      </c>
      <c r="O314">
        <v>6.6874453333333337</v>
      </c>
      <c r="P314">
        <v>6.1647140000000009</v>
      </c>
      <c r="Q314">
        <v>3.6045519999999986</v>
      </c>
      <c r="R314">
        <v>7.6783800000000006</v>
      </c>
    </row>
    <row r="326" spans="2:18" x14ac:dyDescent="0.2">
      <c r="B326" s="45">
        <v>3</v>
      </c>
      <c r="C326">
        <v>4.3571827500000007</v>
      </c>
      <c r="D326">
        <v>4.3197693333333342</v>
      </c>
      <c r="E326">
        <v>3.800094000000001</v>
      </c>
      <c r="F326">
        <v>2.4397389999999999</v>
      </c>
      <c r="G326">
        <v>4.0299054999999999</v>
      </c>
      <c r="H326">
        <v>3.2478061666666669</v>
      </c>
      <c r="I326">
        <v>9.6148562500000008</v>
      </c>
      <c r="J326">
        <v>3.474421</v>
      </c>
      <c r="K326">
        <v>2.9832430000000003</v>
      </c>
      <c r="L326">
        <v>5.0770785833333321</v>
      </c>
      <c r="M326">
        <v>6.5464999999999991</v>
      </c>
      <c r="N326">
        <v>3.6281869999999992</v>
      </c>
      <c r="O326">
        <v>6.8730559166666678</v>
      </c>
      <c r="P326">
        <v>6.1647140000000009</v>
      </c>
      <c r="Q326">
        <v>3.6045519999999986</v>
      </c>
      <c r="R326">
        <v>7.6783800000000006</v>
      </c>
    </row>
    <row r="338" spans="2:18" x14ac:dyDescent="0.2">
      <c r="B338" s="45">
        <v>4</v>
      </c>
      <c r="C338">
        <v>4.3584198333333335</v>
      </c>
      <c r="D338">
        <v>4.3367801666666672</v>
      </c>
      <c r="E338">
        <v>3.800094000000001</v>
      </c>
      <c r="F338">
        <v>2.4397389999999999</v>
      </c>
      <c r="G338">
        <v>4.2572774999999998</v>
      </c>
      <c r="H338">
        <v>3.2622910000000007</v>
      </c>
      <c r="I338">
        <v>9.6373940000000005</v>
      </c>
      <c r="J338">
        <v>3.526626166666667</v>
      </c>
      <c r="K338">
        <v>2.9832430000000003</v>
      </c>
      <c r="L338">
        <v>5.0950035833333329</v>
      </c>
      <c r="M338">
        <v>6.5464999999999991</v>
      </c>
      <c r="N338">
        <v>3.6293325000000003</v>
      </c>
      <c r="O338">
        <v>7.0704665000000011</v>
      </c>
      <c r="P338">
        <v>6.1647140000000009</v>
      </c>
      <c r="Q338">
        <v>3.6130475</v>
      </c>
      <c r="R338">
        <v>7.6783800000000006</v>
      </c>
    </row>
    <row r="350" spans="2:18" x14ac:dyDescent="0.2">
      <c r="B350" s="45">
        <v>5</v>
      </c>
      <c r="C350">
        <v>4.3596572500000006</v>
      </c>
      <c r="D350">
        <v>4.3420891666666668</v>
      </c>
      <c r="E350">
        <v>3.800094000000001</v>
      </c>
      <c r="F350">
        <v>2.4397389999999999</v>
      </c>
      <c r="G350">
        <v>4.4924480000000004</v>
      </c>
      <c r="H350">
        <v>3.2794574999999999</v>
      </c>
      <c r="I350">
        <v>9.6373940000000005</v>
      </c>
      <c r="J350">
        <v>3.9415873333333331</v>
      </c>
      <c r="K350">
        <v>2.9832430000000003</v>
      </c>
      <c r="L350">
        <v>5.1246116666666675</v>
      </c>
      <c r="M350">
        <v>6.5468274166666669</v>
      </c>
      <c r="N350">
        <v>3.6542274999999997</v>
      </c>
      <c r="O350">
        <v>7.2678770833333326</v>
      </c>
      <c r="P350">
        <v>6.1647140000000009</v>
      </c>
      <c r="Q350">
        <v>3.7444816666666667</v>
      </c>
      <c r="R350">
        <v>7.6783800000000006</v>
      </c>
    </row>
    <row r="362" spans="2:18" x14ac:dyDescent="0.2">
      <c r="B362" s="45">
        <v>6</v>
      </c>
      <c r="C362">
        <v>4.3633727500000008</v>
      </c>
      <c r="D362">
        <v>4.3472389999999992</v>
      </c>
      <c r="E362">
        <v>3.8004472499999999</v>
      </c>
      <c r="F362">
        <v>2.4397389999999999</v>
      </c>
      <c r="G362">
        <v>4.7134810000000007</v>
      </c>
      <c r="H362">
        <v>3.3014413333333334</v>
      </c>
      <c r="I362">
        <v>9.6373940000000005</v>
      </c>
      <c r="J362">
        <v>4.0914062500000004</v>
      </c>
      <c r="K362">
        <v>2.9832430000000003</v>
      </c>
      <c r="L362">
        <v>5.1256800000000009</v>
      </c>
      <c r="M362">
        <v>6.5529675833333334</v>
      </c>
      <c r="N362">
        <v>3.6885603333333337</v>
      </c>
      <c r="O362">
        <v>7.4286770000000004</v>
      </c>
      <c r="P362">
        <v>6.1647140000000009</v>
      </c>
      <c r="Q362">
        <v>3.9161450000000002</v>
      </c>
      <c r="R362">
        <v>7.6783800000000006</v>
      </c>
    </row>
    <row r="374" spans="2:18" x14ac:dyDescent="0.2">
      <c r="B374" s="45">
        <v>7</v>
      </c>
      <c r="C374">
        <v>4.4076372500000005</v>
      </c>
      <c r="D374">
        <v>4.3524236666666676</v>
      </c>
      <c r="E374">
        <v>3.8013020000000002</v>
      </c>
      <c r="F374">
        <v>2.4404883333333331</v>
      </c>
      <c r="G374">
        <v>4.7635870000000002</v>
      </c>
      <c r="H374">
        <v>3.3416857499999999</v>
      </c>
      <c r="I374">
        <v>9.6373940000000005</v>
      </c>
      <c r="J374">
        <v>4.2158235833333331</v>
      </c>
      <c r="K374">
        <v>2.9832430000000003</v>
      </c>
      <c r="L374">
        <v>5.1256800000000009</v>
      </c>
      <c r="M374">
        <v>6.5555669999999973</v>
      </c>
      <c r="N374">
        <v>3.7228915000000007</v>
      </c>
      <c r="O374">
        <v>7.4770582500000016</v>
      </c>
      <c r="P374">
        <v>6.1647140000000009</v>
      </c>
      <c r="Q374">
        <v>4.0845559166666661</v>
      </c>
      <c r="R374">
        <v>7.6783800000000006</v>
      </c>
    </row>
    <row r="386" spans="2:18" x14ac:dyDescent="0.2">
      <c r="B386" s="45">
        <v>8</v>
      </c>
      <c r="C386">
        <v>4.4983959999999987</v>
      </c>
      <c r="D386">
        <v>4.3618688333333333</v>
      </c>
      <c r="E386">
        <v>3.8021603333333331</v>
      </c>
      <c r="F386">
        <v>2.4482250833333334</v>
      </c>
      <c r="G386">
        <v>4.7635870000000002</v>
      </c>
      <c r="H386">
        <v>3.3760154166666663</v>
      </c>
      <c r="I386">
        <v>9.6664619166666679</v>
      </c>
      <c r="J386">
        <v>4.3950145000000012</v>
      </c>
      <c r="K386">
        <v>2.9832430000000003</v>
      </c>
      <c r="L386">
        <v>5.1290500833333335</v>
      </c>
      <c r="M386">
        <v>6.5555669999999973</v>
      </c>
      <c r="N386">
        <v>3.7572234999999998</v>
      </c>
      <c r="O386">
        <v>7.4820650000000013</v>
      </c>
      <c r="P386">
        <v>6.1647140000000009</v>
      </c>
      <c r="Q386">
        <v>4.139848999999999</v>
      </c>
      <c r="R386">
        <v>7.6783800000000006</v>
      </c>
    </row>
    <row r="398" spans="2:18" x14ac:dyDescent="0.2">
      <c r="B398" s="45">
        <v>9</v>
      </c>
      <c r="C398">
        <v>4.5996759999999997</v>
      </c>
      <c r="D398">
        <v>4.3738851666666667</v>
      </c>
      <c r="E398">
        <v>3.8031499166666669</v>
      </c>
      <c r="F398">
        <v>2.4611776666666665</v>
      </c>
      <c r="G398">
        <v>4.7635870000000002</v>
      </c>
      <c r="H398">
        <v>3.394701</v>
      </c>
      <c r="I398">
        <v>9.8743937500000012</v>
      </c>
      <c r="J398">
        <v>4.4695841666666665</v>
      </c>
      <c r="K398">
        <v>2.9832430000000003</v>
      </c>
      <c r="L398">
        <v>5.1435380000000004</v>
      </c>
      <c r="M398">
        <v>6.5555669999999973</v>
      </c>
      <c r="N398">
        <v>3.7908221666666666</v>
      </c>
      <c r="O398">
        <v>7.4834543333333334</v>
      </c>
      <c r="P398">
        <v>6.1806970833333326</v>
      </c>
      <c r="Q398">
        <v>4.1547776666666669</v>
      </c>
      <c r="R398">
        <v>7.8982849999999987</v>
      </c>
    </row>
    <row r="410" spans="2:18" x14ac:dyDescent="0.2">
      <c r="B410" s="45">
        <v>10</v>
      </c>
      <c r="C410">
        <v>4.7009560000000015</v>
      </c>
      <c r="D410">
        <v>4.385901416666667</v>
      </c>
      <c r="E410">
        <v>3.8394753333333331</v>
      </c>
      <c r="F410">
        <v>2.5147826666666666</v>
      </c>
      <c r="G410">
        <v>4.7635870000000002</v>
      </c>
      <c r="H410">
        <v>3.394701</v>
      </c>
      <c r="I410">
        <v>9.9240291666666653</v>
      </c>
      <c r="J410">
        <v>4.4727469999999991</v>
      </c>
      <c r="K410">
        <v>2.9832430000000003</v>
      </c>
      <c r="L410">
        <v>5.1435380000000004</v>
      </c>
      <c r="M410">
        <v>6.5555669999999973</v>
      </c>
      <c r="N410">
        <v>3.8401174999999994</v>
      </c>
      <c r="O410">
        <v>7.5079765833333321</v>
      </c>
      <c r="P410">
        <v>6.2248063333333334</v>
      </c>
      <c r="Q410">
        <v>4.2469211666666666</v>
      </c>
      <c r="R410">
        <v>8.0772767500000011</v>
      </c>
    </row>
    <row r="422" spans="2:18" x14ac:dyDescent="0.2">
      <c r="B422" s="45">
        <v>11</v>
      </c>
      <c r="C422">
        <v>4.7935563333333331</v>
      </c>
      <c r="D422">
        <v>4.3979177500000004</v>
      </c>
      <c r="E422">
        <v>3.8887879166666672</v>
      </c>
      <c r="F422">
        <v>2.6107678333333331</v>
      </c>
      <c r="G422">
        <v>4.7698345</v>
      </c>
      <c r="H422">
        <v>3.394701</v>
      </c>
      <c r="I422">
        <v>10.038073249999998</v>
      </c>
      <c r="J422">
        <v>4.4727469999999991</v>
      </c>
      <c r="K422">
        <v>2.9832430000000003</v>
      </c>
      <c r="L422">
        <v>5.1435380000000004</v>
      </c>
      <c r="M422">
        <v>6.5555669999999973</v>
      </c>
      <c r="N422">
        <v>3.848320999999999</v>
      </c>
      <c r="O422">
        <v>7.5404727499999993</v>
      </c>
      <c r="P422">
        <v>6.2694383333333334</v>
      </c>
      <c r="Q422">
        <v>4.3048419999999998</v>
      </c>
      <c r="R422">
        <v>8.1236562499999998</v>
      </c>
    </row>
    <row r="434" spans="2:18" x14ac:dyDescent="0.2">
      <c r="B434" s="45">
        <v>12</v>
      </c>
      <c r="C434">
        <v>4.8302548333333339</v>
      </c>
      <c r="D434">
        <v>4.4090008333333328</v>
      </c>
      <c r="E434">
        <v>3.9001989166666657</v>
      </c>
      <c r="F434">
        <v>2.7077565000000003</v>
      </c>
      <c r="G434">
        <v>4.8147058333333339</v>
      </c>
      <c r="H434">
        <v>3.3948219166666678</v>
      </c>
      <c r="I434">
        <v>10.148917499999998</v>
      </c>
      <c r="J434">
        <v>4.4727469999999991</v>
      </c>
      <c r="K434">
        <v>2.9832430000000003</v>
      </c>
      <c r="L434">
        <v>5.1435380000000004</v>
      </c>
      <c r="M434">
        <v>6.5555669999999973</v>
      </c>
      <c r="N434">
        <v>3.848320999999999</v>
      </c>
      <c r="O434">
        <v>7.5604741666666682</v>
      </c>
      <c r="P434">
        <v>6.3243064166666656</v>
      </c>
      <c r="Q434">
        <v>4.3580570000000005</v>
      </c>
      <c r="R434">
        <v>8.1717214166666672</v>
      </c>
    </row>
    <row r="446" spans="2:18" x14ac:dyDescent="0.2">
      <c r="B446" s="45">
        <v>13</v>
      </c>
      <c r="C446">
        <v>4.8306180000000003</v>
      </c>
      <c r="D446">
        <v>4.4248174999999996</v>
      </c>
      <c r="E446">
        <v>3.9184025833333336</v>
      </c>
      <c r="F446">
        <v>2.8047451666666667</v>
      </c>
      <c r="G446">
        <v>4.8622314166666669</v>
      </c>
      <c r="H446">
        <v>3.4021874166666666</v>
      </c>
      <c r="I446">
        <v>10.17118</v>
      </c>
      <c r="J446">
        <v>4.4738601666666655</v>
      </c>
      <c r="K446">
        <v>2.9832430000000003</v>
      </c>
      <c r="L446">
        <v>5.1435380000000004</v>
      </c>
      <c r="M446">
        <v>6.5555669999999973</v>
      </c>
      <c r="N446">
        <v>3.848320999999999</v>
      </c>
      <c r="O446">
        <v>7.6613214999999988</v>
      </c>
      <c r="P446">
        <v>6.5065617499999995</v>
      </c>
      <c r="Q446">
        <v>4.4112720833333334</v>
      </c>
      <c r="R446">
        <v>8.2187601666666641</v>
      </c>
    </row>
    <row r="458" spans="2:18" x14ac:dyDescent="0.2">
      <c r="B458" s="45">
        <v>14</v>
      </c>
      <c r="C458">
        <v>4.8306180000000003</v>
      </c>
      <c r="D458">
        <v>4.6122718333333328</v>
      </c>
      <c r="E458">
        <v>3.9750922499999994</v>
      </c>
      <c r="F458">
        <v>2.9017339166666667</v>
      </c>
      <c r="G458">
        <v>4.8716900000000001</v>
      </c>
      <c r="H458">
        <v>3.4130768333333332</v>
      </c>
      <c r="I458">
        <v>10.184505000000001</v>
      </c>
      <c r="J458">
        <v>4.5040216666666675</v>
      </c>
      <c r="K458">
        <v>2.9832430000000003</v>
      </c>
      <c r="L458">
        <v>5.1435380000000004</v>
      </c>
      <c r="M458">
        <v>6.5555669999999973</v>
      </c>
      <c r="N458">
        <v>3.848320999999999</v>
      </c>
      <c r="O458">
        <v>7.7935008333333338</v>
      </c>
      <c r="P458">
        <v>6.6990667499999992</v>
      </c>
      <c r="Q458">
        <v>4.4644870833333332</v>
      </c>
      <c r="R458">
        <v>8.2611038333333351</v>
      </c>
    </row>
    <row r="470" spans="2:18" x14ac:dyDescent="0.2">
      <c r="B470" s="45">
        <v>15</v>
      </c>
      <c r="C470">
        <v>4.8306180000000003</v>
      </c>
      <c r="D470">
        <v>4.852597666666667</v>
      </c>
      <c r="E470">
        <v>4.110488000000001</v>
      </c>
      <c r="F470">
        <v>3.0033764166666668</v>
      </c>
      <c r="G470">
        <v>4.8731523333333335</v>
      </c>
      <c r="H470">
        <v>3.4238099166666665</v>
      </c>
      <c r="I470">
        <v>10.20096</v>
      </c>
      <c r="J470">
        <v>4.5469369999999998</v>
      </c>
      <c r="K470">
        <v>3.0327248333333334</v>
      </c>
      <c r="L470">
        <v>5.1435380000000004</v>
      </c>
      <c r="M470">
        <v>6.5555669999999973</v>
      </c>
      <c r="N470">
        <v>3.848320999999999</v>
      </c>
      <c r="O470">
        <v>7.9256802499999992</v>
      </c>
      <c r="P470">
        <v>6.7463628333333334</v>
      </c>
      <c r="Q470">
        <v>4.5159781666666676</v>
      </c>
      <c r="R470">
        <v>8.2820720000000012</v>
      </c>
    </row>
    <row r="482" spans="2:18" x14ac:dyDescent="0.2">
      <c r="B482" s="45">
        <v>16</v>
      </c>
      <c r="C482">
        <v>4.8306180000000003</v>
      </c>
      <c r="D482">
        <v>5.0929236666666649</v>
      </c>
      <c r="E482">
        <v>4.2254194166666661</v>
      </c>
      <c r="F482">
        <v>3.1535658333333334</v>
      </c>
      <c r="G482">
        <v>4.888411500000001</v>
      </c>
      <c r="H482">
        <v>3.4291849166666659</v>
      </c>
      <c r="I482">
        <v>10.2259525</v>
      </c>
      <c r="J482">
        <v>4.5784294166666664</v>
      </c>
      <c r="K482">
        <v>3.3176694999999992</v>
      </c>
      <c r="L482">
        <v>5.1435380000000004</v>
      </c>
      <c r="M482">
        <v>6.5555669999999973</v>
      </c>
      <c r="N482">
        <v>3.848320999999999</v>
      </c>
      <c r="O482">
        <v>8.0292286666666666</v>
      </c>
      <c r="P482">
        <v>6.79748675</v>
      </c>
      <c r="Q482">
        <v>4.5425074166666661</v>
      </c>
      <c r="R482">
        <v>8.3026825833333344</v>
      </c>
    </row>
    <row r="494" spans="2:18" x14ac:dyDescent="0.2">
      <c r="B494" s="45">
        <v>17</v>
      </c>
      <c r="C494">
        <v>4.8306180000000003</v>
      </c>
      <c r="D494">
        <v>5.2849195833333331</v>
      </c>
      <c r="E494">
        <v>4.2910900000000005</v>
      </c>
      <c r="F494">
        <v>3.314238416666667</v>
      </c>
      <c r="G494">
        <v>4.9107275000000001</v>
      </c>
      <c r="H494">
        <v>3.4323747499999997</v>
      </c>
      <c r="I494">
        <v>10.483477500000001</v>
      </c>
      <c r="J494">
        <v>4.5814846666666673</v>
      </c>
      <c r="K494">
        <v>3.4378920000000002</v>
      </c>
      <c r="L494">
        <v>5.1435380000000004</v>
      </c>
      <c r="M494">
        <v>6.5555669999999973</v>
      </c>
      <c r="N494">
        <v>3.848320999999999</v>
      </c>
      <c r="O494">
        <v>8.1135023333333329</v>
      </c>
      <c r="P494">
        <v>6.8489851666666679</v>
      </c>
      <c r="Q494">
        <v>4.6156509166666666</v>
      </c>
      <c r="R494">
        <v>8.4339780833333347</v>
      </c>
    </row>
    <row r="506" spans="2:18" x14ac:dyDescent="0.2">
      <c r="B506" s="45">
        <v>18</v>
      </c>
      <c r="C506">
        <v>4.8306180000000003</v>
      </c>
      <c r="D506">
        <v>5.3489032500000002</v>
      </c>
      <c r="E506">
        <v>4.361471166666667</v>
      </c>
      <c r="F506">
        <v>3.4297291666666667</v>
      </c>
      <c r="G506">
        <v>4.933043500000001</v>
      </c>
      <c r="H506">
        <v>3.432544</v>
      </c>
      <c r="I506">
        <v>10.7448525</v>
      </c>
      <c r="J506">
        <v>4.5832014999999995</v>
      </c>
      <c r="K506">
        <v>3.4378920000000002</v>
      </c>
      <c r="L506">
        <v>5.1435380000000004</v>
      </c>
      <c r="M506">
        <v>6.5555669999999973</v>
      </c>
      <c r="N506">
        <v>3.848320999999999</v>
      </c>
      <c r="O506">
        <v>8.1785372500000015</v>
      </c>
      <c r="P506">
        <v>6.900483583333334</v>
      </c>
      <c r="Q506">
        <v>4.6894274999999999</v>
      </c>
      <c r="R506">
        <v>8.588473333333333</v>
      </c>
    </row>
    <row r="518" spans="2:18" x14ac:dyDescent="0.2">
      <c r="B518" s="45">
        <v>19</v>
      </c>
      <c r="C518">
        <v>4.8306180000000003</v>
      </c>
      <c r="D518">
        <v>5.4279656666666662</v>
      </c>
      <c r="E518">
        <v>4.4318523333333317</v>
      </c>
      <c r="F518">
        <v>3.5215156666666676</v>
      </c>
      <c r="G518">
        <v>4.9553595000000001</v>
      </c>
      <c r="H518">
        <v>3.432544</v>
      </c>
      <c r="I518">
        <v>11.050532500000001</v>
      </c>
      <c r="J518">
        <v>4.5847950833333337</v>
      </c>
      <c r="K518">
        <v>3.4378920000000002</v>
      </c>
      <c r="L518">
        <v>5.1613301666666667</v>
      </c>
      <c r="M518">
        <v>6.5718934999999981</v>
      </c>
      <c r="N518">
        <v>3.848320999999999</v>
      </c>
      <c r="O518">
        <v>8.2472019999999997</v>
      </c>
      <c r="P518">
        <v>6.9512024166666651</v>
      </c>
      <c r="Q518">
        <v>4.7163185833333321</v>
      </c>
      <c r="R518">
        <v>8.7429684999999999</v>
      </c>
    </row>
    <row r="530" spans="2:18" x14ac:dyDescent="0.2">
      <c r="B530" s="45">
        <v>20</v>
      </c>
      <c r="C530">
        <v>4.8329026666666666</v>
      </c>
      <c r="D530">
        <v>5.5378289166666663</v>
      </c>
      <c r="E530">
        <v>4.5022335</v>
      </c>
      <c r="F530">
        <v>3.5643892500000001</v>
      </c>
      <c r="G530">
        <v>4.9736783333333339</v>
      </c>
      <c r="H530">
        <v>3.432544</v>
      </c>
      <c r="I530">
        <v>11.3117375</v>
      </c>
      <c r="J530">
        <v>4.5851240000000004</v>
      </c>
      <c r="K530">
        <v>3.4380369166666669</v>
      </c>
      <c r="L530">
        <v>5.323639833333333</v>
      </c>
      <c r="M530">
        <v>6.7659082499999998</v>
      </c>
      <c r="N530">
        <v>3.848320999999999</v>
      </c>
      <c r="O530">
        <v>8.3062630000000013</v>
      </c>
      <c r="P530">
        <v>6.9844403333333345</v>
      </c>
      <c r="Q530">
        <v>4.7184129999999991</v>
      </c>
      <c r="R530">
        <v>8.8975124166666664</v>
      </c>
    </row>
    <row r="542" spans="2:18" x14ac:dyDescent="0.2">
      <c r="B542" s="45">
        <v>21</v>
      </c>
      <c r="C542">
        <v>4.8704956666666668</v>
      </c>
      <c r="D542">
        <v>5.6107355000000014</v>
      </c>
      <c r="E542">
        <v>4.5596989166666679</v>
      </c>
      <c r="F542">
        <v>3.6534829166666669</v>
      </c>
      <c r="G542">
        <v>4.9910256666666672</v>
      </c>
      <c r="H542">
        <v>3.432544</v>
      </c>
      <c r="I542">
        <v>11.479541666666668</v>
      </c>
      <c r="J542">
        <v>4.636486333333333</v>
      </c>
      <c r="K542">
        <v>3.5651578333333327</v>
      </c>
      <c r="L542">
        <v>5.5176172499999998</v>
      </c>
      <c r="M542">
        <v>7.0079508333333331</v>
      </c>
      <c r="N542">
        <v>3.848320999999999</v>
      </c>
      <c r="O542">
        <v>8.3138260000000024</v>
      </c>
      <c r="P542">
        <v>7.011906166666666</v>
      </c>
      <c r="Q542">
        <v>4.7184549999999987</v>
      </c>
      <c r="R542">
        <v>8.9705410833333357</v>
      </c>
    </row>
    <row r="554" spans="2:18" x14ac:dyDescent="0.2">
      <c r="B554" s="45">
        <v>22</v>
      </c>
      <c r="C554">
        <v>5.1012754999999999</v>
      </c>
      <c r="D554">
        <v>5.6501316666666677</v>
      </c>
      <c r="E554">
        <v>4.5651360000000007</v>
      </c>
      <c r="F554">
        <v>3.7247714166666666</v>
      </c>
      <c r="G554">
        <v>5.0054072499999993</v>
      </c>
      <c r="H554">
        <v>3.432544</v>
      </c>
      <c r="I554">
        <v>11.698164999999998</v>
      </c>
      <c r="J554">
        <v>4.9169677500000004</v>
      </c>
      <c r="K554">
        <v>3.7969007499999994</v>
      </c>
      <c r="L554">
        <v>5.7123074166666674</v>
      </c>
      <c r="M554">
        <v>7.2499932500000002</v>
      </c>
      <c r="N554">
        <v>3.8599114166666664</v>
      </c>
      <c r="O554">
        <v>8.3138260000000024</v>
      </c>
      <c r="P554">
        <v>7.0393719166666662</v>
      </c>
      <c r="Q554">
        <v>4.7319345000000004</v>
      </c>
      <c r="R554">
        <v>9.1357489166666674</v>
      </c>
    </row>
    <row r="566" spans="2:18" x14ac:dyDescent="0.2">
      <c r="B566" s="45">
        <v>23</v>
      </c>
      <c r="C566">
        <v>5.3639173333333332</v>
      </c>
      <c r="D566">
        <v>5.6896138333333335</v>
      </c>
      <c r="E566">
        <v>4.5651360000000007</v>
      </c>
      <c r="F566">
        <v>3.7303750000000004</v>
      </c>
      <c r="G566">
        <v>5.0263542500000007</v>
      </c>
      <c r="H566">
        <v>3.432544</v>
      </c>
      <c r="I566">
        <v>12.02576166666667</v>
      </c>
      <c r="J566">
        <v>4.9948445833333333</v>
      </c>
      <c r="K566">
        <v>4.0272059166666665</v>
      </c>
      <c r="L566">
        <v>6.0504837500000006</v>
      </c>
      <c r="M566">
        <v>7.4320200833333319</v>
      </c>
      <c r="N566">
        <v>3.8865967500000007</v>
      </c>
      <c r="O566">
        <v>8.3138260000000024</v>
      </c>
      <c r="P566">
        <v>7.0674022500000007</v>
      </c>
      <c r="Q566">
        <v>4.7474972499999986</v>
      </c>
      <c r="R566">
        <v>9.4104070833333342</v>
      </c>
    </row>
    <row r="578" spans="2:18" x14ac:dyDescent="0.2">
      <c r="B578" s="9">
        <v>0</v>
      </c>
      <c r="C578">
        <v>5.5439367499999994</v>
      </c>
      <c r="D578">
        <v>5.7290959166666662</v>
      </c>
      <c r="E578">
        <v>4.5651360000000007</v>
      </c>
      <c r="F578">
        <v>3.7303750000000004</v>
      </c>
      <c r="G578">
        <v>5.0273770000000004</v>
      </c>
      <c r="H578">
        <v>3.432544</v>
      </c>
      <c r="I578">
        <v>12.155660833333334</v>
      </c>
      <c r="J578">
        <v>5.2271843333333337</v>
      </c>
      <c r="K578">
        <v>4.1176069999999996</v>
      </c>
      <c r="L578">
        <v>6.3844482499999984</v>
      </c>
      <c r="M578">
        <v>7.5525655833333341</v>
      </c>
      <c r="N578">
        <v>3.9149208333333334</v>
      </c>
      <c r="O578">
        <v>8.3138260000000024</v>
      </c>
      <c r="P578">
        <v>7.138761333333334</v>
      </c>
      <c r="Q578">
        <v>4.7478059999999989</v>
      </c>
      <c r="R578">
        <v>9.6681025833333329</v>
      </c>
    </row>
    <row r="590" spans="2:18" x14ac:dyDescent="0.2">
      <c r="B590" s="45">
        <v>1</v>
      </c>
      <c r="C590">
        <v>5.5492989999999986</v>
      </c>
      <c r="D590">
        <v>5.7685780000000006</v>
      </c>
      <c r="E590">
        <v>4.5651360000000007</v>
      </c>
      <c r="F590">
        <v>3.7303750000000004</v>
      </c>
      <c r="G590">
        <v>5.0273770000000004</v>
      </c>
      <c r="H590">
        <v>3.432544</v>
      </c>
      <c r="I590">
        <v>12.275455833333332</v>
      </c>
      <c r="J590">
        <v>5.4230618333333345</v>
      </c>
      <c r="K590">
        <v>4.1176069999999996</v>
      </c>
      <c r="L590">
        <v>6.653210666666669</v>
      </c>
      <c r="M590">
        <v>7.6399510833333322</v>
      </c>
      <c r="N590">
        <v>3.943244833333333</v>
      </c>
      <c r="O590">
        <v>8.3138260000000024</v>
      </c>
      <c r="P590">
        <v>7.4462066666666678</v>
      </c>
      <c r="Q590">
        <v>4.7478059999999989</v>
      </c>
      <c r="R590">
        <v>9.7424622500000009</v>
      </c>
    </row>
    <row r="602" spans="2:18" x14ac:dyDescent="0.2">
      <c r="B602" s="45">
        <v>2</v>
      </c>
      <c r="C602">
        <v>5.5492989999999986</v>
      </c>
      <c r="D602">
        <v>5.8080601666666665</v>
      </c>
      <c r="E602">
        <v>4.5651360000000007</v>
      </c>
      <c r="F602">
        <v>3.7303750000000004</v>
      </c>
      <c r="G602">
        <v>5.0273770000000004</v>
      </c>
      <c r="H602">
        <v>3.432544</v>
      </c>
      <c r="I602">
        <v>12.731358333333333</v>
      </c>
      <c r="J602">
        <v>5.4380310000000014</v>
      </c>
      <c r="K602">
        <v>4.1176069999999996</v>
      </c>
      <c r="L602">
        <v>6.9261521666666654</v>
      </c>
      <c r="M602">
        <v>7.6436879999999983</v>
      </c>
      <c r="N602">
        <v>3.9697896666666677</v>
      </c>
      <c r="O602">
        <v>8.3138260000000024</v>
      </c>
      <c r="P602">
        <v>7.8031505000000001</v>
      </c>
      <c r="Q602">
        <v>4.7478059999999989</v>
      </c>
      <c r="R602">
        <v>10.103794916666667</v>
      </c>
    </row>
    <row r="614" spans="2:18" x14ac:dyDescent="0.2">
      <c r="B614" s="45">
        <v>3</v>
      </c>
      <c r="C614">
        <v>5.5492989999999986</v>
      </c>
      <c r="D614">
        <v>5.8475422500000001</v>
      </c>
      <c r="E614">
        <v>4.5651360000000007</v>
      </c>
      <c r="F614">
        <v>3.7303750000000004</v>
      </c>
      <c r="G614">
        <v>5.0384865833333334</v>
      </c>
      <c r="H614">
        <v>3.432544</v>
      </c>
      <c r="I614">
        <v>12.857989999999999</v>
      </c>
      <c r="J614">
        <v>5.4380310000000014</v>
      </c>
      <c r="K614">
        <v>4.1176069999999996</v>
      </c>
      <c r="L614">
        <v>7.1770460000000007</v>
      </c>
      <c r="M614">
        <v>7.6436879999999983</v>
      </c>
      <c r="N614">
        <v>3.9756720000000008</v>
      </c>
      <c r="O614">
        <v>8.3138260000000024</v>
      </c>
      <c r="P614">
        <v>7.9268531666666666</v>
      </c>
      <c r="Q614">
        <v>4.7478059999999989</v>
      </c>
      <c r="R614">
        <v>10.555515833333333</v>
      </c>
    </row>
    <row r="626" spans="2:18" x14ac:dyDescent="0.2">
      <c r="B626" s="45">
        <v>4</v>
      </c>
      <c r="C626">
        <v>5.5492989999999986</v>
      </c>
      <c r="D626">
        <v>5.8870243333333327</v>
      </c>
      <c r="E626">
        <v>4.5651360000000007</v>
      </c>
      <c r="F626">
        <v>3.7303750000000004</v>
      </c>
      <c r="G626">
        <v>5.0967044166666673</v>
      </c>
      <c r="H626">
        <v>3.432544</v>
      </c>
      <c r="I626">
        <v>12.857989999999999</v>
      </c>
      <c r="J626">
        <v>5.4380310000000014</v>
      </c>
      <c r="K626">
        <v>4.1191561666666665</v>
      </c>
      <c r="L626">
        <v>7.2881503333333342</v>
      </c>
      <c r="M626">
        <v>7.6436879999999983</v>
      </c>
      <c r="N626">
        <v>3.9756720000000008</v>
      </c>
      <c r="O626">
        <v>8.3138260000000024</v>
      </c>
      <c r="P626">
        <v>8.1041070000000008</v>
      </c>
      <c r="Q626">
        <v>4.7479655833333334</v>
      </c>
      <c r="R626">
        <v>10.638600833333333</v>
      </c>
    </row>
    <row r="638" spans="2:18" x14ac:dyDescent="0.2">
      <c r="B638" s="45">
        <v>5</v>
      </c>
      <c r="C638">
        <v>5.5492989999999986</v>
      </c>
      <c r="D638">
        <v>5.9265064999999995</v>
      </c>
      <c r="E638">
        <v>4.5651360000000007</v>
      </c>
      <c r="F638">
        <v>3.7303750000000004</v>
      </c>
      <c r="G638">
        <v>5.1584535833333343</v>
      </c>
      <c r="H638">
        <v>3.432544</v>
      </c>
      <c r="I638">
        <v>12.857989999999999</v>
      </c>
      <c r="J638">
        <v>5.4380310000000014</v>
      </c>
      <c r="K638">
        <v>4.148479916666667</v>
      </c>
      <c r="L638">
        <v>7.3431189166666675</v>
      </c>
      <c r="M638">
        <v>7.6436879999999983</v>
      </c>
      <c r="N638">
        <v>3.9756720000000008</v>
      </c>
      <c r="O638">
        <v>8.3138260000000024</v>
      </c>
      <c r="P638">
        <v>8.2826346666666666</v>
      </c>
      <c r="Q638">
        <v>4.7494776666666665</v>
      </c>
      <c r="R638">
        <v>10.642033333333332</v>
      </c>
    </row>
    <row r="650" spans="2:18" x14ac:dyDescent="0.2">
      <c r="B650" s="45">
        <v>6</v>
      </c>
      <c r="C650">
        <v>5.5492989999999986</v>
      </c>
      <c r="D650">
        <v>5.9646658333333322</v>
      </c>
      <c r="E650">
        <v>4.5651360000000007</v>
      </c>
      <c r="F650">
        <v>3.7303750000000004</v>
      </c>
      <c r="G650">
        <v>5.300634416666667</v>
      </c>
      <c r="H650">
        <v>3.432544</v>
      </c>
      <c r="I650">
        <v>12.857989999999999</v>
      </c>
      <c r="J650">
        <v>5.4437030000000002</v>
      </c>
      <c r="K650">
        <v>4.1879619999999997</v>
      </c>
      <c r="L650">
        <v>7.3602092500000005</v>
      </c>
      <c r="M650">
        <v>7.6436879999999983</v>
      </c>
      <c r="N650">
        <v>3.9900895000000003</v>
      </c>
      <c r="O650">
        <v>8.3138260000000024</v>
      </c>
      <c r="P650">
        <v>8.4611626666666666</v>
      </c>
      <c r="Q650">
        <v>4.7555769999999997</v>
      </c>
      <c r="R650">
        <v>10.645209166666666</v>
      </c>
    </row>
    <row r="662" spans="2:18" x14ac:dyDescent="0.2">
      <c r="B662" s="45">
        <v>7</v>
      </c>
      <c r="C662">
        <v>5.5535394166666672</v>
      </c>
      <c r="D662">
        <v>5.985932833333333</v>
      </c>
      <c r="E662">
        <v>4.5651360000000007</v>
      </c>
      <c r="F662">
        <v>3.7303750000000004</v>
      </c>
      <c r="G662">
        <v>5.4800482500000003</v>
      </c>
      <c r="H662">
        <v>3.432544</v>
      </c>
      <c r="I662">
        <v>12.863222499999999</v>
      </c>
      <c r="J662">
        <v>5.5207547499999992</v>
      </c>
      <c r="K662">
        <v>4.2274441666666664</v>
      </c>
      <c r="L662">
        <v>7.3626945833333339</v>
      </c>
      <c r="M662">
        <v>7.6436879999999983</v>
      </c>
      <c r="N662">
        <v>4.0391020833333338</v>
      </c>
      <c r="O662">
        <v>8.3138260000000024</v>
      </c>
      <c r="P662">
        <v>8.6351527500000014</v>
      </c>
      <c r="Q662">
        <v>4.7641602499999998</v>
      </c>
      <c r="R662">
        <v>10.6595475</v>
      </c>
    </row>
    <row r="674" spans="2:18" x14ac:dyDescent="0.2">
      <c r="B674" s="45">
        <v>8</v>
      </c>
      <c r="C674">
        <v>5.5625339166666663</v>
      </c>
      <c r="D674">
        <v>5.988993999999999</v>
      </c>
      <c r="E674">
        <v>4.5651360000000007</v>
      </c>
      <c r="F674">
        <v>3.7303750000000004</v>
      </c>
      <c r="G674">
        <v>5.50586325</v>
      </c>
      <c r="H674">
        <v>3.432544</v>
      </c>
      <c r="I674">
        <v>12.892156666666667</v>
      </c>
      <c r="J674">
        <v>5.6973609999999999</v>
      </c>
      <c r="K674">
        <v>4.3125891666666671</v>
      </c>
      <c r="L674">
        <v>7.374033166666667</v>
      </c>
      <c r="M674">
        <v>7.6436879999999983</v>
      </c>
      <c r="N674">
        <v>4.1019449166666666</v>
      </c>
      <c r="O674">
        <v>8.3138260000000024</v>
      </c>
      <c r="P674">
        <v>8.754806499999999</v>
      </c>
      <c r="Q674">
        <v>4.8397223333333335</v>
      </c>
      <c r="R674">
        <v>10.729127499999999</v>
      </c>
    </row>
    <row r="686" spans="2:18" x14ac:dyDescent="0.2">
      <c r="B686" s="45">
        <v>9</v>
      </c>
      <c r="C686">
        <v>5.5694002499999984</v>
      </c>
      <c r="D686">
        <v>5.988993999999999</v>
      </c>
      <c r="E686">
        <v>4.5651360000000007</v>
      </c>
      <c r="F686">
        <v>3.7339814999999987</v>
      </c>
      <c r="G686">
        <v>5.5179434166666672</v>
      </c>
      <c r="H686">
        <v>3.43273275</v>
      </c>
      <c r="I686">
        <v>12.898553333333334</v>
      </c>
      <c r="J686">
        <v>5.8085358333333339</v>
      </c>
      <c r="K686">
        <v>4.6502935833333332</v>
      </c>
      <c r="L686">
        <v>7.3772110000000017</v>
      </c>
      <c r="M686">
        <v>7.6436879999999983</v>
      </c>
      <c r="N686">
        <v>4.1640934166666659</v>
      </c>
      <c r="O686">
        <v>8.3139896666666697</v>
      </c>
      <c r="P686">
        <v>9.0578245833333337</v>
      </c>
      <c r="Q686">
        <v>5.0106247499999998</v>
      </c>
      <c r="R686">
        <v>10.804658333333334</v>
      </c>
    </row>
    <row r="698" spans="2:18" x14ac:dyDescent="0.2">
      <c r="B698" s="45">
        <v>10</v>
      </c>
      <c r="C698">
        <v>5.5762667499999994</v>
      </c>
      <c r="D698">
        <v>5.988993999999999</v>
      </c>
      <c r="E698">
        <v>4.5651360000000007</v>
      </c>
      <c r="F698">
        <v>3.7398669999999989</v>
      </c>
      <c r="G698">
        <v>5.5669947499999992</v>
      </c>
      <c r="H698">
        <v>3.4342087499999998</v>
      </c>
      <c r="I698">
        <v>12.930500000000002</v>
      </c>
      <c r="J698">
        <v>5.8279037499999999</v>
      </c>
      <c r="K698">
        <v>4.8269571666666673</v>
      </c>
      <c r="L698">
        <v>7.3772110000000017</v>
      </c>
      <c r="M698">
        <v>7.6478901666666674</v>
      </c>
      <c r="N698">
        <v>4.2096306666666665</v>
      </c>
      <c r="O698">
        <v>8.334386499999999</v>
      </c>
      <c r="P698">
        <v>9.2471781666666661</v>
      </c>
      <c r="Q698">
        <v>5.0927159999999994</v>
      </c>
      <c r="R698">
        <v>10.8802</v>
      </c>
    </row>
    <row r="710" spans="2:18" x14ac:dyDescent="0.2">
      <c r="B710" s="45">
        <v>11</v>
      </c>
      <c r="C710">
        <v>5.5831332500000004</v>
      </c>
      <c r="D710">
        <v>5.988993999999999</v>
      </c>
      <c r="E710">
        <v>4.5651360000000007</v>
      </c>
      <c r="F710">
        <v>3.7398669999999989</v>
      </c>
      <c r="G710">
        <v>5.6337331666666657</v>
      </c>
      <c r="H710">
        <v>3.4359254999999997</v>
      </c>
      <c r="I710">
        <v>13.035413333333331</v>
      </c>
      <c r="J710">
        <v>5.84642675</v>
      </c>
      <c r="K710">
        <v>4.8593764166666675</v>
      </c>
      <c r="L710">
        <v>7.3772110000000017</v>
      </c>
      <c r="M710">
        <v>7.7150154166666667</v>
      </c>
      <c r="N710">
        <v>4.253423999999999</v>
      </c>
      <c r="O710">
        <v>8.368719333333333</v>
      </c>
      <c r="P710">
        <v>9.3597664999999992</v>
      </c>
      <c r="Q710">
        <v>5.1837377499999997</v>
      </c>
      <c r="R710">
        <v>10.931041666666665</v>
      </c>
    </row>
    <row r="722" spans="2:18" x14ac:dyDescent="0.2">
      <c r="B722" s="45">
        <v>12</v>
      </c>
      <c r="C722">
        <v>5.5899779166666663</v>
      </c>
      <c r="D722">
        <v>5.988993999999999</v>
      </c>
      <c r="E722">
        <v>4.5651360000000007</v>
      </c>
      <c r="F722">
        <v>3.7451865833333335</v>
      </c>
      <c r="G722">
        <v>5.65656275</v>
      </c>
      <c r="H722">
        <v>3.4376421666666666</v>
      </c>
      <c r="I722">
        <v>13.052909999999999</v>
      </c>
      <c r="J722">
        <v>5.8524960000000013</v>
      </c>
      <c r="K722">
        <v>4.8648090000000002</v>
      </c>
      <c r="L722">
        <v>7.3772110000000017</v>
      </c>
      <c r="M722">
        <v>7.8094291666666669</v>
      </c>
      <c r="N722">
        <v>4.2611879999999989</v>
      </c>
      <c r="O722">
        <v>8.4030515000000001</v>
      </c>
      <c r="P722">
        <v>9.4432282500000007</v>
      </c>
      <c r="Q722">
        <v>5.339541333333333</v>
      </c>
      <c r="R722">
        <v>10.978232500000003</v>
      </c>
    </row>
    <row r="734" spans="2:18" x14ac:dyDescent="0.2">
      <c r="B734" s="45">
        <v>13</v>
      </c>
      <c r="C734">
        <v>5.5996279166666669</v>
      </c>
      <c r="D734">
        <v>5.988993999999999</v>
      </c>
      <c r="E734">
        <v>4.5651360000000007</v>
      </c>
      <c r="F734">
        <v>3.7642330833333335</v>
      </c>
      <c r="G734">
        <v>5.6840285833333333</v>
      </c>
      <c r="H734">
        <v>3.4397365833333331</v>
      </c>
      <c r="I734">
        <v>13.052909999999999</v>
      </c>
      <c r="J734">
        <v>5.8524960000000013</v>
      </c>
      <c r="K734">
        <v>4.8648090000000002</v>
      </c>
      <c r="L734">
        <v>7.4185885833333343</v>
      </c>
      <c r="M734">
        <v>7.8833952500000022</v>
      </c>
      <c r="N734">
        <v>4.2611879999999989</v>
      </c>
      <c r="O734">
        <v>8.4373834999999993</v>
      </c>
      <c r="P734">
        <v>9.5335555833333334</v>
      </c>
      <c r="Q734">
        <v>5.3878839999999997</v>
      </c>
      <c r="R734">
        <v>11.032807499999999</v>
      </c>
    </row>
    <row r="746" spans="2:18" x14ac:dyDescent="0.2">
      <c r="B746" s="45">
        <v>14</v>
      </c>
      <c r="C746">
        <v>5.6229105833333337</v>
      </c>
      <c r="D746">
        <v>5.9955818333333326</v>
      </c>
      <c r="E746">
        <v>4.5651360000000007</v>
      </c>
      <c r="F746">
        <v>3.7839741666666669</v>
      </c>
      <c r="G746">
        <v>5.7010427499999992</v>
      </c>
      <c r="H746">
        <v>3.4452066666666661</v>
      </c>
      <c r="I746">
        <v>13.079298333333334</v>
      </c>
      <c r="J746">
        <v>5.8524960000000013</v>
      </c>
      <c r="K746">
        <v>4.8648090000000002</v>
      </c>
      <c r="L746">
        <v>7.5525161666666669</v>
      </c>
      <c r="M746">
        <v>7.8889070000000023</v>
      </c>
      <c r="N746">
        <v>4.2611879999999989</v>
      </c>
      <c r="O746">
        <v>8.4717157499999995</v>
      </c>
      <c r="P746">
        <v>9.5740784999999988</v>
      </c>
      <c r="Q746">
        <v>5.3878839999999997</v>
      </c>
      <c r="R746">
        <v>11.133672499999998</v>
      </c>
    </row>
    <row r="758" spans="2:18" x14ac:dyDescent="0.2">
      <c r="B758" s="45">
        <v>15</v>
      </c>
      <c r="C758">
        <v>5.6812231666666664</v>
      </c>
      <c r="D758">
        <v>6.2458153333333328</v>
      </c>
      <c r="E758">
        <v>4.5755004999999995</v>
      </c>
      <c r="F758">
        <v>3.8037152499999998</v>
      </c>
      <c r="G758">
        <v>5.7154575833333334</v>
      </c>
      <c r="H758">
        <v>3.455086416666667</v>
      </c>
      <c r="I758">
        <v>13.138196666666666</v>
      </c>
      <c r="J758">
        <v>5.8524960000000013</v>
      </c>
      <c r="K758">
        <v>4.8648090000000002</v>
      </c>
      <c r="L758">
        <v>7.9018804999999999</v>
      </c>
      <c r="M758">
        <v>7.8889070000000023</v>
      </c>
      <c r="N758">
        <v>4.2611879999999989</v>
      </c>
      <c r="O758">
        <v>8.5239584166666678</v>
      </c>
      <c r="P758">
        <v>9.5946779166666651</v>
      </c>
      <c r="Q758">
        <v>5.3878839999999997</v>
      </c>
      <c r="R758">
        <v>11.240102500000001</v>
      </c>
    </row>
    <row r="770" spans="2:18" x14ac:dyDescent="0.2">
      <c r="B770" s="45">
        <v>16</v>
      </c>
      <c r="C770">
        <v>5.7643525000000002</v>
      </c>
      <c r="D770">
        <v>6.6181739166666667</v>
      </c>
      <c r="E770">
        <v>4.6193065833333327</v>
      </c>
      <c r="F770">
        <v>3.8232855833333339</v>
      </c>
      <c r="G770">
        <v>5.7542495833333343</v>
      </c>
      <c r="H770">
        <v>3.4712244166666664</v>
      </c>
      <c r="I770">
        <v>13.162275000000001</v>
      </c>
      <c r="J770">
        <v>5.8524960000000013</v>
      </c>
      <c r="K770">
        <v>4.8648090000000002</v>
      </c>
      <c r="L770">
        <v>8.1229264166666635</v>
      </c>
      <c r="M770">
        <v>7.8895030833333353</v>
      </c>
      <c r="N770">
        <v>4.2611879999999989</v>
      </c>
      <c r="O770">
        <v>8.6593900000000019</v>
      </c>
      <c r="P770">
        <v>9.6152773333333332</v>
      </c>
      <c r="Q770">
        <v>5.4352185000000004</v>
      </c>
      <c r="R770">
        <v>11.346532500000002</v>
      </c>
    </row>
    <row r="782" spans="2:18" x14ac:dyDescent="0.2">
      <c r="B782" s="45">
        <v>17</v>
      </c>
      <c r="C782">
        <v>5.8484664999999998</v>
      </c>
      <c r="D782">
        <v>6.8500135000000002</v>
      </c>
      <c r="E782">
        <v>4.6656550833333332</v>
      </c>
      <c r="F782">
        <v>3.8563628333333333</v>
      </c>
      <c r="G782">
        <v>5.7937316666666669</v>
      </c>
      <c r="H782">
        <v>3.4875315000000007</v>
      </c>
      <c r="I782">
        <v>13.1863075</v>
      </c>
      <c r="J782">
        <v>5.8524960000000013</v>
      </c>
      <c r="K782">
        <v>4.8648090000000002</v>
      </c>
      <c r="L782">
        <v>8.169188916666668</v>
      </c>
      <c r="M782">
        <v>7.9639003333333322</v>
      </c>
      <c r="N782">
        <v>4.2955034166666666</v>
      </c>
      <c r="O782">
        <v>8.6715250000000008</v>
      </c>
      <c r="P782">
        <v>9.635599083333334</v>
      </c>
      <c r="Q782">
        <v>5.5347818333333327</v>
      </c>
      <c r="R782">
        <v>11.4529625</v>
      </c>
    </row>
    <row r="794" spans="2:18" x14ac:dyDescent="0.2">
      <c r="B794" s="45">
        <v>18</v>
      </c>
      <c r="C794">
        <v>5.9233206666666662</v>
      </c>
      <c r="D794">
        <v>6.9856264166666664</v>
      </c>
      <c r="E794">
        <v>4.7120037499999992</v>
      </c>
      <c r="F794">
        <v>3.9915570833333334</v>
      </c>
      <c r="G794">
        <v>5.8332138333333345</v>
      </c>
      <c r="H794">
        <v>3.5038394999999993</v>
      </c>
      <c r="I794">
        <v>13.210340833333333</v>
      </c>
      <c r="J794">
        <v>5.8542744166666667</v>
      </c>
      <c r="K794">
        <v>4.8648090000000002</v>
      </c>
      <c r="L794">
        <v>8.1717830000000014</v>
      </c>
      <c r="M794">
        <v>8.0880279166666664</v>
      </c>
      <c r="N794">
        <v>4.5654240000000001</v>
      </c>
      <c r="O794">
        <v>8.6715250000000008</v>
      </c>
      <c r="P794">
        <v>9.6550340833333319</v>
      </c>
      <c r="Q794">
        <v>5.6343454999999993</v>
      </c>
      <c r="R794">
        <v>11.559393333333333</v>
      </c>
    </row>
    <row r="806" spans="2:18" x14ac:dyDescent="0.2">
      <c r="B806" s="45">
        <v>19</v>
      </c>
      <c r="C806">
        <v>5.9786643333333336</v>
      </c>
      <c r="D806">
        <v>7.0682860833333336</v>
      </c>
      <c r="E806">
        <v>4.7583522500000006</v>
      </c>
      <c r="F806">
        <v>4.2640485000000004</v>
      </c>
      <c r="G806">
        <v>5.8726959166666672</v>
      </c>
      <c r="H806">
        <v>3.5201475000000002</v>
      </c>
      <c r="I806">
        <v>13.234396666666667</v>
      </c>
      <c r="J806">
        <v>5.8663525833333336</v>
      </c>
      <c r="K806">
        <v>4.8648090000000002</v>
      </c>
      <c r="L806">
        <v>8.1717830000000014</v>
      </c>
      <c r="M806">
        <v>8.2116241666666667</v>
      </c>
      <c r="N806">
        <v>4.8795642499999996</v>
      </c>
      <c r="O806">
        <v>8.6715250000000008</v>
      </c>
      <c r="P806">
        <v>9.6780554166666679</v>
      </c>
      <c r="Q806">
        <v>5.733909333333334</v>
      </c>
      <c r="R806">
        <v>11.665823333333334</v>
      </c>
    </row>
    <row r="818" spans="2:18" x14ac:dyDescent="0.2">
      <c r="B818" s="45">
        <v>20</v>
      </c>
      <c r="C818">
        <v>6.0322379166666655</v>
      </c>
      <c r="D818">
        <v>7.0878551666666665</v>
      </c>
      <c r="E818">
        <v>4.8232101666666667</v>
      </c>
      <c r="F818">
        <v>4.5404234166666662</v>
      </c>
      <c r="G818">
        <v>5.9121779999999999</v>
      </c>
      <c r="H818">
        <v>3.5364555000000006</v>
      </c>
      <c r="I818">
        <v>13.360859166666669</v>
      </c>
      <c r="J818">
        <v>5.8800854166666658</v>
      </c>
      <c r="K818">
        <v>4.8648090000000002</v>
      </c>
      <c r="L818">
        <v>8.1717830000000014</v>
      </c>
      <c r="M818">
        <v>8.3234289999999991</v>
      </c>
      <c r="N818">
        <v>5.1672644166666659</v>
      </c>
      <c r="O818">
        <v>8.6804085000000004</v>
      </c>
      <c r="P818">
        <v>9.7087325833333331</v>
      </c>
      <c r="Q818">
        <v>5.8334724999999992</v>
      </c>
      <c r="R818">
        <v>11.772253333333337</v>
      </c>
    </row>
    <row r="830" spans="2:18" x14ac:dyDescent="0.2">
      <c r="B830" s="45">
        <v>21</v>
      </c>
      <c r="C830">
        <v>6.0487630000000001</v>
      </c>
      <c r="D830">
        <v>7.0879489999999992</v>
      </c>
      <c r="E830">
        <v>4.9490604166666667</v>
      </c>
      <c r="F830">
        <v>4.8167982499999997</v>
      </c>
      <c r="G830">
        <v>5.9516601666666666</v>
      </c>
      <c r="H830">
        <v>3.5527634999999993</v>
      </c>
      <c r="I830">
        <v>13.790995833333335</v>
      </c>
      <c r="J830">
        <v>5.8916697499999984</v>
      </c>
      <c r="K830">
        <v>4.8648090000000002</v>
      </c>
      <c r="L830">
        <v>8.1717830000000014</v>
      </c>
      <c r="M830">
        <v>8.5872605000000011</v>
      </c>
      <c r="N830">
        <v>5.2532517500000004</v>
      </c>
      <c r="O830">
        <v>8.7585057499999994</v>
      </c>
      <c r="P830">
        <v>9.739631666666666</v>
      </c>
      <c r="Q830">
        <v>5.9330364999999992</v>
      </c>
      <c r="R830">
        <v>11.869297500000002</v>
      </c>
    </row>
    <row r="842" spans="2:18" x14ac:dyDescent="0.2">
      <c r="B842" s="45">
        <v>22</v>
      </c>
      <c r="C842">
        <v>6.0487630000000001</v>
      </c>
      <c r="D842">
        <v>7.0879489999999992</v>
      </c>
      <c r="E842">
        <v>5.079523083333334</v>
      </c>
      <c r="F842">
        <v>4.9514489999999993</v>
      </c>
      <c r="G842">
        <v>5.9911422499999993</v>
      </c>
      <c r="H842">
        <v>3.5689099166666662</v>
      </c>
      <c r="I842">
        <v>14.275299999999996</v>
      </c>
      <c r="J842">
        <v>5.8929959999999992</v>
      </c>
      <c r="K842">
        <v>4.8648090000000002</v>
      </c>
      <c r="L842">
        <v>8.1717830000000014</v>
      </c>
      <c r="M842">
        <v>8.901258416666666</v>
      </c>
      <c r="N842">
        <v>5.2552880000000002</v>
      </c>
      <c r="O842">
        <v>8.8238736666666657</v>
      </c>
      <c r="P842">
        <v>9.7669213333333325</v>
      </c>
      <c r="Q842">
        <v>6.0325998333333333</v>
      </c>
      <c r="R842">
        <v>11.887200000000002</v>
      </c>
    </row>
    <row r="854" spans="2:18" x14ac:dyDescent="0.2">
      <c r="B854" s="45">
        <v>23</v>
      </c>
      <c r="C854">
        <v>6.0487630000000001</v>
      </c>
      <c r="D854">
        <v>7.0879489999999992</v>
      </c>
      <c r="E854">
        <v>5.1913799166666665</v>
      </c>
      <c r="F854">
        <v>4.96288675</v>
      </c>
      <c r="G854">
        <v>6.0306243333333329</v>
      </c>
      <c r="H854">
        <v>3.574897</v>
      </c>
      <c r="I854">
        <v>14.489333333333329</v>
      </c>
      <c r="J854">
        <v>5.8929959999999992</v>
      </c>
      <c r="K854">
        <v>4.8648090000000002</v>
      </c>
      <c r="L854">
        <v>8.1717830000000014</v>
      </c>
      <c r="M854">
        <v>9.1870738333333328</v>
      </c>
      <c r="N854">
        <v>5.2552880000000002</v>
      </c>
      <c r="O854">
        <v>8.8380480000000006</v>
      </c>
      <c r="P854">
        <v>9.7797503333333324</v>
      </c>
      <c r="Q854">
        <v>6.1321634999999999</v>
      </c>
      <c r="R854">
        <v>11.932227499999998</v>
      </c>
    </row>
    <row r="866" spans="2:18" x14ac:dyDescent="0.2">
      <c r="B866" s="11">
        <v>0</v>
      </c>
      <c r="C866">
        <v>6.0487630000000001</v>
      </c>
      <c r="D866">
        <v>7.0879489999999992</v>
      </c>
      <c r="E866">
        <v>5.2443934166666653</v>
      </c>
      <c r="F866">
        <v>4.9817695833333335</v>
      </c>
      <c r="G866">
        <v>6.0701064999999987</v>
      </c>
      <c r="H866">
        <v>3.574897</v>
      </c>
      <c r="I866">
        <v>14.5223125</v>
      </c>
      <c r="J866">
        <v>5.8929959999999992</v>
      </c>
      <c r="K866">
        <v>4.8701951666666661</v>
      </c>
      <c r="L866">
        <v>8.1746823333333332</v>
      </c>
      <c r="M866">
        <v>9.2710790833333334</v>
      </c>
      <c r="N866">
        <v>5.2552880000000002</v>
      </c>
      <c r="O866">
        <v>8.8380480000000006</v>
      </c>
      <c r="P866">
        <v>9.7799009999999988</v>
      </c>
      <c r="Q866">
        <v>6.2026357499999998</v>
      </c>
      <c r="R866">
        <v>12.082420000000001</v>
      </c>
    </row>
    <row r="878" spans="2:18" x14ac:dyDescent="0.2">
      <c r="B878" s="45">
        <v>1</v>
      </c>
      <c r="C878">
        <v>6.0487630000000001</v>
      </c>
      <c r="D878">
        <v>7.0879489999999992</v>
      </c>
      <c r="E878">
        <v>5.27357575</v>
      </c>
      <c r="F878">
        <v>5.0006523333333339</v>
      </c>
      <c r="G878">
        <v>6.1095886666666672</v>
      </c>
      <c r="H878">
        <v>3.574897</v>
      </c>
      <c r="I878">
        <v>14.523040000000002</v>
      </c>
      <c r="J878">
        <v>5.8929959999999992</v>
      </c>
      <c r="K878">
        <v>4.8785609999999995</v>
      </c>
      <c r="L878">
        <v>8.2372594166666673</v>
      </c>
      <c r="M878">
        <v>9.3038043333333338</v>
      </c>
      <c r="N878">
        <v>5.2552880000000002</v>
      </c>
      <c r="O878">
        <v>8.8380480000000006</v>
      </c>
      <c r="P878">
        <v>9.7799009999999988</v>
      </c>
      <c r="Q878">
        <v>6.2053839999999996</v>
      </c>
      <c r="R878">
        <v>12.236914166666665</v>
      </c>
    </row>
    <row r="890" spans="2:18" x14ac:dyDescent="0.2">
      <c r="B890" s="45">
        <v>2</v>
      </c>
      <c r="C890">
        <v>6.0491403333333338</v>
      </c>
      <c r="D890">
        <v>7.0879489999999992</v>
      </c>
      <c r="E890">
        <v>5.302758250000001</v>
      </c>
      <c r="F890">
        <v>5.0195350833333334</v>
      </c>
      <c r="G890">
        <v>6.1490707500000026</v>
      </c>
      <c r="H890">
        <v>3.574897</v>
      </c>
      <c r="I890">
        <v>14.523040000000002</v>
      </c>
      <c r="J890">
        <v>5.8929959999999992</v>
      </c>
      <c r="K890">
        <v>4.8785609999999995</v>
      </c>
      <c r="L890">
        <v>8.3515687500000002</v>
      </c>
      <c r="M890">
        <v>9.3484363333333338</v>
      </c>
      <c r="N890">
        <v>5.2552880000000002</v>
      </c>
      <c r="O890">
        <v>8.8380480000000006</v>
      </c>
      <c r="P890">
        <v>9.7799009999999988</v>
      </c>
      <c r="Q890">
        <v>6.2053839999999996</v>
      </c>
      <c r="R890">
        <v>12.39141</v>
      </c>
    </row>
    <row r="902" spans="2:18" x14ac:dyDescent="0.2">
      <c r="B902" s="45">
        <v>3</v>
      </c>
      <c r="C902">
        <v>6.0518749999999999</v>
      </c>
      <c r="D902">
        <v>7.0879489999999992</v>
      </c>
      <c r="E902">
        <v>5.3301695833333325</v>
      </c>
      <c r="F902">
        <v>5.037723333333334</v>
      </c>
      <c r="G902">
        <v>6.1809934166666674</v>
      </c>
      <c r="H902">
        <v>3.574897</v>
      </c>
      <c r="I902">
        <v>14.523040000000002</v>
      </c>
      <c r="J902">
        <v>5.8929959999999992</v>
      </c>
      <c r="K902">
        <v>4.8785609999999995</v>
      </c>
      <c r="L902">
        <v>8.464845583333334</v>
      </c>
      <c r="M902">
        <v>9.393068333333332</v>
      </c>
      <c r="N902">
        <v>5.2552880000000002</v>
      </c>
      <c r="O902">
        <v>8.8380480000000006</v>
      </c>
      <c r="P902">
        <v>9.7799009999999988</v>
      </c>
      <c r="Q902">
        <v>6.2053839999999996</v>
      </c>
      <c r="R902">
        <v>12.545904999999999</v>
      </c>
    </row>
    <row r="914" spans="2:18" x14ac:dyDescent="0.2">
      <c r="B914" s="45">
        <v>4</v>
      </c>
      <c r="C914">
        <v>6.0518749999999999</v>
      </c>
      <c r="D914">
        <v>7.0880322500000004</v>
      </c>
      <c r="E914">
        <v>5.3363549999999984</v>
      </c>
      <c r="F914">
        <v>5.0427210000000002</v>
      </c>
      <c r="G914">
        <v>6.1837980000000003</v>
      </c>
      <c r="H914">
        <v>3.5756525833333339</v>
      </c>
      <c r="I914">
        <v>14.650498333333333</v>
      </c>
      <c r="J914">
        <v>5.8929959999999992</v>
      </c>
      <c r="K914">
        <v>4.8785609999999995</v>
      </c>
      <c r="L914">
        <v>8.5781421666666677</v>
      </c>
      <c r="M914">
        <v>9.4252830833333316</v>
      </c>
      <c r="N914">
        <v>5.2580222500000007</v>
      </c>
      <c r="O914">
        <v>8.8380480000000006</v>
      </c>
      <c r="P914">
        <v>9.8078453333333329</v>
      </c>
      <c r="Q914">
        <v>6.2053839999999996</v>
      </c>
      <c r="R914">
        <v>12.7004</v>
      </c>
    </row>
    <row r="926" spans="2:18" x14ac:dyDescent="0.2">
      <c r="B926" s="45">
        <v>5</v>
      </c>
      <c r="C926">
        <v>6.0518749999999999</v>
      </c>
      <c r="D926">
        <v>7.0930324166666656</v>
      </c>
      <c r="E926">
        <v>5.3363549999999984</v>
      </c>
      <c r="F926">
        <v>5.0427210000000002</v>
      </c>
      <c r="G926">
        <v>6.1837980000000003</v>
      </c>
      <c r="H926">
        <v>3.5778298333333325</v>
      </c>
      <c r="I926">
        <v>14.945415833333334</v>
      </c>
      <c r="J926">
        <v>5.8970865833333335</v>
      </c>
      <c r="K926">
        <v>4.8785609999999995</v>
      </c>
      <c r="L926">
        <v>8.6914385833333334</v>
      </c>
      <c r="M926">
        <v>9.4267229999999991</v>
      </c>
      <c r="N926">
        <v>5.2739086666666664</v>
      </c>
      <c r="O926">
        <v>8.8380480000000006</v>
      </c>
      <c r="P926">
        <v>9.9528329166666669</v>
      </c>
      <c r="Q926">
        <v>6.2062537499999992</v>
      </c>
      <c r="R926">
        <v>12.821106666666665</v>
      </c>
    </row>
    <row r="938" spans="2:18" x14ac:dyDescent="0.2">
      <c r="B938" s="45">
        <v>6</v>
      </c>
      <c r="C938">
        <v>6.0518749999999999</v>
      </c>
      <c r="D938">
        <v>7.1026785833333337</v>
      </c>
      <c r="E938">
        <v>5.3363549999999984</v>
      </c>
      <c r="F938">
        <v>5.0427210000000002</v>
      </c>
      <c r="G938">
        <v>6.1995509166666674</v>
      </c>
      <c r="H938">
        <v>3.5781459999999989</v>
      </c>
      <c r="I938">
        <v>15.140926666666665</v>
      </c>
      <c r="J938">
        <v>5.9793834166666668</v>
      </c>
      <c r="K938">
        <v>4.8785609999999995</v>
      </c>
      <c r="L938">
        <v>8.8047351666666671</v>
      </c>
      <c r="M938">
        <v>9.4267229999999991</v>
      </c>
      <c r="N938">
        <v>5.2920526666666676</v>
      </c>
      <c r="O938">
        <v>8.885136833333334</v>
      </c>
      <c r="P938">
        <v>10.110759999999999</v>
      </c>
      <c r="Q938">
        <v>6.2147487499999992</v>
      </c>
      <c r="R938">
        <v>13.114704999999999</v>
      </c>
    </row>
    <row r="950" spans="2:18" x14ac:dyDescent="0.2">
      <c r="B950" s="45">
        <v>7</v>
      </c>
      <c r="C950">
        <v>6.0518749999999999</v>
      </c>
      <c r="D950">
        <v>7.1254249166666659</v>
      </c>
      <c r="E950">
        <v>5.3363549999999984</v>
      </c>
      <c r="F950">
        <v>5.0427210000000002</v>
      </c>
      <c r="G950">
        <v>6.2058066666666667</v>
      </c>
      <c r="H950">
        <v>3.5781459999999989</v>
      </c>
      <c r="I950">
        <v>15.340055</v>
      </c>
      <c r="J950">
        <v>6.1754040833333326</v>
      </c>
      <c r="K950">
        <v>4.8785609999999995</v>
      </c>
      <c r="L950">
        <v>8.8976231666666674</v>
      </c>
      <c r="M950">
        <v>9.4267229999999991</v>
      </c>
      <c r="N950">
        <v>5.3262155</v>
      </c>
      <c r="O950">
        <v>8.9942682499999993</v>
      </c>
      <c r="P950">
        <v>10.278258333333335</v>
      </c>
      <c r="Q950">
        <v>6.2232228333333337</v>
      </c>
      <c r="R950">
        <v>13.464894999999999</v>
      </c>
    </row>
    <row r="962" spans="2:18" x14ac:dyDescent="0.2">
      <c r="B962" s="45">
        <v>8</v>
      </c>
      <c r="C962">
        <v>6.0518749999999999</v>
      </c>
      <c r="D962">
        <v>7.1316098333333349</v>
      </c>
      <c r="E962">
        <v>5.3363549999999984</v>
      </c>
      <c r="F962">
        <v>5.0427210000000002</v>
      </c>
      <c r="G962">
        <v>6.2165136666666667</v>
      </c>
      <c r="H962">
        <v>3.5781459999999989</v>
      </c>
      <c r="I962">
        <v>15.53918166666667</v>
      </c>
      <c r="J962">
        <v>6.2454254166666674</v>
      </c>
      <c r="K962">
        <v>4.8785609999999995</v>
      </c>
      <c r="L962">
        <v>8.9347525000000001</v>
      </c>
      <c r="M962">
        <v>9.4267229999999991</v>
      </c>
      <c r="N962">
        <v>5.3510667500000011</v>
      </c>
      <c r="O962">
        <v>9.1124107500000004</v>
      </c>
      <c r="P962">
        <v>10.750730000000003</v>
      </c>
      <c r="Q962">
        <v>6.2323160000000009</v>
      </c>
      <c r="R962">
        <v>13.694378333333335</v>
      </c>
    </row>
    <row r="974" spans="2:18" x14ac:dyDescent="0.2">
      <c r="B974" s="45">
        <v>9</v>
      </c>
      <c r="C974">
        <v>6.0518749999999999</v>
      </c>
      <c r="D974">
        <v>7.135752666666666</v>
      </c>
      <c r="E974">
        <v>5.3363549999999984</v>
      </c>
      <c r="F974">
        <v>5.0427210000000002</v>
      </c>
      <c r="G974">
        <v>6.2285299166666661</v>
      </c>
      <c r="H974">
        <v>3.5781459999999989</v>
      </c>
      <c r="I974">
        <v>15.734296666666667</v>
      </c>
      <c r="J974">
        <v>6.271482333333334</v>
      </c>
      <c r="K974">
        <v>4.8785609999999995</v>
      </c>
      <c r="L974">
        <v>8.9690666666666647</v>
      </c>
      <c r="M974">
        <v>9.4267229999999991</v>
      </c>
      <c r="N974">
        <v>5.3521980000000005</v>
      </c>
      <c r="O974">
        <v>9.3069969999999973</v>
      </c>
      <c r="P974">
        <v>11.27869416666667</v>
      </c>
      <c r="Q974">
        <v>6.2408827499999999</v>
      </c>
      <c r="R974">
        <v>13.699420000000002</v>
      </c>
    </row>
    <row r="986" spans="2:18" x14ac:dyDescent="0.2">
      <c r="B986" s="45">
        <v>10</v>
      </c>
      <c r="C986">
        <v>6.0518749999999999</v>
      </c>
      <c r="D986">
        <v>7.1402244999999986</v>
      </c>
      <c r="E986">
        <v>5.3363549999999984</v>
      </c>
      <c r="F986">
        <v>5.0427210000000002</v>
      </c>
      <c r="G986">
        <v>6.240012666666666</v>
      </c>
      <c r="H986">
        <v>3.5794444166666666</v>
      </c>
      <c r="I986">
        <v>15.796940000000005</v>
      </c>
      <c r="J986">
        <v>6.282438</v>
      </c>
      <c r="K986">
        <v>4.8785609999999995</v>
      </c>
      <c r="L986">
        <v>8.9925278333333356</v>
      </c>
      <c r="M986">
        <v>9.4267229999999991</v>
      </c>
      <c r="N986">
        <v>5.3521980000000005</v>
      </c>
      <c r="O986">
        <v>9.3481429999999985</v>
      </c>
      <c r="P986">
        <v>11.340590000000004</v>
      </c>
      <c r="Q986">
        <v>6.2448076666666674</v>
      </c>
      <c r="R986">
        <v>13.699420000000002</v>
      </c>
    </row>
    <row r="998" spans="2:18" x14ac:dyDescent="0.2">
      <c r="B998" s="45">
        <v>11</v>
      </c>
      <c r="C998">
        <v>6.0678269166666672</v>
      </c>
      <c r="D998">
        <v>7.140833999999999</v>
      </c>
      <c r="E998">
        <v>5.3363549999999984</v>
      </c>
      <c r="F998">
        <v>5.0427210000000002</v>
      </c>
      <c r="G998">
        <v>6.2451892500000001</v>
      </c>
      <c r="H998">
        <v>3.5829628333333332</v>
      </c>
      <c r="I998">
        <v>15.796940000000005</v>
      </c>
      <c r="J998">
        <v>6.282438</v>
      </c>
      <c r="K998">
        <v>4.8785609999999995</v>
      </c>
      <c r="L998">
        <v>9.0015234999999993</v>
      </c>
      <c r="M998">
        <v>9.440586500000002</v>
      </c>
      <c r="N998">
        <v>5.3521980000000005</v>
      </c>
      <c r="O998">
        <v>9.3481429999999985</v>
      </c>
      <c r="P998">
        <v>11.364300833333333</v>
      </c>
      <c r="Q998">
        <v>6.2606210000000004</v>
      </c>
      <c r="R998">
        <v>13.699420000000002</v>
      </c>
    </row>
    <row r="1010" spans="2:18" x14ac:dyDescent="0.2">
      <c r="B1010" s="45">
        <v>12</v>
      </c>
      <c r="C1010">
        <v>6.1373147499999989</v>
      </c>
      <c r="D1010">
        <v>7.1537015833333335</v>
      </c>
      <c r="E1010">
        <v>5.3363549999999984</v>
      </c>
      <c r="F1010">
        <v>5.0427210000000002</v>
      </c>
      <c r="G1010">
        <v>6.2486224166666666</v>
      </c>
      <c r="H1010">
        <v>3.5856746666666672</v>
      </c>
      <c r="I1010">
        <v>15.796940000000005</v>
      </c>
      <c r="J1010">
        <v>6.282438</v>
      </c>
      <c r="K1010">
        <v>4.8785609999999995</v>
      </c>
      <c r="L1010">
        <v>9.004169000000001</v>
      </c>
      <c r="M1010">
        <v>9.5130024166666676</v>
      </c>
      <c r="N1010">
        <v>5.3521980000000005</v>
      </c>
      <c r="O1010">
        <v>9.3513401666666685</v>
      </c>
      <c r="P1010">
        <v>11.418583333333332</v>
      </c>
      <c r="Q1010">
        <v>6.2746710000000006</v>
      </c>
      <c r="R1010">
        <v>13.727375833333333</v>
      </c>
    </row>
    <row r="1022" spans="2:18" x14ac:dyDescent="0.2">
      <c r="B1022" s="45">
        <v>13</v>
      </c>
      <c r="C1022">
        <v>6.2053845000000001</v>
      </c>
      <c r="D1022">
        <v>7.2130641666666664</v>
      </c>
      <c r="E1022">
        <v>5.3363549999999984</v>
      </c>
      <c r="F1022">
        <v>5.0502362500000002</v>
      </c>
      <c r="G1022">
        <v>6.2520555833333331</v>
      </c>
      <c r="H1022">
        <v>3.5960719999999999</v>
      </c>
      <c r="I1022">
        <v>15.796940000000005</v>
      </c>
      <c r="J1022">
        <v>6.282438</v>
      </c>
      <c r="K1022">
        <v>4.8785609999999995</v>
      </c>
      <c r="L1022">
        <v>9.0557821666666651</v>
      </c>
      <c r="M1022">
        <v>9.591505333333334</v>
      </c>
      <c r="N1022">
        <v>5.3521980000000005</v>
      </c>
      <c r="O1022">
        <v>9.3777026666666661</v>
      </c>
      <c r="P1022">
        <v>11.463443333333332</v>
      </c>
      <c r="Q1022">
        <v>6.2788461666666668</v>
      </c>
      <c r="R1022">
        <v>13.747579999999999</v>
      </c>
    </row>
    <row r="1034" spans="2:18" x14ac:dyDescent="0.2">
      <c r="B1034" s="45">
        <v>14</v>
      </c>
      <c r="C1034">
        <v>6.2892094999999992</v>
      </c>
      <c r="D1034">
        <v>7.2765789166666659</v>
      </c>
      <c r="E1034">
        <v>5.3363549999999984</v>
      </c>
      <c r="F1034">
        <v>5.0712630833333323</v>
      </c>
      <c r="G1034">
        <v>6.2543029999999993</v>
      </c>
      <c r="H1034">
        <v>3.6100219999999994</v>
      </c>
      <c r="I1034">
        <v>15.818646666666664</v>
      </c>
      <c r="J1034">
        <v>6.282438</v>
      </c>
      <c r="K1034">
        <v>4.8785609999999995</v>
      </c>
      <c r="L1034">
        <v>9.2322025833333328</v>
      </c>
      <c r="M1034">
        <v>9.687521499999999</v>
      </c>
      <c r="N1034">
        <v>5.3521980000000005</v>
      </c>
      <c r="O1034">
        <v>9.4086017500000008</v>
      </c>
      <c r="P1034">
        <v>11.484765000000001</v>
      </c>
      <c r="Q1034">
        <v>6.3341150000000006</v>
      </c>
      <c r="R1034">
        <v>13.757879166666669</v>
      </c>
    </row>
    <row r="1046" spans="2:18" x14ac:dyDescent="0.2">
      <c r="B1046" s="45">
        <v>15</v>
      </c>
      <c r="C1046">
        <v>6.4643702499999991</v>
      </c>
      <c r="D1046">
        <v>7.3400936666666672</v>
      </c>
      <c r="E1046">
        <v>5.3475626666666658</v>
      </c>
      <c r="F1046">
        <v>5.0751739999999987</v>
      </c>
      <c r="G1046">
        <v>6.2543519999999981</v>
      </c>
      <c r="H1046">
        <v>3.6239987500000002</v>
      </c>
      <c r="I1046">
        <v>15.847865833333332</v>
      </c>
      <c r="J1046">
        <v>6.282438</v>
      </c>
      <c r="K1046">
        <v>4.8785609999999995</v>
      </c>
      <c r="L1046">
        <v>9.4141635833333339</v>
      </c>
      <c r="M1046">
        <v>9.6973559999999992</v>
      </c>
      <c r="N1046">
        <v>5.3521980000000005</v>
      </c>
      <c r="O1046">
        <v>9.4395008333333354</v>
      </c>
      <c r="P1046">
        <v>11.505364999999999</v>
      </c>
      <c r="Q1046">
        <v>6.4044961666666653</v>
      </c>
      <c r="R1046">
        <v>13.772589999999999</v>
      </c>
    </row>
    <row r="1058" spans="2:18" x14ac:dyDescent="0.2">
      <c r="B1058" s="45">
        <v>16</v>
      </c>
      <c r="C1058">
        <v>6.6531977499999995</v>
      </c>
      <c r="D1058">
        <v>7.4036082500000013</v>
      </c>
      <c r="E1058">
        <v>5.3920459999999997</v>
      </c>
      <c r="F1058">
        <v>5.0751739999999987</v>
      </c>
      <c r="G1058">
        <v>6.2543519999999981</v>
      </c>
      <c r="H1058">
        <v>3.6368731666666663</v>
      </c>
      <c r="I1058">
        <v>15.918113333333332</v>
      </c>
      <c r="J1058">
        <v>6.282438</v>
      </c>
      <c r="K1058">
        <v>4.8785609999999995</v>
      </c>
      <c r="L1058">
        <v>9.5961246666666682</v>
      </c>
      <c r="M1058">
        <v>9.6973559999999992</v>
      </c>
      <c r="N1058">
        <v>5.3521980000000005</v>
      </c>
      <c r="O1058">
        <v>9.4703998333333335</v>
      </c>
      <c r="P1058">
        <v>11.533007499999998</v>
      </c>
      <c r="Q1058">
        <v>6.4748773333333327</v>
      </c>
      <c r="R1058">
        <v>13.790489166666667</v>
      </c>
    </row>
    <row r="1070" spans="2:18" x14ac:dyDescent="0.2">
      <c r="B1070" s="45">
        <v>17</v>
      </c>
      <c r="C1070">
        <v>6.8420252499999998</v>
      </c>
      <c r="D1070">
        <v>7.5138239166666665</v>
      </c>
      <c r="E1070">
        <v>5.4378950000000001</v>
      </c>
      <c r="F1070">
        <v>5.0751739999999987</v>
      </c>
      <c r="G1070">
        <v>6.2543519999999981</v>
      </c>
      <c r="H1070">
        <v>3.6497479166666662</v>
      </c>
      <c r="I1070">
        <v>16.030371666666667</v>
      </c>
      <c r="J1070">
        <v>6.282438</v>
      </c>
      <c r="K1070">
        <v>4.8785609999999995</v>
      </c>
      <c r="L1070">
        <v>9.7706756666666674</v>
      </c>
      <c r="M1070">
        <v>9.6973559999999992</v>
      </c>
      <c r="N1070">
        <v>5.3521980000000005</v>
      </c>
      <c r="O1070">
        <v>9.5012989166666664</v>
      </c>
      <c r="P1070">
        <v>11.608125833333334</v>
      </c>
      <c r="Q1070">
        <v>6.5250016666666646</v>
      </c>
      <c r="R1070">
        <v>13.818599999999998</v>
      </c>
    </row>
    <row r="1082" spans="2:18" x14ac:dyDescent="0.2">
      <c r="B1082" s="45">
        <v>18</v>
      </c>
      <c r="C1082">
        <v>7.015519666666667</v>
      </c>
      <c r="D1082">
        <v>7.7478480000000021</v>
      </c>
      <c r="E1082">
        <v>5.4876241666666665</v>
      </c>
      <c r="F1082">
        <v>5.0751739999999987</v>
      </c>
      <c r="G1082">
        <v>6.2544699999999986</v>
      </c>
      <c r="H1082">
        <v>3.6626224166666668</v>
      </c>
      <c r="I1082">
        <v>16.134053333333338</v>
      </c>
      <c r="J1082">
        <v>6.282438</v>
      </c>
      <c r="K1082">
        <v>4.8785609999999995</v>
      </c>
      <c r="L1082">
        <v>10.11727066666667</v>
      </c>
      <c r="M1082">
        <v>9.8065584999999995</v>
      </c>
      <c r="N1082">
        <v>5.3521980000000005</v>
      </c>
      <c r="O1082">
        <v>9.5321979166666679</v>
      </c>
      <c r="P1082">
        <v>11.647806666666668</v>
      </c>
      <c r="Q1082">
        <v>6.5270469999999969</v>
      </c>
      <c r="R1082">
        <v>13.925451666666666</v>
      </c>
    </row>
    <row r="1094" spans="2:18" x14ac:dyDescent="0.2">
      <c r="B1094" s="45">
        <v>19</v>
      </c>
      <c r="C1094">
        <v>7.1532796666666663</v>
      </c>
      <c r="D1094">
        <v>7.7526540000000024</v>
      </c>
      <c r="E1094">
        <v>5.5408391666666672</v>
      </c>
      <c r="F1094">
        <v>5.0751739999999987</v>
      </c>
      <c r="G1094">
        <v>6.2610678333333318</v>
      </c>
      <c r="H1094">
        <v>3.675497</v>
      </c>
      <c r="I1094">
        <v>16.251920000000002</v>
      </c>
      <c r="J1094">
        <v>6.282438</v>
      </c>
      <c r="K1094">
        <v>4.8785609999999995</v>
      </c>
      <c r="L1094">
        <v>10.201220000000001</v>
      </c>
      <c r="M1094">
        <v>10.073120333333334</v>
      </c>
      <c r="N1094">
        <v>5.3521980000000005</v>
      </c>
      <c r="O1094">
        <v>9.5630970000000008</v>
      </c>
      <c r="P1094">
        <v>11.668015000000002</v>
      </c>
      <c r="Q1094">
        <v>6.5270469999999969</v>
      </c>
      <c r="R1094">
        <v>14.076514166666668</v>
      </c>
    </row>
    <row r="1106" spans="2:18" x14ac:dyDescent="0.2">
      <c r="B1106" s="45">
        <v>20</v>
      </c>
      <c r="C1106">
        <v>7.3613442499999993</v>
      </c>
      <c r="D1106">
        <v>7.8461894166666655</v>
      </c>
      <c r="E1106">
        <v>5.5954827499999995</v>
      </c>
      <c r="F1106">
        <v>5.0751739999999987</v>
      </c>
      <c r="G1106">
        <v>6.2713675000000002</v>
      </c>
      <c r="H1106">
        <v>3.6883717499999999</v>
      </c>
      <c r="I1106">
        <v>16.548792500000001</v>
      </c>
      <c r="J1106">
        <v>6.282438</v>
      </c>
      <c r="K1106">
        <v>5.0374075000000005</v>
      </c>
      <c r="L1106">
        <v>10.201220000000001</v>
      </c>
      <c r="M1106">
        <v>10.340911666666669</v>
      </c>
      <c r="N1106">
        <v>5.3521980000000005</v>
      </c>
      <c r="O1106">
        <v>9.593996083333332</v>
      </c>
      <c r="P1106">
        <v>11.676849166666665</v>
      </c>
      <c r="Q1106">
        <v>6.529921916666666</v>
      </c>
      <c r="R1106">
        <v>14.227576666666666</v>
      </c>
    </row>
    <row r="1118" spans="2:18" x14ac:dyDescent="0.2">
      <c r="B1118" s="45">
        <v>21</v>
      </c>
      <c r="C1118">
        <v>7.5076650833333352</v>
      </c>
      <c r="D1118">
        <v>8.130090749999999</v>
      </c>
      <c r="E1118">
        <v>5.6824444166666668</v>
      </c>
      <c r="F1118">
        <v>5.0894744166666674</v>
      </c>
      <c r="G1118">
        <v>6.2816672500000008</v>
      </c>
      <c r="H1118">
        <v>3.7012461666666669</v>
      </c>
      <c r="I1118">
        <v>17.154465000000002</v>
      </c>
      <c r="J1118">
        <v>6.282438</v>
      </c>
      <c r="K1118">
        <v>5.3060012500000004</v>
      </c>
      <c r="L1118">
        <v>10.201220000000001</v>
      </c>
      <c r="M1118">
        <v>10.575733333333334</v>
      </c>
      <c r="N1118">
        <v>5.3521980000000005</v>
      </c>
      <c r="O1118">
        <v>9.6248950833333335</v>
      </c>
      <c r="P1118">
        <v>11.692066666666667</v>
      </c>
      <c r="Q1118">
        <v>6.5495338333333342</v>
      </c>
      <c r="R1118">
        <v>14.378639166666666</v>
      </c>
    </row>
    <row r="1130" spans="2:18" x14ac:dyDescent="0.2">
      <c r="B1130" s="45">
        <v>22</v>
      </c>
      <c r="C1130">
        <v>7.5358860000000005</v>
      </c>
      <c r="D1130">
        <v>8.2839775000000007</v>
      </c>
      <c r="E1130">
        <v>5.7986739999999992</v>
      </c>
      <c r="F1130">
        <v>5.100625</v>
      </c>
      <c r="G1130">
        <v>6.2919669166666674</v>
      </c>
      <c r="H1130">
        <v>3.7141209166666669</v>
      </c>
      <c r="I1130">
        <v>17.479958333333332</v>
      </c>
      <c r="J1130">
        <v>6.2848759999999997</v>
      </c>
      <c r="K1130">
        <v>5.5065765000000004</v>
      </c>
      <c r="L1130">
        <v>10.201220000000001</v>
      </c>
      <c r="M1130">
        <v>10.709938333333334</v>
      </c>
      <c r="N1130">
        <v>5.3521980000000005</v>
      </c>
      <c r="O1130">
        <v>9.6557941666666682</v>
      </c>
      <c r="P1130">
        <v>11.726311666666666</v>
      </c>
      <c r="Q1130">
        <v>6.5718498333333342</v>
      </c>
      <c r="R1130">
        <v>14.485314999999998</v>
      </c>
    </row>
    <row r="1142" spans="2:18" x14ac:dyDescent="0.2">
      <c r="B1142" s="45">
        <v>23</v>
      </c>
      <c r="C1142">
        <v>7.5358860000000005</v>
      </c>
      <c r="D1142">
        <v>8.4138604166666671</v>
      </c>
      <c r="E1142">
        <v>5.9145960833333326</v>
      </c>
      <c r="F1142">
        <v>5.100625</v>
      </c>
      <c r="G1142">
        <v>6.3017764999999999</v>
      </c>
      <c r="H1142">
        <v>3.7269954166666666</v>
      </c>
      <c r="I1142">
        <v>17.732489166666667</v>
      </c>
      <c r="J1142">
        <v>6.3053121666666669</v>
      </c>
      <c r="K1142">
        <v>5.7000980000000006</v>
      </c>
      <c r="L1142">
        <v>10.203019166666667</v>
      </c>
      <c r="M1142">
        <v>10.98706</v>
      </c>
      <c r="N1142">
        <v>5.3521980000000005</v>
      </c>
      <c r="O1142">
        <v>9.6866931666666662</v>
      </c>
      <c r="P1142">
        <v>11.856530833333336</v>
      </c>
      <c r="Q1142">
        <v>6.5941658333333342</v>
      </c>
      <c r="R1142">
        <v>14.534642499999997</v>
      </c>
    </row>
    <row r="1154" spans="2:18" x14ac:dyDescent="0.2">
      <c r="B1154" s="13">
        <v>0</v>
      </c>
      <c r="C1154">
        <v>7.5358860000000005</v>
      </c>
      <c r="D1154">
        <v>8.5305534166666668</v>
      </c>
      <c r="E1154">
        <v>6.084472166666667</v>
      </c>
      <c r="F1154">
        <v>5.1183676666666669</v>
      </c>
      <c r="G1154">
        <v>6.3102815833333326</v>
      </c>
      <c r="H1154">
        <v>3.7395358333333331</v>
      </c>
      <c r="I1154">
        <v>18.267436666666665</v>
      </c>
      <c r="J1154">
        <v>6.3293448333333338</v>
      </c>
      <c r="K1154">
        <v>5.7534470000000004</v>
      </c>
      <c r="L1154">
        <v>10.360183333333334</v>
      </c>
      <c r="M1154">
        <v>11.171399166666667</v>
      </c>
      <c r="N1154">
        <v>5.3521980000000005</v>
      </c>
      <c r="O1154">
        <v>9.7175922499999992</v>
      </c>
      <c r="P1154">
        <v>11.894900000000002</v>
      </c>
      <c r="Q1154">
        <v>6.6159886666666665</v>
      </c>
      <c r="R1154">
        <v>14.535599999999997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77C2-A6B0-4342-A6A4-E1E8137E4051}">
  <dimension ref="A1:CF1155"/>
  <sheetViews>
    <sheetView tabSelected="1" topLeftCell="A600" zoomScale="68" zoomScaleNormal="68" workbookViewId="0">
      <selection activeCell="Z29" sqref="Z29"/>
    </sheetView>
  </sheetViews>
  <sheetFormatPr baseColWidth="10" defaultRowHeight="16" x14ac:dyDescent="0.2"/>
  <cols>
    <col min="2" max="2" width="18.5" style="2" bestFit="1" customWidth="1"/>
    <col min="3" max="3" width="18.5" style="2" customWidth="1"/>
    <col min="4" max="7" width="10.83203125" style="14"/>
    <col min="8" max="11" width="10.83203125" style="15"/>
    <col min="12" max="15" width="10.83203125" style="16"/>
    <col min="16" max="19" width="10.83203125" style="17"/>
    <col min="22" max="22" width="10.83203125" style="25"/>
    <col min="39" max="39" width="10.83203125" style="31"/>
    <col min="41" max="41" width="10.83203125" style="25"/>
    <col min="48" max="48" width="10.83203125" style="25"/>
  </cols>
  <sheetData>
    <row r="1" spans="1:84" x14ac:dyDescent="0.2">
      <c r="A1" s="1" t="s">
        <v>2</v>
      </c>
      <c r="B1" s="18" t="s">
        <v>0</v>
      </c>
      <c r="C1" s="18" t="s">
        <v>1</v>
      </c>
      <c r="D1" s="19" t="s">
        <v>5</v>
      </c>
      <c r="E1" s="19" t="s">
        <v>6</v>
      </c>
      <c r="F1" s="19" t="s">
        <v>7</v>
      </c>
      <c r="G1" s="19" t="s">
        <v>8</v>
      </c>
      <c r="H1" s="20" t="s">
        <v>3</v>
      </c>
      <c r="I1" s="20" t="s">
        <v>4</v>
      </c>
      <c r="J1" s="20" t="s">
        <v>9</v>
      </c>
      <c r="K1" s="20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U1" s="23" t="s">
        <v>36</v>
      </c>
      <c r="V1" s="24" t="s">
        <v>1</v>
      </c>
      <c r="W1" s="19" t="s">
        <v>19</v>
      </c>
      <c r="X1" s="19" t="s">
        <v>20</v>
      </c>
      <c r="Y1" s="19" t="s">
        <v>21</v>
      </c>
      <c r="Z1" s="19" t="s">
        <v>22</v>
      </c>
      <c r="AA1" s="20" t="s">
        <v>23</v>
      </c>
      <c r="AB1" s="20" t="s">
        <v>24</v>
      </c>
      <c r="AC1" s="20" t="s">
        <v>25</v>
      </c>
      <c r="AD1" s="20" t="s">
        <v>26</v>
      </c>
      <c r="AE1" s="21" t="s">
        <v>27</v>
      </c>
      <c r="AF1" s="21" t="s">
        <v>28</v>
      </c>
      <c r="AG1" s="21" t="s">
        <v>29</v>
      </c>
      <c r="AH1" s="21" t="s">
        <v>30</v>
      </c>
      <c r="AI1" s="22" t="s">
        <v>31</v>
      </c>
      <c r="AJ1" s="22" t="s">
        <v>32</v>
      </c>
      <c r="AK1" s="22" t="s">
        <v>33</v>
      </c>
      <c r="AL1" s="22" t="s">
        <v>34</v>
      </c>
      <c r="AN1" s="23" t="s">
        <v>37</v>
      </c>
      <c r="AO1" s="24" t="s">
        <v>1</v>
      </c>
      <c r="AP1" s="19" t="s">
        <v>41</v>
      </c>
      <c r="AQ1" s="20" t="s">
        <v>42</v>
      </c>
      <c r="AR1" s="21" t="s">
        <v>43</v>
      </c>
      <c r="AS1" s="22" t="s">
        <v>44</v>
      </c>
      <c r="AU1" t="s">
        <v>45</v>
      </c>
      <c r="AV1" s="24"/>
      <c r="AW1" s="99" t="s">
        <v>46</v>
      </c>
      <c r="AX1" s="99"/>
      <c r="AY1" s="99"/>
      <c r="AZ1" s="99"/>
      <c r="BC1" s="100" t="s">
        <v>38</v>
      </c>
      <c r="BD1" s="100"/>
      <c r="BE1" s="100"/>
      <c r="BF1" s="100"/>
      <c r="BI1" s="101" t="s">
        <v>39</v>
      </c>
      <c r="BJ1" s="101"/>
      <c r="BK1" s="101"/>
      <c r="BL1" s="101"/>
      <c r="BO1" s="102" t="s">
        <v>40</v>
      </c>
      <c r="BP1" s="102"/>
      <c r="BQ1" s="102"/>
      <c r="BR1" s="102"/>
      <c r="BT1" t="s">
        <v>54</v>
      </c>
      <c r="BU1" s="32" t="s">
        <v>1</v>
      </c>
      <c r="BV1" s="38" t="s">
        <v>52</v>
      </c>
      <c r="BW1" s="39" t="s">
        <v>38</v>
      </c>
      <c r="BX1" s="40" t="s">
        <v>39</v>
      </c>
      <c r="BY1" s="41" t="s">
        <v>40</v>
      </c>
      <c r="CA1" t="s">
        <v>53</v>
      </c>
      <c r="CB1" s="32" t="s">
        <v>1</v>
      </c>
      <c r="CC1" s="38" t="s">
        <v>52</v>
      </c>
      <c r="CD1" s="39" t="s">
        <v>38</v>
      </c>
      <c r="CE1" s="40" t="s">
        <v>39</v>
      </c>
      <c r="CF1" s="41" t="s">
        <v>40</v>
      </c>
    </row>
    <row r="2" spans="1:84" x14ac:dyDescent="0.2">
      <c r="B2" s="3">
        <v>43477.751793981479</v>
      </c>
      <c r="C2" s="4">
        <v>0</v>
      </c>
      <c r="D2" s="14">
        <v>2.9967630000000001</v>
      </c>
      <c r="E2" s="14">
        <v>2.313647</v>
      </c>
      <c r="F2" s="14">
        <v>2.8834840000000002</v>
      </c>
      <c r="G2" s="14">
        <v>1.5335129999999999</v>
      </c>
      <c r="H2" s="15">
        <v>1.9901960000000001</v>
      </c>
      <c r="I2" s="15">
        <v>2.7316560000000001</v>
      </c>
      <c r="J2" s="15">
        <v>6.2141799999999998</v>
      </c>
      <c r="K2" s="15">
        <v>1.8777759999999999</v>
      </c>
      <c r="L2" s="16">
        <v>2.2008079999999999</v>
      </c>
      <c r="M2" s="16">
        <v>3.4174570000000002</v>
      </c>
      <c r="N2" s="16">
        <v>3.8819840000000001</v>
      </c>
      <c r="O2" s="16">
        <v>1.964043</v>
      </c>
      <c r="P2" s="17">
        <v>3.5035609999999999</v>
      </c>
      <c r="Q2" s="17">
        <v>3.6552319999999998</v>
      </c>
      <c r="R2" s="17">
        <v>1.8362289999999999</v>
      </c>
      <c r="S2" s="17">
        <v>4.7351919999999996</v>
      </c>
      <c r="V2" s="26">
        <v>0</v>
      </c>
      <c r="W2">
        <f t="shared" ref="W2:AL2" si="0">D2</f>
        <v>2.9967630000000001</v>
      </c>
      <c r="X2">
        <f t="shared" si="0"/>
        <v>2.313647</v>
      </c>
      <c r="Y2">
        <f t="shared" si="0"/>
        <v>2.8834840000000002</v>
      </c>
      <c r="Z2">
        <f t="shared" si="0"/>
        <v>1.5335129999999999</v>
      </c>
      <c r="AA2">
        <f t="shared" si="0"/>
        <v>1.9901960000000001</v>
      </c>
      <c r="AB2">
        <f t="shared" si="0"/>
        <v>2.7316560000000001</v>
      </c>
      <c r="AC2">
        <f t="shared" si="0"/>
        <v>6.2141799999999998</v>
      </c>
      <c r="AD2">
        <f t="shared" si="0"/>
        <v>1.8777759999999999</v>
      </c>
      <c r="AE2">
        <f t="shared" si="0"/>
        <v>2.2008079999999999</v>
      </c>
      <c r="AF2">
        <f t="shared" si="0"/>
        <v>3.4174570000000002</v>
      </c>
      <c r="AG2">
        <f t="shared" si="0"/>
        <v>3.8819840000000001</v>
      </c>
      <c r="AH2">
        <f t="shared" si="0"/>
        <v>1.964043</v>
      </c>
      <c r="AI2">
        <f t="shared" si="0"/>
        <v>3.5035609999999999</v>
      </c>
      <c r="AJ2">
        <f t="shared" si="0"/>
        <v>3.6552319999999998</v>
      </c>
      <c r="AK2">
        <f t="shared" si="0"/>
        <v>1.8362289999999999</v>
      </c>
      <c r="AL2">
        <f t="shared" si="0"/>
        <v>4.7351919999999996</v>
      </c>
      <c r="AO2" s="26">
        <v>0</v>
      </c>
      <c r="AP2" s="34">
        <f>AVERAGE(W2:Z2)</f>
        <v>2.4318517499999999</v>
      </c>
      <c r="AQ2" s="35">
        <f>AVERAGE(AA2:AD2)</f>
        <v>3.2034520000000004</v>
      </c>
      <c r="AR2" s="35">
        <f>AVERAGE(AE2:AH2)</f>
        <v>2.8660730000000001</v>
      </c>
      <c r="AS2" s="35">
        <f>AVERAGE(AI2:AL2)</f>
        <v>3.4325534999999996</v>
      </c>
      <c r="AV2" s="23" t="s">
        <v>1</v>
      </c>
      <c r="AW2" s="26" t="s">
        <v>47</v>
      </c>
      <c r="AX2" s="27" t="s">
        <v>48</v>
      </c>
      <c r="AY2" s="28" t="s">
        <v>49</v>
      </c>
      <c r="AZ2" s="29" t="s">
        <v>50</v>
      </c>
      <c r="BB2" s="32" t="s">
        <v>51</v>
      </c>
      <c r="BC2" s="26" t="s">
        <v>47</v>
      </c>
      <c r="BD2" s="27" t="s">
        <v>48</v>
      </c>
      <c r="BE2" s="28" t="s">
        <v>49</v>
      </c>
      <c r="BF2" s="29" t="s">
        <v>50</v>
      </c>
      <c r="BH2" s="32" t="s">
        <v>51</v>
      </c>
      <c r="BI2" s="26" t="s">
        <v>47</v>
      </c>
      <c r="BJ2" s="27" t="s">
        <v>48</v>
      </c>
      <c r="BK2" s="28" t="s">
        <v>49</v>
      </c>
      <c r="BL2" s="29" t="s">
        <v>50</v>
      </c>
      <c r="BN2" s="32" t="s">
        <v>51</v>
      </c>
      <c r="BO2" s="26" t="s">
        <v>47</v>
      </c>
      <c r="BP2" s="27" t="s">
        <v>48</v>
      </c>
      <c r="BQ2" s="28" t="s">
        <v>49</v>
      </c>
      <c r="BR2" s="29" t="s">
        <v>50</v>
      </c>
      <c r="BU2" s="25">
        <v>0</v>
      </c>
      <c r="BV2">
        <f>AVERAGE(AW3:AZ3)</f>
        <v>4.1977492187499994</v>
      </c>
      <c r="BW2">
        <f>AVERAGE(BC3:BF3)</f>
        <v>5.4874288020833335</v>
      </c>
      <c r="BX2">
        <f>AVERAGE(BI3:BL3)</f>
        <v>4.9384349531250002</v>
      </c>
      <c r="BY2">
        <f>AVERAGE(BO3:BR3)</f>
        <v>6.4834944010416677</v>
      </c>
      <c r="CB2" s="25">
        <v>0</v>
      </c>
      <c r="CC2">
        <f>STDEV(AW3:AZ3)/SQRT(COUNT(AW3:AZ3))</f>
        <v>0.74310613597330288</v>
      </c>
      <c r="CD2">
        <f>STDEV(BC3:BF3)/SQRT(COUNT(BC3:BF3))</f>
        <v>0.94820653740465477</v>
      </c>
      <c r="CE2">
        <f>STDEV(BI3:BL3)/SQRT(COUNT(BI3:BL3))</f>
        <v>0.84711258135179746</v>
      </c>
      <c r="CF2">
        <f>STDEV(BO3:BR3)/SQRT(COUNT(BO3:BR3))</f>
        <v>1.2332643400829735</v>
      </c>
    </row>
    <row r="3" spans="1:84" x14ac:dyDescent="0.2">
      <c r="B3" s="2">
        <v>43477.755266203705</v>
      </c>
      <c r="C3" s="5">
        <f>C2+0.08333333</f>
        <v>8.3333329999999997E-2</v>
      </c>
      <c r="D3" s="14">
        <v>2.9967630000000001</v>
      </c>
      <c r="E3" s="14">
        <v>2.3271660000000001</v>
      </c>
      <c r="F3" s="14">
        <v>2.9084469999999998</v>
      </c>
      <c r="G3" s="14">
        <v>1.5335129999999999</v>
      </c>
      <c r="H3" s="15">
        <v>1.9927710000000001</v>
      </c>
      <c r="I3" s="15">
        <v>2.7316560000000001</v>
      </c>
      <c r="J3" s="15">
        <v>6.2141799999999998</v>
      </c>
      <c r="K3" s="15">
        <v>1.882925</v>
      </c>
      <c r="L3" s="16">
        <v>2.2008079999999999</v>
      </c>
      <c r="M3" s="16">
        <v>3.4174570000000002</v>
      </c>
      <c r="N3" s="16">
        <v>3.8819840000000001</v>
      </c>
      <c r="O3" s="16">
        <v>1.964043</v>
      </c>
      <c r="P3" s="17">
        <v>3.5035609999999999</v>
      </c>
      <c r="Q3" s="17">
        <v>3.6776909999999998</v>
      </c>
      <c r="R3" s="17">
        <v>1.8510139999999999</v>
      </c>
      <c r="S3" s="17">
        <v>4.7515000000000001</v>
      </c>
      <c r="AP3" s="34"/>
      <c r="AQ3" s="35"/>
      <c r="AR3" s="35"/>
      <c r="AS3" s="35"/>
      <c r="AV3" s="25">
        <v>0</v>
      </c>
      <c r="AW3">
        <f>AP2</f>
        <v>2.4318517499999999</v>
      </c>
      <c r="AX3">
        <v>3.626290458333334</v>
      </c>
      <c r="AY3">
        <v>4.8921359166666667</v>
      </c>
      <c r="AZ3">
        <v>5.8407187499999988</v>
      </c>
      <c r="BB3" s="25">
        <v>0</v>
      </c>
      <c r="BC3">
        <v>3.2034520000000004</v>
      </c>
      <c r="BD3">
        <v>4.7704936666666669</v>
      </c>
      <c r="BE3">
        <v>6.4606915416666677</v>
      </c>
      <c r="BF3">
        <v>7.5150779999999999</v>
      </c>
      <c r="BH3" s="25">
        <v>0</v>
      </c>
      <c r="BI3">
        <v>2.8660730000000001</v>
      </c>
      <c r="BJ3">
        <v>4.50247025</v>
      </c>
      <c r="BK3">
        <v>5.4923854166666661</v>
      </c>
      <c r="BL3">
        <v>6.892811145833333</v>
      </c>
      <c r="BN3" s="25">
        <v>0</v>
      </c>
      <c r="BO3">
        <v>3.4325534999999996</v>
      </c>
      <c r="BP3">
        <v>5.8085489375000003</v>
      </c>
      <c r="BQ3">
        <v>7.4671239791666677</v>
      </c>
      <c r="BR3">
        <v>9.2257511875000002</v>
      </c>
      <c r="BU3" s="25">
        <v>1</v>
      </c>
      <c r="BV3">
        <f t="shared" ref="BV3:BV25" si="1">AVERAGE(AW4:AZ4)</f>
        <v>4.2384831770833333</v>
      </c>
      <c r="BW3">
        <f t="shared" ref="BW3:BW26" si="2">AVERAGE(BC4:BF4)</f>
        <v>5.545074989583334</v>
      </c>
      <c r="BX3">
        <f t="shared" ref="BX3:BX26" si="3">AVERAGE(BI4:BL4)</f>
        <v>4.9768420677083336</v>
      </c>
      <c r="BY3">
        <f t="shared" ref="BY3:BY26" si="4">AVERAGE(BO4:BR4)</f>
        <v>6.5742883750000001</v>
      </c>
      <c r="CB3" s="25">
        <v>1</v>
      </c>
      <c r="CC3">
        <f t="shared" ref="CC3:CC26" si="5">STDEV(AW4:AZ4)/SQRT(COUNT(AW4:AZ4))</f>
        <v>0.72925367765593863</v>
      </c>
      <c r="CD3">
        <f t="shared" ref="CD3:CD26" si="6">STDEV(BC4:BF4)/SQRT(COUNT(BC4:BF4))</f>
        <v>0.94686031695601547</v>
      </c>
      <c r="CE3">
        <f t="shared" ref="CE3:CE26" si="7">STDEV(BI4:BL4)/SQRT(COUNT(BI4:BL4))</f>
        <v>0.85617609334263056</v>
      </c>
      <c r="CF3">
        <f t="shared" ref="CF3:CF26" si="8">STDEV(BO4:BR4)/SQRT(COUNT(BO4:BR4))</f>
        <v>1.222763118901476</v>
      </c>
    </row>
    <row r="4" spans="1:84" x14ac:dyDescent="0.2">
      <c r="B4" s="2">
        <v>43477.758738425924</v>
      </c>
      <c r="C4" s="5">
        <f t="shared" ref="C4:C67" si="9">C3+0.08333333</f>
        <v>0.16666665999999999</v>
      </c>
      <c r="D4" s="14">
        <v>2.9985879999999998</v>
      </c>
      <c r="E4" s="14">
        <v>2.340684</v>
      </c>
      <c r="F4" s="14">
        <v>2.9334090000000002</v>
      </c>
      <c r="G4" s="14">
        <v>1.5335129999999999</v>
      </c>
      <c r="H4" s="15">
        <v>1.9953460000000001</v>
      </c>
      <c r="I4" s="15">
        <v>2.7316560000000001</v>
      </c>
      <c r="J4" s="15">
        <v>6.2141799999999998</v>
      </c>
      <c r="K4" s="15">
        <v>1.8880749999999999</v>
      </c>
      <c r="L4" s="16">
        <v>2.2008079999999999</v>
      </c>
      <c r="M4" s="16">
        <v>3.4174570000000002</v>
      </c>
      <c r="N4" s="16">
        <v>3.8819840000000001</v>
      </c>
      <c r="O4" s="16">
        <v>1.964043</v>
      </c>
      <c r="P4" s="17">
        <v>3.5035609999999999</v>
      </c>
      <c r="Q4" s="17">
        <v>3.7001499999999998</v>
      </c>
      <c r="R4" s="17">
        <v>1.8540509999999999</v>
      </c>
      <c r="S4" s="17">
        <v>4.7551990000000002</v>
      </c>
      <c r="AP4" s="34"/>
      <c r="AQ4" s="35"/>
      <c r="AR4" s="35"/>
      <c r="AS4" s="35"/>
      <c r="AV4" s="25">
        <v>1</v>
      </c>
      <c r="AW4">
        <f>AP14</f>
        <v>2.4920093333333329</v>
      </c>
      <c r="AX4">
        <v>3.705841354166667</v>
      </c>
      <c r="AY4">
        <v>4.9033470000000001</v>
      </c>
      <c r="AZ4">
        <v>5.8527350208333333</v>
      </c>
      <c r="BB4" s="25">
        <v>1</v>
      </c>
      <c r="BC4">
        <v>3.2137652291666665</v>
      </c>
      <c r="BD4">
        <v>4.9017946458333341</v>
      </c>
      <c r="BE4">
        <v>6.5396096666666672</v>
      </c>
      <c r="BF4">
        <v>7.5251304166666673</v>
      </c>
      <c r="BH4" s="25">
        <v>1</v>
      </c>
      <c r="BI4">
        <v>2.8660730000000001</v>
      </c>
      <c r="BJ4">
        <v>4.5340636874999998</v>
      </c>
      <c r="BK4">
        <v>5.5885033958333334</v>
      </c>
      <c r="BL4">
        <v>6.9187281875000002</v>
      </c>
      <c r="BN4" s="25">
        <v>1</v>
      </c>
      <c r="BO4">
        <v>3.518805729166667</v>
      </c>
      <c r="BP4">
        <v>5.9507107500000007</v>
      </c>
      <c r="BQ4">
        <v>7.5625752291666686</v>
      </c>
      <c r="BR4">
        <v>9.2650617916666658</v>
      </c>
      <c r="BU4" s="25">
        <v>2</v>
      </c>
      <c r="BV4">
        <f t="shared" si="1"/>
        <v>4.2597716302083333</v>
      </c>
      <c r="BW4">
        <f t="shared" si="2"/>
        <v>5.6048969687500003</v>
      </c>
      <c r="BX4">
        <f t="shared" si="3"/>
        <v>5.0106926874999997</v>
      </c>
      <c r="BY4">
        <f t="shared" si="4"/>
        <v>6.6922845625000003</v>
      </c>
      <c r="CB4" s="25">
        <v>2</v>
      </c>
      <c r="CC4">
        <f t="shared" si="5"/>
        <v>0.72216026776401931</v>
      </c>
      <c r="CD4">
        <f t="shared" si="6"/>
        <v>0.94855050478468206</v>
      </c>
      <c r="CE4">
        <f t="shared" si="7"/>
        <v>0.86659938273654491</v>
      </c>
      <c r="CF4">
        <f t="shared" si="8"/>
        <v>1.2031819791723255</v>
      </c>
    </row>
    <row r="5" spans="1:84" x14ac:dyDescent="0.2">
      <c r="B5" s="2">
        <v>43477.76221064815</v>
      </c>
      <c r="C5" s="5">
        <f t="shared" si="9"/>
        <v>0.24999999000000001</v>
      </c>
      <c r="D5" s="14">
        <v>3.0016639999999999</v>
      </c>
      <c r="E5" s="14">
        <v>2.3542019999999999</v>
      </c>
      <c r="F5" s="14">
        <v>2.9583719999999998</v>
      </c>
      <c r="G5" s="14">
        <v>1.5335129999999999</v>
      </c>
      <c r="H5" s="15">
        <v>1.9979210000000001</v>
      </c>
      <c r="I5" s="15">
        <v>2.7316560000000001</v>
      </c>
      <c r="J5" s="15">
        <v>6.2141799999999998</v>
      </c>
      <c r="K5" s="15">
        <v>1.8932249999999999</v>
      </c>
      <c r="L5" s="16">
        <v>2.2008079999999999</v>
      </c>
      <c r="M5" s="16">
        <v>3.4174570000000002</v>
      </c>
      <c r="N5" s="16">
        <v>3.8819840000000001</v>
      </c>
      <c r="O5" s="16">
        <v>1.964043</v>
      </c>
      <c r="P5" s="17">
        <v>3.5035609999999999</v>
      </c>
      <c r="Q5" s="17">
        <v>3.7226089999999998</v>
      </c>
      <c r="R5" s="17">
        <v>1.8609530000000001</v>
      </c>
      <c r="S5" s="17">
        <v>4.7843819999999999</v>
      </c>
      <c r="AP5" s="34"/>
      <c r="AQ5" s="35"/>
      <c r="AR5" s="35"/>
      <c r="AS5" s="35"/>
      <c r="AV5" s="25">
        <v>2</v>
      </c>
      <c r="AW5">
        <f>AP26</f>
        <v>2.5370156458333333</v>
      </c>
      <c r="AX5">
        <v>3.724007666666667</v>
      </c>
      <c r="AY5">
        <v>4.9132175416666666</v>
      </c>
      <c r="AZ5">
        <v>5.8648456666666666</v>
      </c>
      <c r="BB5" s="25">
        <v>2</v>
      </c>
      <c r="BC5">
        <v>3.2429090208333333</v>
      </c>
      <c r="BD5">
        <v>4.9843503333333326</v>
      </c>
      <c r="BE5">
        <v>6.6573275833333341</v>
      </c>
      <c r="BF5">
        <v>7.5350009375000013</v>
      </c>
      <c r="BH5" s="25">
        <v>2</v>
      </c>
      <c r="BI5">
        <v>2.8711605208333335</v>
      </c>
      <c r="BJ5">
        <v>4.5488375000000003</v>
      </c>
      <c r="BK5">
        <v>5.6643092083333322</v>
      </c>
      <c r="BL5">
        <v>6.9584635208333339</v>
      </c>
      <c r="BN5" s="25">
        <v>2</v>
      </c>
      <c r="BO5">
        <v>3.6895353124999999</v>
      </c>
      <c r="BP5">
        <v>6.0337728333333338</v>
      </c>
      <c r="BQ5">
        <v>7.7421443541666672</v>
      </c>
      <c r="BR5">
        <v>9.3036857499999996</v>
      </c>
      <c r="BU5" s="33">
        <v>3</v>
      </c>
      <c r="BV5">
        <f t="shared" si="1"/>
        <v>4.2722242604166665</v>
      </c>
      <c r="BW5">
        <f t="shared" si="2"/>
        <v>5.6541460052083332</v>
      </c>
      <c r="BX5">
        <f t="shared" si="3"/>
        <v>5.0425895468749999</v>
      </c>
      <c r="BY5">
        <f t="shared" si="4"/>
        <v>6.7937622760416669</v>
      </c>
      <c r="CB5" s="33">
        <v>3</v>
      </c>
      <c r="CC5">
        <f t="shared" si="5"/>
        <v>0.72032267367413139</v>
      </c>
      <c r="CD5">
        <f t="shared" si="6"/>
        <v>0.93761181890507928</v>
      </c>
      <c r="CE5">
        <f t="shared" si="7"/>
        <v>0.87476034028410043</v>
      </c>
      <c r="CF5">
        <f t="shared" si="8"/>
        <v>1.1820100584822142</v>
      </c>
    </row>
    <row r="6" spans="1:84" x14ac:dyDescent="0.2">
      <c r="B6" s="2">
        <v>43477.765682870369</v>
      </c>
      <c r="C6" s="5">
        <f t="shared" si="9"/>
        <v>0.33333331999999999</v>
      </c>
      <c r="D6" s="14">
        <v>3.00474</v>
      </c>
      <c r="E6" s="14">
        <v>2.367721</v>
      </c>
      <c r="F6" s="14">
        <v>2.9833340000000002</v>
      </c>
      <c r="G6" s="14">
        <v>1.5335129999999999</v>
      </c>
      <c r="H6" s="15">
        <v>2.0004960000000001</v>
      </c>
      <c r="I6" s="15">
        <v>2.7316560000000001</v>
      </c>
      <c r="J6" s="15">
        <v>6.2141799999999998</v>
      </c>
      <c r="K6" s="15">
        <v>1.8959889999999999</v>
      </c>
      <c r="L6" s="16">
        <v>2.2008079999999999</v>
      </c>
      <c r="M6" s="16">
        <v>3.4174570000000002</v>
      </c>
      <c r="N6" s="16">
        <v>3.8819840000000001</v>
      </c>
      <c r="O6" s="16">
        <v>1.964043</v>
      </c>
      <c r="P6" s="17">
        <v>3.5035609999999999</v>
      </c>
      <c r="Q6" s="17">
        <v>3.7450679999999998</v>
      </c>
      <c r="R6" s="17">
        <v>1.867856</v>
      </c>
      <c r="S6" s="17">
        <v>4.8135640000000004</v>
      </c>
      <c r="AP6" s="34"/>
      <c r="AQ6" s="35"/>
      <c r="AR6" s="35"/>
      <c r="AS6" s="35"/>
      <c r="AV6" s="33">
        <v>3</v>
      </c>
      <c r="AW6">
        <f>AP38</f>
        <v>2.5596834791666665</v>
      </c>
      <c r="AX6">
        <v>3.7291962708333339</v>
      </c>
      <c r="AY6">
        <v>4.9230880624999998</v>
      </c>
      <c r="AZ6">
        <v>5.8769292291666666</v>
      </c>
      <c r="BB6" s="33">
        <v>3</v>
      </c>
      <c r="BC6">
        <v>3.2900922916666668</v>
      </c>
      <c r="BD6">
        <v>5.0917472291666668</v>
      </c>
      <c r="BE6">
        <v>6.6917628958333335</v>
      </c>
      <c r="BF6">
        <v>7.5429816041666671</v>
      </c>
      <c r="BH6" s="33">
        <v>3</v>
      </c>
      <c r="BI6">
        <v>2.8851620625000001</v>
      </c>
      <c r="BJ6">
        <v>4.5587521458333331</v>
      </c>
      <c r="BK6">
        <v>5.7285032499999993</v>
      </c>
      <c r="BL6">
        <v>6.9979407291666664</v>
      </c>
      <c r="BN6" s="33">
        <v>3</v>
      </c>
      <c r="BO6">
        <v>3.8665638750000006</v>
      </c>
      <c r="BP6">
        <v>6.0801754791666669</v>
      </c>
      <c r="BQ6">
        <v>7.8860002500000004</v>
      </c>
      <c r="BR6">
        <v>9.3423094999999989</v>
      </c>
      <c r="BU6" s="33">
        <v>4</v>
      </c>
      <c r="BV6">
        <f t="shared" si="1"/>
        <v>4.2816116510416666</v>
      </c>
      <c r="BW6">
        <f t="shared" si="2"/>
        <v>5.6937087083333342</v>
      </c>
      <c r="BX6">
        <f t="shared" si="3"/>
        <v>5.0612817604166667</v>
      </c>
      <c r="BY6">
        <f t="shared" si="4"/>
        <v>6.8628989791666672</v>
      </c>
      <c r="CB6" s="33">
        <v>4</v>
      </c>
      <c r="CC6">
        <f t="shared" si="5"/>
        <v>0.71728456567406063</v>
      </c>
      <c r="CD6">
        <f t="shared" si="6"/>
        <v>0.93391147950643227</v>
      </c>
      <c r="CE6">
        <f t="shared" si="7"/>
        <v>0.88230902795924926</v>
      </c>
      <c r="CF6">
        <f t="shared" si="8"/>
        <v>1.1690667633314902</v>
      </c>
    </row>
    <row r="7" spans="1:84" x14ac:dyDescent="0.2">
      <c r="B7" s="2">
        <v>43477.769155092596</v>
      </c>
      <c r="C7" s="5">
        <f t="shared" si="9"/>
        <v>0.41666664999999997</v>
      </c>
      <c r="D7" s="14">
        <v>3.0078149999999999</v>
      </c>
      <c r="E7" s="14">
        <v>2.3812389999999999</v>
      </c>
      <c r="F7" s="14">
        <v>3.0082960000000001</v>
      </c>
      <c r="G7" s="14">
        <v>1.5335129999999999</v>
      </c>
      <c r="H7" s="15">
        <v>2.0030670000000002</v>
      </c>
      <c r="I7" s="15">
        <v>2.7316560000000001</v>
      </c>
      <c r="J7" s="15">
        <v>6.2141799999999998</v>
      </c>
      <c r="K7" s="15">
        <v>1.8986430000000001</v>
      </c>
      <c r="L7" s="16">
        <v>2.2008079999999999</v>
      </c>
      <c r="M7" s="16">
        <v>3.4174570000000002</v>
      </c>
      <c r="N7" s="16">
        <v>3.8819840000000001</v>
      </c>
      <c r="O7" s="16">
        <v>1.964043</v>
      </c>
      <c r="P7" s="17">
        <v>3.5035609999999999</v>
      </c>
      <c r="Q7" s="17">
        <v>3.7675269999999998</v>
      </c>
      <c r="R7" s="17">
        <v>1.8747579999999999</v>
      </c>
      <c r="S7" s="17">
        <v>4.8427470000000001</v>
      </c>
      <c r="AP7" s="34"/>
      <c r="AQ7" s="35"/>
      <c r="AR7" s="35"/>
      <c r="AS7" s="35"/>
      <c r="AV7" s="33">
        <v>4</v>
      </c>
      <c r="AW7">
        <f>AP50</f>
        <v>2.5799839583333335</v>
      </c>
      <c r="AX7">
        <v>3.7337582500000002</v>
      </c>
      <c r="AY7">
        <v>4.9329585833333329</v>
      </c>
      <c r="AZ7">
        <v>5.8797458124999995</v>
      </c>
      <c r="BB7" s="33">
        <v>4</v>
      </c>
      <c r="BC7">
        <v>3.3218840833333338</v>
      </c>
      <c r="BD7">
        <v>5.1708971666666663</v>
      </c>
      <c r="BE7">
        <v>6.7063173541666679</v>
      </c>
      <c r="BF7">
        <v>7.575736229166667</v>
      </c>
      <c r="BH7" s="33">
        <v>4</v>
      </c>
      <c r="BI7">
        <v>2.8899385208333332</v>
      </c>
      <c r="BJ7">
        <v>4.5635197708333335</v>
      </c>
      <c r="BK7">
        <v>5.7566666249999994</v>
      </c>
      <c r="BL7">
        <v>7.0350021249999992</v>
      </c>
      <c r="BN7" s="33">
        <v>4</v>
      </c>
      <c r="BO7">
        <v>3.9808997291666666</v>
      </c>
      <c r="BP7">
        <v>6.1316520000000008</v>
      </c>
      <c r="BQ7">
        <v>7.9511248541666681</v>
      </c>
      <c r="BR7">
        <v>9.3879193333333326</v>
      </c>
      <c r="BU7" s="33">
        <v>5</v>
      </c>
      <c r="BV7">
        <f t="shared" si="1"/>
        <v>4.2901131406249995</v>
      </c>
      <c r="BW7">
        <f t="shared" si="2"/>
        <v>5.7724128125000007</v>
      </c>
      <c r="BX7">
        <f t="shared" si="3"/>
        <v>5.0792662499999999</v>
      </c>
      <c r="BY7">
        <f t="shared" si="4"/>
        <v>6.9539517447916666</v>
      </c>
      <c r="CB7" s="33">
        <v>5</v>
      </c>
      <c r="CC7">
        <f t="shared" si="5"/>
        <v>0.71396634993320152</v>
      </c>
      <c r="CD7">
        <f t="shared" si="6"/>
        <v>0.92858144608227644</v>
      </c>
      <c r="CE7">
        <f t="shared" si="7"/>
        <v>0.88821330806389376</v>
      </c>
      <c r="CF7">
        <f t="shared" si="8"/>
        <v>1.1455953580131921</v>
      </c>
    </row>
    <row r="8" spans="1:84" x14ac:dyDescent="0.2">
      <c r="B8" s="2">
        <v>43477.772627314815</v>
      </c>
      <c r="C8" s="5">
        <f t="shared" si="9"/>
        <v>0.49999997999999996</v>
      </c>
      <c r="D8" s="14">
        <v>3.010891</v>
      </c>
      <c r="E8" s="14">
        <v>2.3947569999999998</v>
      </c>
      <c r="F8" s="14">
        <v>3.0332590000000001</v>
      </c>
      <c r="G8" s="14">
        <v>1.5335129999999999</v>
      </c>
      <c r="H8" s="15">
        <v>2.005646</v>
      </c>
      <c r="I8" s="15">
        <v>2.7316560000000001</v>
      </c>
      <c r="J8" s="15">
        <v>6.2141799999999998</v>
      </c>
      <c r="K8" s="15">
        <v>1.901438</v>
      </c>
      <c r="L8" s="16">
        <v>2.2008079999999999</v>
      </c>
      <c r="M8" s="16">
        <v>3.4174570000000002</v>
      </c>
      <c r="N8" s="16">
        <v>3.8819840000000001</v>
      </c>
      <c r="O8" s="16">
        <v>1.964043</v>
      </c>
      <c r="P8" s="17">
        <v>3.5035609999999999</v>
      </c>
      <c r="Q8" s="17">
        <v>3.7899859999999999</v>
      </c>
      <c r="R8" s="17">
        <v>1.8816600000000001</v>
      </c>
      <c r="S8" s="17">
        <v>4.8719289999999997</v>
      </c>
      <c r="AP8" s="34"/>
      <c r="AQ8" s="35"/>
      <c r="AR8" s="35"/>
      <c r="AS8" s="35"/>
      <c r="AV8" s="33">
        <v>5</v>
      </c>
      <c r="AW8">
        <f>AP62</f>
        <v>2.6012327291666666</v>
      </c>
      <c r="AX8">
        <v>3.7353948541666671</v>
      </c>
      <c r="AY8">
        <v>4.9428291249999994</v>
      </c>
      <c r="AZ8">
        <v>5.8809958541666658</v>
      </c>
      <c r="BB8" s="33">
        <v>5</v>
      </c>
      <c r="BC8">
        <v>3.3791423333333328</v>
      </c>
      <c r="BD8">
        <v>5.3377217083333344</v>
      </c>
      <c r="BE8">
        <v>6.7217546458333342</v>
      </c>
      <c r="BF8">
        <v>7.6510325624999993</v>
      </c>
      <c r="BH8" s="33">
        <v>5</v>
      </c>
      <c r="BI8">
        <v>2.894440083333333</v>
      </c>
      <c r="BJ8">
        <v>4.5772273958333338</v>
      </c>
      <c r="BK8">
        <v>5.7777397083333328</v>
      </c>
      <c r="BL8">
        <v>7.0676578124999994</v>
      </c>
      <c r="BN8" s="33">
        <v>5</v>
      </c>
      <c r="BO8">
        <v>4.1503905416666669</v>
      </c>
      <c r="BP8">
        <v>6.2138631875000003</v>
      </c>
      <c r="BQ8">
        <v>7.9969929166666667</v>
      </c>
      <c r="BR8">
        <v>9.4545603333333332</v>
      </c>
      <c r="BU8" s="33">
        <v>6</v>
      </c>
      <c r="BV8">
        <f t="shared" si="1"/>
        <v>4.2977326041666668</v>
      </c>
      <c r="BW8">
        <f t="shared" si="2"/>
        <v>5.8370256718750007</v>
      </c>
      <c r="BX8">
        <f t="shared" si="3"/>
        <v>5.0966068489583334</v>
      </c>
      <c r="BY8">
        <f t="shared" si="4"/>
        <v>7.065784395833334</v>
      </c>
      <c r="CB8" s="33">
        <v>6</v>
      </c>
      <c r="CC8">
        <f t="shared" si="5"/>
        <v>0.71179846610501696</v>
      </c>
      <c r="CD8">
        <f t="shared" si="6"/>
        <v>0.929685266923719</v>
      </c>
      <c r="CE8">
        <f t="shared" si="7"/>
        <v>0.89330450168403497</v>
      </c>
      <c r="CF8">
        <f t="shared" si="8"/>
        <v>1.1291953107497179</v>
      </c>
    </row>
    <row r="9" spans="1:84" x14ac:dyDescent="0.2">
      <c r="B9" s="2">
        <v>43477.776099537034</v>
      </c>
      <c r="C9" s="5">
        <f t="shared" si="9"/>
        <v>0.58333330999999999</v>
      </c>
      <c r="D9" s="14">
        <v>3.0139659999999999</v>
      </c>
      <c r="E9" s="14">
        <v>2.4082759999999999</v>
      </c>
      <c r="F9" s="14">
        <v>3.0582210000000001</v>
      </c>
      <c r="G9" s="14">
        <v>1.5335129999999999</v>
      </c>
      <c r="H9" s="15">
        <v>2.0082209999999998</v>
      </c>
      <c r="I9" s="15">
        <v>2.7316560000000001</v>
      </c>
      <c r="J9" s="15">
        <v>6.2141799999999998</v>
      </c>
      <c r="K9" s="15">
        <v>1.9042269999999999</v>
      </c>
      <c r="L9" s="16">
        <v>2.2008079999999999</v>
      </c>
      <c r="M9" s="16">
        <v>3.4174570000000002</v>
      </c>
      <c r="N9" s="16">
        <v>3.8819840000000001</v>
      </c>
      <c r="O9" s="16">
        <v>1.964043</v>
      </c>
      <c r="P9" s="17">
        <v>3.5035609999999999</v>
      </c>
      <c r="Q9" s="17">
        <v>3.8124449999999999</v>
      </c>
      <c r="R9" s="17">
        <v>1.8885620000000001</v>
      </c>
      <c r="S9" s="17">
        <v>4.9011120000000004</v>
      </c>
      <c r="AP9" s="34"/>
      <c r="AQ9" s="35"/>
      <c r="AR9" s="35"/>
      <c r="AS9" s="35"/>
      <c r="AV9" s="33">
        <v>6</v>
      </c>
      <c r="AW9">
        <f>AP74</f>
        <v>2.6174545624999999</v>
      </c>
      <c r="AX9">
        <v>3.7376994999999997</v>
      </c>
      <c r="AY9">
        <v>4.9523689583333326</v>
      </c>
      <c r="AZ9">
        <v>5.8834073958333333</v>
      </c>
      <c r="BB9" s="33">
        <v>6</v>
      </c>
      <c r="BC9">
        <v>3.4289524374999996</v>
      </c>
      <c r="BD9">
        <v>5.4359306458333343</v>
      </c>
      <c r="BE9">
        <v>6.758717854166667</v>
      </c>
      <c r="BF9">
        <v>7.7245017499999999</v>
      </c>
      <c r="BH9" s="33">
        <v>6</v>
      </c>
      <c r="BI9">
        <v>2.9028095208333333</v>
      </c>
      <c r="BJ9">
        <v>4.5876127291666675</v>
      </c>
      <c r="BK9">
        <v>5.7954871874999991</v>
      </c>
      <c r="BL9">
        <v>7.1005179583333335</v>
      </c>
      <c r="BN9" s="33">
        <v>6</v>
      </c>
      <c r="BO9">
        <v>4.3408772291666669</v>
      </c>
      <c r="BP9">
        <v>6.2969790000000003</v>
      </c>
      <c r="BQ9">
        <v>8.0439437083333338</v>
      </c>
      <c r="BR9">
        <v>9.581337645833333</v>
      </c>
      <c r="BU9" s="33">
        <v>7</v>
      </c>
      <c r="BV9">
        <f t="shared" si="1"/>
        <v>4.3076197760416663</v>
      </c>
      <c r="BW9">
        <f t="shared" si="2"/>
        <v>5.9156926614583334</v>
      </c>
      <c r="BX9">
        <f t="shared" si="3"/>
        <v>5.1147220468749994</v>
      </c>
      <c r="BY9">
        <f t="shared" si="4"/>
        <v>7.1575598229166673</v>
      </c>
      <c r="CB9" s="33">
        <v>7</v>
      </c>
      <c r="CC9">
        <f t="shared" si="5"/>
        <v>0.70961021129913215</v>
      </c>
      <c r="CD9">
        <f t="shared" si="6"/>
        <v>0.92965821233849988</v>
      </c>
      <c r="CE9">
        <f t="shared" si="7"/>
        <v>0.89850436140915957</v>
      </c>
      <c r="CF9">
        <f t="shared" si="8"/>
        <v>1.1383275597452018</v>
      </c>
    </row>
    <row r="10" spans="1:84" x14ac:dyDescent="0.2">
      <c r="B10" s="2">
        <v>43477.77957175926</v>
      </c>
      <c r="C10" s="5">
        <f t="shared" si="9"/>
        <v>0.66666663999999998</v>
      </c>
      <c r="D10" s="14">
        <v>3.017042</v>
      </c>
      <c r="E10" s="14">
        <v>2.4217939999999998</v>
      </c>
      <c r="F10" s="14">
        <v>3.0787740000000001</v>
      </c>
      <c r="G10" s="14">
        <v>1.5335129999999999</v>
      </c>
      <c r="H10" s="15">
        <v>2.010796</v>
      </c>
      <c r="I10" s="15">
        <v>2.7316560000000001</v>
      </c>
      <c r="J10" s="15">
        <v>6.2141799999999998</v>
      </c>
      <c r="K10" s="15">
        <v>1.907017</v>
      </c>
      <c r="L10" s="16">
        <v>2.2008079999999999</v>
      </c>
      <c r="M10" s="16">
        <v>3.4174570000000002</v>
      </c>
      <c r="N10" s="16">
        <v>3.8819840000000001</v>
      </c>
      <c r="O10" s="16">
        <v>1.964043</v>
      </c>
      <c r="P10" s="17">
        <v>3.5035609999999999</v>
      </c>
      <c r="Q10" s="17">
        <v>3.8349039999999999</v>
      </c>
      <c r="R10" s="17">
        <v>1.895465</v>
      </c>
      <c r="S10" s="17">
        <v>4.930294</v>
      </c>
      <c r="AP10" s="34"/>
      <c r="AQ10" s="35"/>
      <c r="AR10" s="35"/>
      <c r="AS10" s="35"/>
      <c r="AV10" s="33">
        <v>7</v>
      </c>
      <c r="AW10">
        <f>AP86</f>
        <v>2.6321764999999995</v>
      </c>
      <c r="AX10">
        <v>3.7504628124999999</v>
      </c>
      <c r="AY10">
        <v>4.9587458125000001</v>
      </c>
      <c r="AZ10">
        <v>5.8890939791666659</v>
      </c>
      <c r="BB10" s="33">
        <v>7</v>
      </c>
      <c r="BC10">
        <v>3.5241527500000003</v>
      </c>
      <c r="BD10">
        <v>5.4896225833333334</v>
      </c>
      <c r="BE10">
        <v>6.8241423749999992</v>
      </c>
      <c r="BF10">
        <v>7.8248529374999993</v>
      </c>
      <c r="BH10" s="33">
        <v>7</v>
      </c>
      <c r="BI10">
        <v>2.9115299375000001</v>
      </c>
      <c r="BJ10">
        <v>4.5968453749999991</v>
      </c>
      <c r="BK10">
        <v>5.8182322083333329</v>
      </c>
      <c r="BL10">
        <v>7.1322806666666665</v>
      </c>
      <c r="BN10" s="33">
        <v>7</v>
      </c>
      <c r="BO10">
        <v>4.4457295208333329</v>
      </c>
      <c r="BP10">
        <v>6.3511770416666673</v>
      </c>
      <c r="BQ10">
        <v>8.0931716250000001</v>
      </c>
      <c r="BR10">
        <v>9.7401611041666669</v>
      </c>
      <c r="BU10" s="33">
        <v>8</v>
      </c>
      <c r="BV10">
        <f t="shared" si="1"/>
        <v>4.3223735052083336</v>
      </c>
      <c r="BW10">
        <f t="shared" si="2"/>
        <v>5.9851242239583344</v>
      </c>
      <c r="BX10">
        <f t="shared" si="3"/>
        <v>5.1340717291666662</v>
      </c>
      <c r="BY10">
        <f t="shared" si="4"/>
        <v>7.2518813333333334</v>
      </c>
      <c r="CB10" s="33">
        <v>8</v>
      </c>
      <c r="CC10">
        <f t="shared" si="5"/>
        <v>0.70299130210488769</v>
      </c>
      <c r="CD10">
        <f t="shared" si="6"/>
        <v>0.92490148995884558</v>
      </c>
      <c r="CE10">
        <f t="shared" si="7"/>
        <v>0.90098926075353825</v>
      </c>
      <c r="CF10">
        <f t="shared" si="8"/>
        <v>1.1639902473211643</v>
      </c>
    </row>
    <row r="11" spans="1:84" x14ac:dyDescent="0.2">
      <c r="B11" s="2">
        <v>43477.783043981479</v>
      </c>
      <c r="C11" s="5">
        <f t="shared" si="9"/>
        <v>0.74999996999999996</v>
      </c>
      <c r="D11" s="14">
        <v>3.0201180000000001</v>
      </c>
      <c r="E11" s="14">
        <v>2.4353120000000001</v>
      </c>
      <c r="F11" s="14">
        <v>3.0801340000000001</v>
      </c>
      <c r="G11" s="14">
        <v>1.5335129999999999</v>
      </c>
      <c r="H11" s="15">
        <v>2.0133709999999998</v>
      </c>
      <c r="I11" s="15">
        <v>2.7316560000000001</v>
      </c>
      <c r="J11" s="15">
        <v>6.2141799999999998</v>
      </c>
      <c r="K11" s="15">
        <v>1.9098059999999999</v>
      </c>
      <c r="L11" s="16">
        <v>2.2008079999999999</v>
      </c>
      <c r="M11" s="16">
        <v>3.4174570000000002</v>
      </c>
      <c r="N11" s="16">
        <v>3.8819840000000001</v>
      </c>
      <c r="O11" s="16">
        <v>1.964043</v>
      </c>
      <c r="P11" s="17">
        <v>3.5035609999999999</v>
      </c>
      <c r="Q11" s="17">
        <v>3.8573629999999999</v>
      </c>
      <c r="R11" s="17">
        <v>1.9023669999999999</v>
      </c>
      <c r="S11" s="17">
        <v>4.9594760000000004</v>
      </c>
      <c r="AP11" s="34"/>
      <c r="AQ11" s="35"/>
      <c r="AR11" s="35"/>
      <c r="AS11" s="35"/>
      <c r="AV11" s="33">
        <v>8</v>
      </c>
      <c r="AW11">
        <f>AP98</f>
        <v>2.6594315208333335</v>
      </c>
      <c r="AX11">
        <v>3.7776625624999998</v>
      </c>
      <c r="AY11">
        <v>4.9617597291666673</v>
      </c>
      <c r="AZ11">
        <v>5.8906402083333331</v>
      </c>
      <c r="BB11" s="33">
        <v>8</v>
      </c>
      <c r="BC11">
        <v>3.6134292708333335</v>
      </c>
      <c r="BD11">
        <v>5.5502697083333334</v>
      </c>
      <c r="BE11">
        <v>6.8819812291666675</v>
      </c>
      <c r="BF11">
        <v>7.8948166875000005</v>
      </c>
      <c r="BH11" s="33">
        <v>8</v>
      </c>
      <c r="BI11">
        <v>2.9241763958333329</v>
      </c>
      <c r="BJ11">
        <v>4.6062708958333323</v>
      </c>
      <c r="BK11">
        <v>5.8580638125000002</v>
      </c>
      <c r="BL11">
        <v>7.1477758124999999</v>
      </c>
      <c r="BN11" s="33">
        <v>8</v>
      </c>
      <c r="BO11">
        <v>4.5344439791666664</v>
      </c>
      <c r="BP11">
        <v>6.3662520000000002</v>
      </c>
      <c r="BQ11">
        <v>8.1593705833333328</v>
      </c>
      <c r="BR11">
        <v>9.9474587708333342</v>
      </c>
      <c r="BU11" s="33">
        <v>9</v>
      </c>
      <c r="BV11">
        <f t="shared" si="1"/>
        <v>4.3394089687499999</v>
      </c>
      <c r="BW11">
        <f t="shared" si="2"/>
        <v>6.0462970208333333</v>
      </c>
      <c r="BX11">
        <f t="shared" si="3"/>
        <v>5.1687036458333324</v>
      </c>
      <c r="BY11">
        <f t="shared" si="4"/>
        <v>7.3718584062500003</v>
      </c>
      <c r="CB11" s="33">
        <v>9</v>
      </c>
      <c r="CC11">
        <f t="shared" si="5"/>
        <v>0.69489485554537056</v>
      </c>
      <c r="CD11">
        <f t="shared" si="6"/>
        <v>0.9178344006515966</v>
      </c>
      <c r="CE11">
        <f t="shared" si="7"/>
        <v>0.90560750634376896</v>
      </c>
      <c r="CF11">
        <f t="shared" si="8"/>
        <v>1.1859617274817869</v>
      </c>
    </row>
    <row r="12" spans="1:84" x14ac:dyDescent="0.2">
      <c r="B12" s="2">
        <v>43477.786516203705</v>
      </c>
      <c r="C12" s="5">
        <f t="shared" si="9"/>
        <v>0.83333329999999994</v>
      </c>
      <c r="D12" s="14">
        <v>3.023193</v>
      </c>
      <c r="E12" s="14">
        <v>2.4447749999999999</v>
      </c>
      <c r="F12" s="14">
        <v>3.0823510000000001</v>
      </c>
      <c r="G12" s="14">
        <v>1.5335129999999999</v>
      </c>
      <c r="H12" s="15">
        <v>2.015946</v>
      </c>
      <c r="I12" s="15">
        <v>2.7316560000000001</v>
      </c>
      <c r="J12" s="15">
        <v>6.2141799999999998</v>
      </c>
      <c r="K12" s="15">
        <v>1.912596</v>
      </c>
      <c r="L12" s="16">
        <v>2.2008079999999999</v>
      </c>
      <c r="M12" s="16">
        <v>3.4174570000000002</v>
      </c>
      <c r="N12" s="16">
        <v>3.8819840000000001</v>
      </c>
      <c r="O12" s="16">
        <v>1.964043</v>
      </c>
      <c r="P12" s="17">
        <v>3.5035609999999999</v>
      </c>
      <c r="Q12" s="17">
        <v>3.8739080000000001</v>
      </c>
      <c r="R12" s="17">
        <v>1.9092690000000001</v>
      </c>
      <c r="S12" s="17">
        <v>4.9886590000000002</v>
      </c>
      <c r="AP12" s="34"/>
      <c r="AQ12" s="35"/>
      <c r="AR12" s="35"/>
      <c r="AS12" s="35"/>
      <c r="AV12" s="33">
        <v>9</v>
      </c>
      <c r="AW12">
        <f>AP110</f>
        <v>2.6921098333333333</v>
      </c>
      <c r="AX12">
        <v>3.8094721874999999</v>
      </c>
      <c r="AY12">
        <v>4.9643779374999992</v>
      </c>
      <c r="AZ12">
        <v>5.8916759166666663</v>
      </c>
      <c r="BB12" s="33">
        <v>9</v>
      </c>
      <c r="BC12">
        <v>3.6920665416666667</v>
      </c>
      <c r="BD12">
        <v>5.6255664791666673</v>
      </c>
      <c r="BE12">
        <v>6.9144413333333334</v>
      </c>
      <c r="BF12">
        <v>7.9531137291666667</v>
      </c>
      <c r="BH12" s="33">
        <v>9</v>
      </c>
      <c r="BI12">
        <v>2.9410633749999997</v>
      </c>
      <c r="BJ12">
        <v>4.6182925416666656</v>
      </c>
      <c r="BK12">
        <v>5.9588215</v>
      </c>
      <c r="BL12">
        <v>7.1566371666666662</v>
      </c>
      <c r="BN12" s="33">
        <v>9</v>
      </c>
      <c r="BO12">
        <v>4.6298572916666663</v>
      </c>
      <c r="BP12">
        <v>6.4293035208333329</v>
      </c>
      <c r="BQ12">
        <v>8.2967743333333352</v>
      </c>
      <c r="BR12">
        <v>10.131498479166668</v>
      </c>
      <c r="BU12" s="33">
        <v>10</v>
      </c>
      <c r="BV12">
        <f t="shared" si="1"/>
        <v>4.3629078072916663</v>
      </c>
      <c r="BW12">
        <f t="shared" si="2"/>
        <v>6.0716959062500004</v>
      </c>
      <c r="BX12">
        <f t="shared" si="3"/>
        <v>5.1977781145833326</v>
      </c>
      <c r="BY12">
        <f t="shared" si="4"/>
        <v>7.4681106041666663</v>
      </c>
      <c r="CB12" s="33">
        <v>10</v>
      </c>
      <c r="CC12">
        <f t="shared" si="5"/>
        <v>0.68446731510095227</v>
      </c>
      <c r="CD12">
        <f t="shared" si="6"/>
        <v>0.91425118426488827</v>
      </c>
      <c r="CE12">
        <f t="shared" si="7"/>
        <v>0.90173430200954896</v>
      </c>
      <c r="CF12">
        <f t="shared" si="8"/>
        <v>1.1565912832921579</v>
      </c>
    </row>
    <row r="13" spans="1:84" x14ac:dyDescent="0.2">
      <c r="B13" s="2">
        <v>43477.789988425924</v>
      </c>
      <c r="C13" s="5">
        <f t="shared" si="9"/>
        <v>0.91666662999999993</v>
      </c>
      <c r="D13" s="14">
        <v>3.0262690000000001</v>
      </c>
      <c r="E13" s="14">
        <v>2.4448669999999999</v>
      </c>
      <c r="F13" s="14">
        <v>3.084568</v>
      </c>
      <c r="G13" s="14">
        <v>1.5335129999999999</v>
      </c>
      <c r="H13" s="15">
        <v>2.0185209999999998</v>
      </c>
      <c r="I13" s="15">
        <v>2.7316560000000001</v>
      </c>
      <c r="J13" s="15">
        <v>6.2141799999999998</v>
      </c>
      <c r="K13" s="15">
        <v>1.9153849999999999</v>
      </c>
      <c r="L13" s="16">
        <v>2.2008079999999999</v>
      </c>
      <c r="M13" s="16">
        <v>3.4174570000000002</v>
      </c>
      <c r="N13" s="16">
        <v>3.8819840000000001</v>
      </c>
      <c r="O13" s="16">
        <v>1.964043</v>
      </c>
      <c r="P13" s="17">
        <v>3.5035609999999999</v>
      </c>
      <c r="Q13" s="17">
        <v>3.883632</v>
      </c>
      <c r="R13" s="17">
        <v>1.9161710000000001</v>
      </c>
      <c r="S13" s="17">
        <v>5.0178409999999998</v>
      </c>
      <c r="AP13" s="34"/>
      <c r="AQ13" s="35"/>
      <c r="AR13" s="35"/>
      <c r="AS13" s="35"/>
      <c r="AV13" s="33">
        <v>10</v>
      </c>
      <c r="AW13">
        <f>AP122</f>
        <v>2.7309925625</v>
      </c>
      <c r="AX13">
        <v>3.8602788541666668</v>
      </c>
      <c r="AY13">
        <v>4.9675659374999999</v>
      </c>
      <c r="AZ13">
        <v>5.8927938749999988</v>
      </c>
      <c r="BB13" s="33">
        <v>10</v>
      </c>
      <c r="BC13">
        <v>3.7334069999999997</v>
      </c>
      <c r="BD13">
        <v>5.6387660416666661</v>
      </c>
      <c r="BE13">
        <v>6.9399018125000005</v>
      </c>
      <c r="BF13">
        <v>7.9747087708333346</v>
      </c>
      <c r="BH13" s="33">
        <v>10</v>
      </c>
      <c r="BI13">
        <v>2.982571375</v>
      </c>
      <c r="BJ13">
        <v>4.6306163749999989</v>
      </c>
      <c r="BK13">
        <v>6.0154222500000003</v>
      </c>
      <c r="BL13">
        <v>7.1625024583333339</v>
      </c>
      <c r="BN13" s="33">
        <v>10</v>
      </c>
      <c r="BO13">
        <v>4.8113368749999994</v>
      </c>
      <c r="BP13">
        <v>6.5142452083333335</v>
      </c>
      <c r="BQ13">
        <v>8.3886201666666658</v>
      </c>
      <c r="BR13">
        <v>10.158240166666667</v>
      </c>
      <c r="BU13" s="33">
        <v>11</v>
      </c>
      <c r="BV13">
        <f t="shared" si="1"/>
        <v>4.3871711250000001</v>
      </c>
      <c r="BW13">
        <f t="shared" si="2"/>
        <v>6.1217524374999996</v>
      </c>
      <c r="BX13">
        <f t="shared" si="3"/>
        <v>5.2193199010416667</v>
      </c>
      <c r="BY13">
        <f t="shared" si="4"/>
        <v>7.5259837083333334</v>
      </c>
      <c r="CB13" s="33">
        <v>11</v>
      </c>
      <c r="CC13">
        <f t="shared" si="5"/>
        <v>0.67592820808462006</v>
      </c>
      <c r="CD13">
        <f t="shared" si="6"/>
        <v>0.89172898906766429</v>
      </c>
      <c r="CE13">
        <f t="shared" si="7"/>
        <v>0.89670292083814784</v>
      </c>
      <c r="CF13">
        <f t="shared" si="8"/>
        <v>1.1403168069122349</v>
      </c>
    </row>
    <row r="14" spans="1:84" x14ac:dyDescent="0.2">
      <c r="B14" s="2">
        <v>43477.79346064815</v>
      </c>
      <c r="C14" s="5">
        <f t="shared" si="9"/>
        <v>0.99999995999999991</v>
      </c>
      <c r="D14" s="14">
        <v>3.029344</v>
      </c>
      <c r="E14" s="14">
        <v>2.447155</v>
      </c>
      <c r="F14" s="14">
        <v>3.086786</v>
      </c>
      <c r="G14" s="14">
        <v>1.5335129999999999</v>
      </c>
      <c r="H14" s="15">
        <v>2.021096</v>
      </c>
      <c r="I14" s="15">
        <v>2.7316560000000001</v>
      </c>
      <c r="J14" s="15">
        <v>6.2141799999999998</v>
      </c>
      <c r="K14" s="15">
        <v>1.918175</v>
      </c>
      <c r="L14" s="16">
        <v>2.2008079999999999</v>
      </c>
      <c r="M14" s="16">
        <v>3.4174570000000002</v>
      </c>
      <c r="N14" s="16">
        <v>3.8819840000000001</v>
      </c>
      <c r="O14" s="16">
        <v>1.964043</v>
      </c>
      <c r="P14" s="17">
        <v>3.5035609999999999</v>
      </c>
      <c r="Q14" s="17">
        <v>3.9057339999999998</v>
      </c>
      <c r="R14" s="17">
        <v>1.923073</v>
      </c>
      <c r="S14" s="17">
        <v>5.0470240000000004</v>
      </c>
      <c r="V14" s="25">
        <v>1</v>
      </c>
      <c r="W14">
        <f t="shared" ref="W14:AL14" si="10">AVERAGE(D3:D14)</f>
        <v>3.0125327500000001</v>
      </c>
      <c r="X14">
        <f t="shared" si="10"/>
        <v>2.3973289999999996</v>
      </c>
      <c r="Y14">
        <f t="shared" si="10"/>
        <v>3.0246625833333334</v>
      </c>
      <c r="Z14">
        <f t="shared" si="10"/>
        <v>1.5335129999999995</v>
      </c>
      <c r="AA14">
        <f t="shared" si="10"/>
        <v>2.0069331666666668</v>
      </c>
      <c r="AB14">
        <f t="shared" si="10"/>
        <v>2.7316560000000005</v>
      </c>
      <c r="AC14">
        <f t="shared" si="10"/>
        <v>6.2141799999999998</v>
      </c>
      <c r="AD14">
        <f t="shared" si="10"/>
        <v>1.9022917500000005</v>
      </c>
      <c r="AE14">
        <f t="shared" si="10"/>
        <v>2.2008079999999994</v>
      </c>
      <c r="AF14">
        <f t="shared" si="10"/>
        <v>3.4174569999999993</v>
      </c>
      <c r="AG14">
        <f t="shared" si="10"/>
        <v>3.8819840000000005</v>
      </c>
      <c r="AH14">
        <f t="shared" si="10"/>
        <v>1.964043</v>
      </c>
      <c r="AI14">
        <f t="shared" si="10"/>
        <v>3.5035609999999999</v>
      </c>
      <c r="AJ14">
        <f t="shared" si="10"/>
        <v>3.79758475</v>
      </c>
      <c r="AK14">
        <f t="shared" si="10"/>
        <v>1.8854332499999999</v>
      </c>
      <c r="AL14">
        <f t="shared" si="10"/>
        <v>4.8886439166666671</v>
      </c>
      <c r="AO14" s="25">
        <v>1</v>
      </c>
      <c r="AP14" s="34">
        <f>AVERAGE(W14:Z14)</f>
        <v>2.4920093333333329</v>
      </c>
      <c r="AQ14" s="35">
        <f>AVERAGE(AA14:AD14)</f>
        <v>3.2137652291666665</v>
      </c>
      <c r="AR14" s="35">
        <f>AVERAGE(AE14:AH14)</f>
        <v>2.8660730000000001</v>
      </c>
      <c r="AS14" s="35">
        <f>AVERAGE(AI14:AL14)</f>
        <v>3.518805729166667</v>
      </c>
      <c r="AV14" s="33">
        <v>11</v>
      </c>
      <c r="AW14">
        <f>AP134</f>
        <v>2.7597102499999999</v>
      </c>
      <c r="AX14">
        <v>3.9227574583333329</v>
      </c>
      <c r="AY14">
        <v>4.9692825625000001</v>
      </c>
      <c r="AZ14">
        <v>5.896934229166666</v>
      </c>
      <c r="BB14" s="33">
        <v>11</v>
      </c>
      <c r="BC14">
        <v>3.8534136041666671</v>
      </c>
      <c r="BD14">
        <v>5.6688389374999986</v>
      </c>
      <c r="BE14">
        <v>6.9878746874999988</v>
      </c>
      <c r="BF14">
        <v>7.9768825208333336</v>
      </c>
      <c r="BH14" s="33">
        <v>11</v>
      </c>
      <c r="BI14">
        <v>3.0251383958333329</v>
      </c>
      <c r="BJ14">
        <v>4.632667249999999</v>
      </c>
      <c r="BK14">
        <v>6.0512567083333337</v>
      </c>
      <c r="BL14">
        <v>7.1682172500000005</v>
      </c>
      <c r="BN14" s="33">
        <v>11</v>
      </c>
      <c r="BO14">
        <v>4.915394979166666</v>
      </c>
      <c r="BP14">
        <v>6.5596023333333333</v>
      </c>
      <c r="BQ14">
        <v>8.4608163124999987</v>
      </c>
      <c r="BR14">
        <v>10.168121208333334</v>
      </c>
      <c r="BU14" s="33">
        <v>12</v>
      </c>
      <c r="BV14">
        <f t="shared" si="1"/>
        <v>4.4079089062499994</v>
      </c>
      <c r="BW14">
        <f t="shared" si="2"/>
        <v>6.168297197916667</v>
      </c>
      <c r="BX14">
        <f t="shared" si="3"/>
        <v>5.2402506874999997</v>
      </c>
      <c r="BY14">
        <f t="shared" si="4"/>
        <v>7.5879712656250007</v>
      </c>
      <c r="CB14" s="33">
        <v>12</v>
      </c>
      <c r="CC14">
        <f t="shared" si="5"/>
        <v>0.67371124726718334</v>
      </c>
      <c r="CD14">
        <f t="shared" si="6"/>
        <v>0.86303354384986386</v>
      </c>
      <c r="CE14">
        <f t="shared" si="7"/>
        <v>0.89445472970600859</v>
      </c>
      <c r="CF14">
        <f t="shared" si="8"/>
        <v>1.1286950414681427</v>
      </c>
    </row>
    <row r="15" spans="1:84" x14ac:dyDescent="0.2">
      <c r="B15" s="2">
        <v>43477.796932870369</v>
      </c>
      <c r="C15" s="5">
        <f t="shared" si="9"/>
        <v>1.0833332899999999</v>
      </c>
      <c r="D15" s="14">
        <v>3.0324200000000001</v>
      </c>
      <c r="E15" s="14">
        <v>2.4494440000000002</v>
      </c>
      <c r="F15" s="14">
        <v>3.0890029999999999</v>
      </c>
      <c r="G15" s="14">
        <v>1.5335129999999999</v>
      </c>
      <c r="H15" s="15">
        <v>2.0236700000000001</v>
      </c>
      <c r="I15" s="15">
        <v>2.7316560000000001</v>
      </c>
      <c r="J15" s="15">
        <v>6.2141799999999998</v>
      </c>
      <c r="K15" s="15">
        <v>1.9209639999999999</v>
      </c>
      <c r="L15" s="16">
        <v>2.2008079999999999</v>
      </c>
      <c r="M15" s="16">
        <v>3.4174570000000002</v>
      </c>
      <c r="N15" s="16">
        <v>3.8819840000000001</v>
      </c>
      <c r="O15" s="16">
        <v>1.964043</v>
      </c>
      <c r="P15" s="17">
        <v>3.5035609999999999</v>
      </c>
      <c r="Q15" s="17">
        <v>3.927835</v>
      </c>
      <c r="R15" s="17">
        <v>1.9299759999999999</v>
      </c>
      <c r="S15" s="17">
        <v>5.076206</v>
      </c>
      <c r="AP15" s="34"/>
      <c r="AQ15" s="35"/>
      <c r="AR15" s="35"/>
      <c r="AS15" s="35"/>
      <c r="AV15" s="33">
        <v>12</v>
      </c>
      <c r="AW15">
        <f>AP146</f>
        <v>2.7799861458333335</v>
      </c>
      <c r="AX15">
        <v>3.9618027708333332</v>
      </c>
      <c r="AY15">
        <v>4.9723236249999996</v>
      </c>
      <c r="AZ15">
        <v>5.9175230833333323</v>
      </c>
      <c r="BB15" s="33">
        <v>12</v>
      </c>
      <c r="BC15">
        <v>3.987069229166667</v>
      </c>
      <c r="BD15">
        <v>5.7077980624999993</v>
      </c>
      <c r="BE15">
        <v>6.9999027291666671</v>
      </c>
      <c r="BF15">
        <v>7.9784187708333345</v>
      </c>
      <c r="BH15" s="33">
        <v>12</v>
      </c>
      <c r="BI15">
        <v>3.0631936041666661</v>
      </c>
      <c r="BJ15">
        <v>4.632667249999999</v>
      </c>
      <c r="BK15">
        <v>6.0781592916666671</v>
      </c>
      <c r="BL15">
        <v>7.1869826041666673</v>
      </c>
      <c r="BN15" s="33">
        <v>12</v>
      </c>
      <c r="BO15">
        <v>5.0142393333333333</v>
      </c>
      <c r="BP15">
        <v>6.6036397500000001</v>
      </c>
      <c r="BQ15">
        <v>8.5410133958333336</v>
      </c>
      <c r="BR15">
        <v>10.192992583333334</v>
      </c>
      <c r="BU15" s="33">
        <v>13</v>
      </c>
      <c r="BV15">
        <f t="shared" si="1"/>
        <v>4.4304575885416666</v>
      </c>
      <c r="BW15">
        <f t="shared" si="2"/>
        <v>6.1840465520833341</v>
      </c>
      <c r="BX15">
        <f t="shared" si="3"/>
        <v>5.2651941666666664</v>
      </c>
      <c r="BY15">
        <f t="shared" si="4"/>
        <v>7.6537148697916653</v>
      </c>
      <c r="CB15" s="33">
        <v>13</v>
      </c>
      <c r="CC15">
        <f t="shared" si="5"/>
        <v>0.67541798733653513</v>
      </c>
      <c r="CD15">
        <f t="shared" si="6"/>
        <v>0.85649904607496996</v>
      </c>
      <c r="CE15">
        <f t="shared" si="7"/>
        <v>0.89485588045767794</v>
      </c>
      <c r="CF15">
        <f t="shared" si="8"/>
        <v>1.1139436985222977</v>
      </c>
    </row>
    <row r="16" spans="1:84" x14ac:dyDescent="0.2">
      <c r="B16" s="2">
        <v>43477.800405092596</v>
      </c>
      <c r="C16" s="5">
        <f t="shared" si="9"/>
        <v>1.16666662</v>
      </c>
      <c r="D16" s="14">
        <v>3.0354960000000002</v>
      </c>
      <c r="E16" s="14">
        <v>2.4517329999999999</v>
      </c>
      <c r="F16" s="14">
        <v>3.0912199999999999</v>
      </c>
      <c r="G16" s="14">
        <v>1.5335129999999999</v>
      </c>
      <c r="H16" s="15">
        <v>2.0262449999999999</v>
      </c>
      <c r="I16" s="15">
        <v>2.7316560000000001</v>
      </c>
      <c r="J16" s="15">
        <v>6.2141799999999998</v>
      </c>
      <c r="K16" s="15">
        <v>1.923754</v>
      </c>
      <c r="L16" s="16">
        <v>2.2008079999999999</v>
      </c>
      <c r="M16" s="16">
        <v>3.4174570000000002</v>
      </c>
      <c r="N16" s="16">
        <v>3.8819840000000001</v>
      </c>
      <c r="O16" s="16">
        <v>1.964043</v>
      </c>
      <c r="P16" s="17">
        <v>3.5035609999999999</v>
      </c>
      <c r="Q16" s="17">
        <v>3.9499369999999998</v>
      </c>
      <c r="R16" s="17">
        <v>1.9368780000000001</v>
      </c>
      <c r="S16" s="17">
        <v>5.1053889999999997</v>
      </c>
      <c r="AP16" s="34"/>
      <c r="AQ16" s="35"/>
      <c r="AR16" s="35"/>
      <c r="AS16" s="35"/>
      <c r="AV16" s="33">
        <v>13</v>
      </c>
      <c r="AW16">
        <f>AP158</f>
        <v>2.7964268125</v>
      </c>
      <c r="AX16">
        <v>3.9946458125000004</v>
      </c>
      <c r="AY16">
        <v>4.9794977500000002</v>
      </c>
      <c r="AZ16">
        <v>5.9512599791666663</v>
      </c>
      <c r="BB16" s="33">
        <v>13</v>
      </c>
      <c r="BC16">
        <v>4.0196522708333342</v>
      </c>
      <c r="BD16">
        <v>5.7273647499999996</v>
      </c>
      <c r="BE16">
        <v>7.007292791666667</v>
      </c>
      <c r="BF16">
        <v>7.9818763958333339</v>
      </c>
      <c r="BH16" s="33">
        <v>13</v>
      </c>
      <c r="BI16">
        <v>3.1016025833333329</v>
      </c>
      <c r="BJ16">
        <v>4.632667249999999</v>
      </c>
      <c r="BK16">
        <v>6.1069952083333341</v>
      </c>
      <c r="BL16">
        <v>7.219511625</v>
      </c>
      <c r="BN16" s="33">
        <v>13</v>
      </c>
      <c r="BO16">
        <v>5.1005799166666668</v>
      </c>
      <c r="BP16">
        <v>6.6994788749999987</v>
      </c>
      <c r="BQ16">
        <v>8.5979076458333328</v>
      </c>
      <c r="BR16">
        <v>10.216893041666665</v>
      </c>
      <c r="BU16" s="33">
        <v>14</v>
      </c>
      <c r="BV16">
        <f t="shared" si="1"/>
        <v>4.4716794427083331</v>
      </c>
      <c r="BW16">
        <f t="shared" si="2"/>
        <v>6.2052720208333323</v>
      </c>
      <c r="BX16">
        <f t="shared" si="3"/>
        <v>5.3021270312500004</v>
      </c>
      <c r="BY16">
        <f t="shared" si="4"/>
        <v>7.7209759062500005</v>
      </c>
      <c r="CB16" s="33">
        <v>14</v>
      </c>
      <c r="CC16">
        <f t="shared" si="5"/>
        <v>0.67469477489660634</v>
      </c>
      <c r="CD16">
        <f t="shared" si="6"/>
        <v>0.84848364024900325</v>
      </c>
      <c r="CE16">
        <f t="shared" si="7"/>
        <v>0.90105561176984317</v>
      </c>
      <c r="CF16">
        <f t="shared" si="8"/>
        <v>1.0979201317852216</v>
      </c>
    </row>
    <row r="17" spans="2:84" x14ac:dyDescent="0.2">
      <c r="B17" s="2">
        <v>43477.803877314815</v>
      </c>
      <c r="C17" s="5">
        <f t="shared" si="9"/>
        <v>1.2499999500000001</v>
      </c>
      <c r="D17" s="14">
        <v>3.0385710000000001</v>
      </c>
      <c r="E17" s="14">
        <v>2.4540220000000001</v>
      </c>
      <c r="F17" s="14">
        <v>3.0934370000000002</v>
      </c>
      <c r="G17" s="14">
        <v>1.5335129999999999</v>
      </c>
      <c r="H17" s="15">
        <v>2.0288200000000001</v>
      </c>
      <c r="I17" s="15">
        <v>2.7316560000000001</v>
      </c>
      <c r="J17" s="15">
        <v>6.2209839999999996</v>
      </c>
      <c r="K17" s="15">
        <v>1.9265429999999999</v>
      </c>
      <c r="L17" s="16">
        <v>2.2008079999999999</v>
      </c>
      <c r="M17" s="16">
        <v>3.4174570000000002</v>
      </c>
      <c r="N17" s="16">
        <v>3.8819840000000001</v>
      </c>
      <c r="O17" s="16">
        <v>1.966081</v>
      </c>
      <c r="P17" s="17">
        <v>3.5035609999999999</v>
      </c>
      <c r="Q17" s="17">
        <v>3.972038</v>
      </c>
      <c r="R17" s="17">
        <v>1.9437800000000001</v>
      </c>
      <c r="S17" s="17">
        <v>5.1345710000000002</v>
      </c>
      <c r="AP17" s="34"/>
      <c r="AQ17" s="35"/>
      <c r="AR17" s="35"/>
      <c r="AS17" s="35"/>
      <c r="AV17" s="33">
        <v>14</v>
      </c>
      <c r="AW17">
        <f>AP170</f>
        <v>2.8215365000000001</v>
      </c>
      <c r="AX17">
        <v>4.0799289999999999</v>
      </c>
      <c r="AY17">
        <v>4.9919006458333328</v>
      </c>
      <c r="AZ17">
        <v>5.993351624999999</v>
      </c>
      <c r="BB17" s="33">
        <v>14</v>
      </c>
      <c r="BC17">
        <v>4.0669013541666672</v>
      </c>
      <c r="BD17">
        <v>5.7433233750000001</v>
      </c>
      <c r="BE17">
        <v>7.0195109374999998</v>
      </c>
      <c r="BF17">
        <v>7.9913524166666656</v>
      </c>
      <c r="BH17" s="33">
        <v>14</v>
      </c>
      <c r="BI17">
        <v>3.1463650624999997</v>
      </c>
      <c r="BJ17">
        <v>4.632667249999999</v>
      </c>
      <c r="BK17">
        <v>6.141855041666668</v>
      </c>
      <c r="BL17">
        <v>7.2876207708333336</v>
      </c>
      <c r="BN17" s="33">
        <v>14</v>
      </c>
      <c r="BO17">
        <v>5.1911860833333332</v>
      </c>
      <c r="BP17">
        <v>6.8045396250000003</v>
      </c>
      <c r="BQ17">
        <v>8.6418376874999989</v>
      </c>
      <c r="BR17">
        <v>10.246340229166668</v>
      </c>
      <c r="BU17" s="33">
        <v>15</v>
      </c>
      <c r="BV17">
        <f t="shared" si="1"/>
        <v>4.5545532812499996</v>
      </c>
      <c r="BW17">
        <f t="shared" si="2"/>
        <v>6.2446063177083335</v>
      </c>
      <c r="BX17">
        <f t="shared" si="3"/>
        <v>5.354859843749999</v>
      </c>
      <c r="BY17">
        <f t="shared" si="4"/>
        <v>7.7812362499999992</v>
      </c>
      <c r="CB17" s="33">
        <v>15</v>
      </c>
      <c r="CC17">
        <f t="shared" si="5"/>
        <v>0.67335852270640673</v>
      </c>
      <c r="CD17">
        <f t="shared" si="6"/>
        <v>0.82866229810477532</v>
      </c>
      <c r="CE17">
        <f t="shared" si="7"/>
        <v>0.90339676146114167</v>
      </c>
      <c r="CF17">
        <f t="shared" si="8"/>
        <v>1.0841966359396618</v>
      </c>
    </row>
    <row r="18" spans="2:84" x14ac:dyDescent="0.2">
      <c r="B18" s="2">
        <v>43477.807349537034</v>
      </c>
      <c r="C18" s="5">
        <f t="shared" si="9"/>
        <v>1.3333332800000002</v>
      </c>
      <c r="D18" s="14">
        <v>3.0416470000000002</v>
      </c>
      <c r="E18" s="14">
        <v>2.4563109999999999</v>
      </c>
      <c r="F18" s="14">
        <v>3.0956549999999998</v>
      </c>
      <c r="G18" s="14">
        <v>1.5335129999999999</v>
      </c>
      <c r="H18" s="15">
        <v>2.0313949999999998</v>
      </c>
      <c r="I18" s="15">
        <v>2.7316560000000001</v>
      </c>
      <c r="J18" s="15">
        <v>6.2334290000000001</v>
      </c>
      <c r="K18" s="15">
        <v>1.929333</v>
      </c>
      <c r="L18" s="16">
        <v>2.2008079999999999</v>
      </c>
      <c r="M18" s="16">
        <v>3.4174570000000002</v>
      </c>
      <c r="N18" s="16">
        <v>3.8819840000000001</v>
      </c>
      <c r="O18" s="16">
        <v>1.971052</v>
      </c>
      <c r="P18" s="17">
        <v>3.5035609999999999</v>
      </c>
      <c r="Q18" s="17">
        <v>3.9941390000000001</v>
      </c>
      <c r="R18" s="17">
        <v>1.950682</v>
      </c>
      <c r="S18" s="17">
        <v>5.163754</v>
      </c>
      <c r="AP18" s="34"/>
      <c r="AQ18" s="35"/>
      <c r="AR18" s="35"/>
      <c r="AS18" s="35"/>
      <c r="AV18" s="33">
        <v>15</v>
      </c>
      <c r="AW18">
        <f>AP182</f>
        <v>2.8855793958333331</v>
      </c>
      <c r="AX18">
        <v>4.1992700208333336</v>
      </c>
      <c r="AY18">
        <v>5.0765635624999996</v>
      </c>
      <c r="AZ18">
        <v>6.056800145833332</v>
      </c>
      <c r="BB18" s="33">
        <v>15</v>
      </c>
      <c r="BC18">
        <v>4.1747376458333338</v>
      </c>
      <c r="BD18">
        <v>5.7612148125000004</v>
      </c>
      <c r="BE18">
        <v>7.0403091666666668</v>
      </c>
      <c r="BF18">
        <v>8.002163645833333</v>
      </c>
      <c r="BH18" s="33">
        <v>15</v>
      </c>
      <c r="BI18">
        <v>3.2096358958333333</v>
      </c>
      <c r="BJ18">
        <v>4.6450377083333327</v>
      </c>
      <c r="BK18">
        <v>6.2291961249999996</v>
      </c>
      <c r="BL18">
        <v>7.335569645833333</v>
      </c>
      <c r="BN18" s="33">
        <v>15</v>
      </c>
      <c r="BO18">
        <v>5.2902779791666656</v>
      </c>
      <c r="BP18">
        <v>6.8675233124999995</v>
      </c>
      <c r="BQ18">
        <v>8.6866557083333333</v>
      </c>
      <c r="BR18">
        <v>10.280488</v>
      </c>
      <c r="BU18" s="33">
        <v>16</v>
      </c>
      <c r="BV18">
        <f t="shared" si="1"/>
        <v>4.6734406249999996</v>
      </c>
      <c r="BW18">
        <f t="shared" si="2"/>
        <v>6.2724030468749996</v>
      </c>
      <c r="BX18">
        <f t="shared" si="3"/>
        <v>5.4128872604166656</v>
      </c>
      <c r="BY18">
        <f t="shared" si="4"/>
        <v>7.8447563489583336</v>
      </c>
      <c r="CB18" s="33">
        <v>16</v>
      </c>
      <c r="CC18">
        <f t="shared" si="5"/>
        <v>0.66001946621065366</v>
      </c>
      <c r="CD18">
        <f t="shared" si="6"/>
        <v>0.82229757176130791</v>
      </c>
      <c r="CE18">
        <f t="shared" si="7"/>
        <v>0.89965325603696489</v>
      </c>
      <c r="CF18">
        <f t="shared" si="8"/>
        <v>1.0760002697103999</v>
      </c>
    </row>
    <row r="19" spans="2:84" x14ac:dyDescent="0.2">
      <c r="B19" s="2">
        <v>43477.81082175926</v>
      </c>
      <c r="C19" s="5">
        <f t="shared" si="9"/>
        <v>1.4166666100000003</v>
      </c>
      <c r="D19" s="14">
        <v>3.0447220000000002</v>
      </c>
      <c r="E19" s="14">
        <v>2.4586000000000001</v>
      </c>
      <c r="F19" s="14">
        <v>3.0978720000000002</v>
      </c>
      <c r="G19" s="14">
        <v>1.5335129999999999</v>
      </c>
      <c r="H19" s="15">
        <v>2.0339700000000001</v>
      </c>
      <c r="I19" s="15">
        <v>2.7316560000000001</v>
      </c>
      <c r="J19" s="15">
        <v>6.2458749999999998</v>
      </c>
      <c r="K19" s="15">
        <v>1.9321219999999999</v>
      </c>
      <c r="L19" s="16">
        <v>2.2008079999999999</v>
      </c>
      <c r="M19" s="16">
        <v>3.4174570000000002</v>
      </c>
      <c r="N19" s="16">
        <v>3.8819840000000001</v>
      </c>
      <c r="O19" s="16">
        <v>1.9760230000000001</v>
      </c>
      <c r="P19" s="17">
        <v>3.5035609999999999</v>
      </c>
      <c r="Q19" s="17">
        <v>4.0161879999999996</v>
      </c>
      <c r="R19" s="17">
        <v>1.9575849999999999</v>
      </c>
      <c r="S19" s="17">
        <v>5.1929360000000004</v>
      </c>
      <c r="AP19" s="34"/>
      <c r="AQ19" s="35"/>
      <c r="AR19" s="35"/>
      <c r="AS19" s="35"/>
      <c r="AV19" s="33">
        <v>16</v>
      </c>
      <c r="AW19">
        <f>AP194</f>
        <v>3.0308446250000003</v>
      </c>
      <c r="AX19">
        <v>4.3256317291666662</v>
      </c>
      <c r="AY19">
        <v>5.2062796458333338</v>
      </c>
      <c r="AZ19">
        <v>6.1310064999999998</v>
      </c>
      <c r="BB19" s="33">
        <v>16</v>
      </c>
      <c r="BC19">
        <v>4.2261122291666666</v>
      </c>
      <c r="BD19">
        <v>5.7804945833333328</v>
      </c>
      <c r="BE19">
        <v>7.0600612500000004</v>
      </c>
      <c r="BF19">
        <v>8.0229441249999986</v>
      </c>
      <c r="BH19" s="33">
        <v>16</v>
      </c>
      <c r="BI19">
        <v>3.269608625</v>
      </c>
      <c r="BJ19">
        <v>4.7162738749999988</v>
      </c>
      <c r="BK19">
        <v>6.2846066249999986</v>
      </c>
      <c r="BL19">
        <v>7.3810599166666666</v>
      </c>
      <c r="BN19" s="33">
        <v>16</v>
      </c>
      <c r="BO19">
        <v>5.3797509999999988</v>
      </c>
      <c r="BP19">
        <v>6.917976354166667</v>
      </c>
      <c r="BQ19">
        <v>8.7641045833333351</v>
      </c>
      <c r="BR19">
        <v>10.317193458333332</v>
      </c>
      <c r="BU19" s="33">
        <v>17</v>
      </c>
      <c r="BV19">
        <f t="shared" si="1"/>
        <v>4.7591776406249995</v>
      </c>
      <c r="BW19">
        <f t="shared" si="2"/>
        <v>6.3131355312500004</v>
      </c>
      <c r="BX19">
        <f t="shared" si="3"/>
        <v>5.4779964114583333</v>
      </c>
      <c r="BY19">
        <f t="shared" si="4"/>
        <v>7.9006433177083331</v>
      </c>
      <c r="CB19" s="33">
        <v>17</v>
      </c>
      <c r="CC19">
        <f t="shared" si="5"/>
        <v>0.66695450160976022</v>
      </c>
      <c r="CD19">
        <f t="shared" si="6"/>
        <v>0.81760566247690702</v>
      </c>
      <c r="CE19">
        <f t="shared" si="7"/>
        <v>0.87962140478151507</v>
      </c>
      <c r="CF19">
        <f t="shared" si="8"/>
        <v>1.0767523434719213</v>
      </c>
    </row>
    <row r="20" spans="2:84" x14ac:dyDescent="0.2">
      <c r="B20" s="2">
        <v>43477.814293981479</v>
      </c>
      <c r="C20" s="5">
        <f t="shared" si="9"/>
        <v>1.4999999400000004</v>
      </c>
      <c r="D20" s="14">
        <v>3.0477979999999998</v>
      </c>
      <c r="E20" s="14">
        <v>2.4608880000000002</v>
      </c>
      <c r="F20" s="14">
        <v>3.1000890000000001</v>
      </c>
      <c r="G20" s="14">
        <v>1.5335129999999999</v>
      </c>
      <c r="H20" s="15">
        <v>2.0365449999999998</v>
      </c>
      <c r="I20" s="15">
        <v>2.7316560000000001</v>
      </c>
      <c r="J20" s="15">
        <v>6.2583200000000003</v>
      </c>
      <c r="K20" s="15">
        <v>1.934912</v>
      </c>
      <c r="L20" s="16">
        <v>2.2008079999999999</v>
      </c>
      <c r="M20" s="16">
        <v>3.4174570000000002</v>
      </c>
      <c r="N20" s="16">
        <v>3.8819840000000001</v>
      </c>
      <c r="O20" s="16">
        <v>1.9809939999999999</v>
      </c>
      <c r="P20" s="17">
        <v>3.5035609999999999</v>
      </c>
      <c r="Q20" s="17">
        <v>4.0382179999999996</v>
      </c>
      <c r="R20" s="17">
        <v>1.9644870000000001</v>
      </c>
      <c r="S20" s="17">
        <v>5.222118</v>
      </c>
      <c r="AP20" s="34"/>
      <c r="AQ20" s="35"/>
      <c r="AR20" s="35"/>
      <c r="AS20" s="35"/>
      <c r="AV20" s="33">
        <v>17</v>
      </c>
      <c r="AW20">
        <f>AP206</f>
        <v>3.0841400416666667</v>
      </c>
      <c r="AX20">
        <v>4.4302165000000002</v>
      </c>
      <c r="AY20">
        <v>5.3051244791666665</v>
      </c>
      <c r="AZ20">
        <v>6.2172295416666667</v>
      </c>
      <c r="BB20" s="33">
        <v>17</v>
      </c>
      <c r="BC20">
        <v>4.2662819583333338</v>
      </c>
      <c r="BD20">
        <v>5.8520161041666672</v>
      </c>
      <c r="BE20">
        <v>7.0800166666666673</v>
      </c>
      <c r="BF20">
        <v>8.0542273958333332</v>
      </c>
      <c r="BH20" s="33">
        <v>17</v>
      </c>
      <c r="BI20">
        <v>3.4176080625000003</v>
      </c>
      <c r="BJ20">
        <v>4.746329499999999</v>
      </c>
      <c r="BK20">
        <v>6.3233504166666661</v>
      </c>
      <c r="BL20">
        <v>7.4246976666666669</v>
      </c>
      <c r="BN20" s="33">
        <v>17</v>
      </c>
      <c r="BO20">
        <v>5.4125704375000003</v>
      </c>
      <c r="BP20">
        <v>7.0030291250000012</v>
      </c>
      <c r="BQ20">
        <v>8.8237171041666667</v>
      </c>
      <c r="BR20">
        <v>10.363256604166667</v>
      </c>
      <c r="BU20" s="33">
        <v>18</v>
      </c>
      <c r="BV20">
        <f t="shared" si="1"/>
        <v>4.846553619791667</v>
      </c>
      <c r="BW20">
        <f t="shared" si="2"/>
        <v>6.3558829479166672</v>
      </c>
      <c r="BX20">
        <f t="shared" si="3"/>
        <v>5.5755906979166667</v>
      </c>
      <c r="BY20">
        <f t="shared" si="4"/>
        <v>7.9496874479166664</v>
      </c>
      <c r="CB20" s="33">
        <v>18</v>
      </c>
      <c r="CC20">
        <f t="shared" si="5"/>
        <v>0.67629380579380782</v>
      </c>
      <c r="CD20">
        <f t="shared" si="6"/>
        <v>0.81063398213088045</v>
      </c>
      <c r="CE20">
        <f t="shared" si="7"/>
        <v>0.87472719123287213</v>
      </c>
      <c r="CF20">
        <f t="shared" si="8"/>
        <v>1.0817644579584917</v>
      </c>
    </row>
    <row r="21" spans="2:84" x14ac:dyDescent="0.2">
      <c r="B21" s="2">
        <v>43477.817766203705</v>
      </c>
      <c r="C21" s="5">
        <f t="shared" si="9"/>
        <v>1.5833332700000005</v>
      </c>
      <c r="D21" s="14">
        <v>3.0508739999999999</v>
      </c>
      <c r="E21" s="14">
        <v>2.4623529999999998</v>
      </c>
      <c r="F21" s="14">
        <v>3.1023070000000001</v>
      </c>
      <c r="G21" s="14">
        <v>1.5344819999999999</v>
      </c>
      <c r="H21" s="15">
        <v>2.03912</v>
      </c>
      <c r="I21" s="15">
        <v>2.7316560000000001</v>
      </c>
      <c r="J21" s="15">
        <v>6.2707660000000001</v>
      </c>
      <c r="K21" s="15">
        <v>1.9377009999999999</v>
      </c>
      <c r="L21" s="16">
        <v>2.2008079999999999</v>
      </c>
      <c r="M21" s="16">
        <v>3.4174570000000002</v>
      </c>
      <c r="N21" s="16">
        <v>3.8819840000000001</v>
      </c>
      <c r="O21" s="16">
        <v>1.985965</v>
      </c>
      <c r="P21" s="17">
        <v>3.5035609999999999</v>
      </c>
      <c r="Q21" s="17">
        <v>4.0602479999999996</v>
      </c>
      <c r="R21" s="17">
        <v>1.9713890000000001</v>
      </c>
      <c r="S21" s="17">
        <v>5.2513009999999998</v>
      </c>
      <c r="AP21" s="34"/>
      <c r="AQ21" s="35"/>
      <c r="AR21" s="35"/>
      <c r="AS21" s="35"/>
      <c r="AV21" s="33">
        <v>18</v>
      </c>
      <c r="AW21">
        <f>AP218</f>
        <v>3.1588656458333335</v>
      </c>
      <c r="AX21">
        <v>4.4926803958333341</v>
      </c>
      <c r="AY21">
        <v>5.4031269791666663</v>
      </c>
      <c r="AZ21">
        <v>6.3315414583333336</v>
      </c>
      <c r="BB21" s="33">
        <v>18</v>
      </c>
      <c r="BC21">
        <v>4.3163083333333336</v>
      </c>
      <c r="BD21">
        <v>5.9234103749999996</v>
      </c>
      <c r="BE21">
        <v>7.1004171458333332</v>
      </c>
      <c r="BF21">
        <v>8.0833959375000006</v>
      </c>
      <c r="BH21" s="33">
        <v>18</v>
      </c>
      <c r="BI21">
        <v>3.594875270833334</v>
      </c>
      <c r="BJ21">
        <v>4.746329499999999</v>
      </c>
      <c r="BK21">
        <v>6.4225109791666668</v>
      </c>
      <c r="BL21">
        <v>7.5386470416666675</v>
      </c>
      <c r="BN21" s="33">
        <v>18</v>
      </c>
      <c r="BO21">
        <v>5.4213190833333327</v>
      </c>
      <c r="BP21">
        <v>7.0892304166666671</v>
      </c>
      <c r="BQ21">
        <v>8.8800744791666659</v>
      </c>
      <c r="BR21">
        <v>10.4081258125</v>
      </c>
      <c r="BU21" s="33">
        <v>19</v>
      </c>
      <c r="BV21">
        <f t="shared" si="1"/>
        <v>4.9277571718750011</v>
      </c>
      <c r="BW21">
        <f t="shared" si="2"/>
        <v>6.4032731510416667</v>
      </c>
      <c r="BX21">
        <f t="shared" si="3"/>
        <v>5.6461421406249999</v>
      </c>
      <c r="BY21">
        <f t="shared" si="4"/>
        <v>8.0028486718750003</v>
      </c>
      <c r="CB21" s="33">
        <v>19</v>
      </c>
      <c r="CC21">
        <f t="shared" si="5"/>
        <v>0.66952552009044786</v>
      </c>
      <c r="CD21">
        <f t="shared" si="6"/>
        <v>0.80445478116006575</v>
      </c>
      <c r="CE21">
        <f t="shared" si="7"/>
        <v>0.88502405458369937</v>
      </c>
      <c r="CF21">
        <f t="shared" si="8"/>
        <v>1.0847164723235478</v>
      </c>
    </row>
    <row r="22" spans="2:84" x14ac:dyDescent="0.2">
      <c r="B22" s="2">
        <v>43477.821238425924</v>
      </c>
      <c r="C22" s="5">
        <f t="shared" si="9"/>
        <v>1.6666666000000006</v>
      </c>
      <c r="D22" s="14">
        <v>3.0539489999999998</v>
      </c>
      <c r="E22" s="14">
        <v>2.464337</v>
      </c>
      <c r="F22" s="14">
        <v>3.1045240000000001</v>
      </c>
      <c r="G22" s="14">
        <v>1.5361629999999999</v>
      </c>
      <c r="H22" s="15">
        <v>2.0416949999999998</v>
      </c>
      <c r="I22" s="15">
        <v>2.7316560000000001</v>
      </c>
      <c r="J22" s="15">
        <v>6.2832109999999997</v>
      </c>
      <c r="K22" s="15">
        <v>1.940491</v>
      </c>
      <c r="L22" s="16">
        <v>2.2008079999999999</v>
      </c>
      <c r="M22" s="16">
        <v>3.4174570000000002</v>
      </c>
      <c r="N22" s="16">
        <v>3.8819840000000001</v>
      </c>
      <c r="O22" s="16">
        <v>1.990936</v>
      </c>
      <c r="P22" s="17">
        <v>3.5035609999999999</v>
      </c>
      <c r="Q22" s="17">
        <v>4.0822779999999996</v>
      </c>
      <c r="R22" s="17">
        <v>1.978291</v>
      </c>
      <c r="S22" s="17">
        <v>5.2804830000000003</v>
      </c>
      <c r="AP22" s="34"/>
      <c r="AQ22" s="35"/>
      <c r="AR22" s="35"/>
      <c r="AS22" s="35"/>
      <c r="AV22" s="33">
        <v>19</v>
      </c>
      <c r="AW22">
        <f>AP230</f>
        <v>3.2602162708333333</v>
      </c>
      <c r="AX22">
        <v>4.552987916666666</v>
      </c>
      <c r="AY22">
        <v>5.5173377916666677</v>
      </c>
      <c r="AZ22">
        <v>6.3804867083333345</v>
      </c>
      <c r="BB22" s="33">
        <v>19</v>
      </c>
      <c r="BC22">
        <v>4.3661559583333327</v>
      </c>
      <c r="BD22">
        <v>6.0058077708333339</v>
      </c>
      <c r="BE22">
        <v>7.123398166666667</v>
      </c>
      <c r="BF22">
        <v>8.1177307083333332</v>
      </c>
      <c r="BH22" s="33">
        <v>19</v>
      </c>
      <c r="BI22">
        <v>3.6714894583333337</v>
      </c>
      <c r="BJ22">
        <v>4.754859166666666</v>
      </c>
      <c r="BK22">
        <v>6.5319451041666667</v>
      </c>
      <c r="BL22">
        <v>7.6262748333333334</v>
      </c>
      <c r="BN22" s="33">
        <v>19</v>
      </c>
      <c r="BO22">
        <v>5.4509752499999999</v>
      </c>
      <c r="BP22">
        <v>7.1644228749999996</v>
      </c>
      <c r="BQ22">
        <v>8.9373282708333335</v>
      </c>
      <c r="BR22">
        <v>10.458668291666667</v>
      </c>
      <c r="BU22" s="33">
        <v>20</v>
      </c>
      <c r="BV22">
        <f t="shared" si="1"/>
        <v>5.0187500885416672</v>
      </c>
      <c r="BW22">
        <f t="shared" si="2"/>
        <v>6.4641730104166664</v>
      </c>
      <c r="BX22">
        <f t="shared" si="3"/>
        <v>5.7644485833333334</v>
      </c>
      <c r="BY22">
        <f t="shared" si="4"/>
        <v>8.0615679427083347</v>
      </c>
      <c r="CB22" s="33">
        <v>20</v>
      </c>
      <c r="CC22">
        <f t="shared" si="5"/>
        <v>0.66685632404828976</v>
      </c>
      <c r="CD22">
        <f t="shared" si="6"/>
        <v>0.81004643566228973</v>
      </c>
      <c r="CE22">
        <f t="shared" si="7"/>
        <v>0.87289009469668744</v>
      </c>
      <c r="CF22">
        <f t="shared" si="8"/>
        <v>1.0819328019897756</v>
      </c>
    </row>
    <row r="23" spans="2:84" x14ac:dyDescent="0.2">
      <c r="B23" s="2">
        <v>43477.82471064815</v>
      </c>
      <c r="C23" s="5">
        <f t="shared" si="9"/>
        <v>1.7499999300000006</v>
      </c>
      <c r="D23" s="14">
        <v>3.0570249999999999</v>
      </c>
      <c r="E23" s="14">
        <v>2.4666260000000002</v>
      </c>
      <c r="F23" s="14">
        <v>3.106741</v>
      </c>
      <c r="G23" s="14">
        <v>1.537844</v>
      </c>
      <c r="H23" s="15">
        <v>2.04427</v>
      </c>
      <c r="I23" s="15">
        <v>2.7316560000000001</v>
      </c>
      <c r="J23" s="15">
        <v>6.2956570000000003</v>
      </c>
      <c r="K23" s="15">
        <v>1.9432799999999999</v>
      </c>
      <c r="L23" s="16">
        <v>2.2008079999999999</v>
      </c>
      <c r="M23" s="16">
        <v>3.4174570000000002</v>
      </c>
      <c r="N23" s="16">
        <v>3.8819840000000001</v>
      </c>
      <c r="O23" s="16">
        <v>1.9959070000000001</v>
      </c>
      <c r="P23" s="17">
        <v>3.5035609999999999</v>
      </c>
      <c r="Q23" s="17">
        <v>4.1043079999999996</v>
      </c>
      <c r="R23" s="17">
        <v>1.985193</v>
      </c>
      <c r="S23" s="17">
        <v>5.309666</v>
      </c>
      <c r="AP23" s="34"/>
      <c r="AQ23" s="35"/>
      <c r="AR23" s="35"/>
      <c r="AS23" s="35"/>
      <c r="AV23" s="33">
        <v>20</v>
      </c>
      <c r="AW23">
        <f>AP242</f>
        <v>3.3751825000000002</v>
      </c>
      <c r="AX23">
        <v>4.6093385833333338</v>
      </c>
      <c r="AY23">
        <v>5.6209316666666664</v>
      </c>
      <c r="AZ23">
        <v>6.4695476041666655</v>
      </c>
      <c r="BB23" s="33">
        <v>20</v>
      </c>
      <c r="BC23">
        <v>4.4107841249999993</v>
      </c>
      <c r="BD23">
        <v>6.075770958333333</v>
      </c>
      <c r="BE23">
        <v>7.1723945208333344</v>
      </c>
      <c r="BF23">
        <v>8.1977424375000005</v>
      </c>
      <c r="BH23" s="33">
        <v>20</v>
      </c>
      <c r="BI23">
        <v>3.8490621875</v>
      </c>
      <c r="BJ23">
        <v>4.8439764999999992</v>
      </c>
      <c r="BK23">
        <v>6.6318213541666671</v>
      </c>
      <c r="BL23">
        <v>7.7329342916666679</v>
      </c>
      <c r="BN23" s="33">
        <v>20</v>
      </c>
      <c r="BO23">
        <v>5.5138118958333333</v>
      </c>
      <c r="BP23">
        <v>7.2266571875000007</v>
      </c>
      <c r="BQ23">
        <v>8.9987167291666683</v>
      </c>
      <c r="BR23">
        <v>10.507085958333333</v>
      </c>
      <c r="BU23" s="33">
        <v>21</v>
      </c>
      <c r="BV23">
        <f t="shared" si="1"/>
        <v>5.1169990416666664</v>
      </c>
      <c r="BW23">
        <f t="shared" si="2"/>
        <v>6.559624109375001</v>
      </c>
      <c r="BX23">
        <f t="shared" si="3"/>
        <v>5.9049003281250005</v>
      </c>
      <c r="BY23">
        <f t="shared" si="4"/>
        <v>8.1229160104166667</v>
      </c>
      <c r="CB23" s="33">
        <v>21</v>
      </c>
      <c r="CC23">
        <f t="shared" si="5"/>
        <v>0.67689372692817806</v>
      </c>
      <c r="CD23">
        <f t="shared" si="6"/>
        <v>0.83614258985749734</v>
      </c>
      <c r="CE23">
        <f t="shared" si="7"/>
        <v>0.85357612063327171</v>
      </c>
      <c r="CF23">
        <f t="shared" si="8"/>
        <v>1.0787734550308947</v>
      </c>
    </row>
    <row r="24" spans="2:84" x14ac:dyDescent="0.2">
      <c r="B24" s="2">
        <v>43477.828182870369</v>
      </c>
      <c r="C24" s="5">
        <f t="shared" si="9"/>
        <v>1.8333332600000007</v>
      </c>
      <c r="D24" s="14">
        <v>3.0600999999999998</v>
      </c>
      <c r="E24" s="14">
        <v>2.468915</v>
      </c>
      <c r="F24" s="14">
        <v>3.1089579999999999</v>
      </c>
      <c r="G24" s="14">
        <v>1.539525</v>
      </c>
      <c r="H24" s="15">
        <v>2.0448279999999999</v>
      </c>
      <c r="I24" s="15">
        <v>2.7316560000000001</v>
      </c>
      <c r="J24" s="15">
        <v>6.3081019999999999</v>
      </c>
      <c r="K24" s="15">
        <v>1.94607</v>
      </c>
      <c r="L24" s="16">
        <v>2.2008079999999999</v>
      </c>
      <c r="M24" s="16">
        <v>3.4174570000000002</v>
      </c>
      <c r="N24" s="16">
        <v>3.8819840000000001</v>
      </c>
      <c r="O24" s="16">
        <v>2.0008840000000001</v>
      </c>
      <c r="P24" s="17">
        <v>3.5035609999999999</v>
      </c>
      <c r="Q24" s="17">
        <v>4.1263379999999996</v>
      </c>
      <c r="R24" s="17">
        <v>1.9920960000000001</v>
      </c>
      <c r="S24" s="17">
        <v>5.3388479999999996</v>
      </c>
      <c r="AP24" s="34"/>
      <c r="AQ24" s="35"/>
      <c r="AR24" s="35"/>
      <c r="AS24" s="35"/>
      <c r="AV24" s="33">
        <v>21</v>
      </c>
      <c r="AW24">
        <f>AP254</f>
        <v>3.4663315833333339</v>
      </c>
      <c r="AX24">
        <v>4.6736032500000011</v>
      </c>
      <c r="AY24">
        <v>5.7256426666666655</v>
      </c>
      <c r="AZ24">
        <v>6.6024186666666669</v>
      </c>
      <c r="BB24" s="33">
        <v>21</v>
      </c>
      <c r="BC24">
        <v>4.4518706041666665</v>
      </c>
      <c r="BD24">
        <v>6.1348994166666673</v>
      </c>
      <c r="BE24">
        <v>7.2967723124999999</v>
      </c>
      <c r="BF24">
        <v>8.3549541041666675</v>
      </c>
      <c r="BH24" s="33">
        <v>21</v>
      </c>
      <c r="BI24">
        <v>4.0567753750000008</v>
      </c>
      <c r="BJ24">
        <v>4.9847617291666664</v>
      </c>
      <c r="BK24">
        <v>6.7192760625000014</v>
      </c>
      <c r="BL24">
        <v>7.8587881458333335</v>
      </c>
      <c r="BN24" s="33">
        <v>21</v>
      </c>
      <c r="BO24">
        <v>5.6015804375000009</v>
      </c>
      <c r="BP24">
        <v>7.2536820625000011</v>
      </c>
      <c r="BQ24">
        <v>9.0751178541666668</v>
      </c>
      <c r="BR24">
        <v>10.561283687500001</v>
      </c>
      <c r="BU24" s="33">
        <v>22</v>
      </c>
      <c r="BV24">
        <f t="shared" si="1"/>
        <v>5.1864747135416671</v>
      </c>
      <c r="BW24">
        <f t="shared" si="2"/>
        <v>6.6687274427083327</v>
      </c>
      <c r="BX24">
        <f t="shared" si="3"/>
        <v>6.0282319791666676</v>
      </c>
      <c r="BY24">
        <f t="shared" si="4"/>
        <v>8.1656443645833328</v>
      </c>
      <c r="CB24" s="33">
        <v>22</v>
      </c>
      <c r="CC24">
        <f t="shared" si="5"/>
        <v>0.68165258148710728</v>
      </c>
      <c r="CD24">
        <f t="shared" si="6"/>
        <v>0.83861115742864467</v>
      </c>
      <c r="CE24">
        <f t="shared" si="7"/>
        <v>0.83163685623227213</v>
      </c>
      <c r="CF24">
        <f t="shared" si="8"/>
        <v>1.0847667363588454</v>
      </c>
    </row>
    <row r="25" spans="2:84" x14ac:dyDescent="0.2">
      <c r="B25" s="2">
        <v>43477.831655092596</v>
      </c>
      <c r="C25" s="5">
        <f t="shared" si="9"/>
        <v>1.9166665900000008</v>
      </c>
      <c r="D25" s="14">
        <v>3.0631759999999999</v>
      </c>
      <c r="E25" s="14">
        <v>2.471203</v>
      </c>
      <c r="F25" s="14">
        <v>3.1111759999999999</v>
      </c>
      <c r="G25" s="14">
        <v>1.5412060000000001</v>
      </c>
      <c r="H25" s="15">
        <v>2.0463879999999999</v>
      </c>
      <c r="I25" s="15">
        <v>2.7316560000000001</v>
      </c>
      <c r="J25" s="15">
        <v>6.3205479999999996</v>
      </c>
      <c r="K25" s="15">
        <v>1.9488589999999999</v>
      </c>
      <c r="L25" s="16">
        <v>2.2008079999999999</v>
      </c>
      <c r="M25" s="16">
        <v>3.4174570000000002</v>
      </c>
      <c r="N25" s="16">
        <v>3.8819840000000001</v>
      </c>
      <c r="O25" s="16">
        <v>2.0058910000000001</v>
      </c>
      <c r="P25" s="17">
        <v>3.5035609999999999</v>
      </c>
      <c r="Q25" s="17">
        <v>4.1483670000000004</v>
      </c>
      <c r="R25" s="17">
        <v>1.9989980000000001</v>
      </c>
      <c r="S25" s="17">
        <v>5.3680310000000002</v>
      </c>
      <c r="AP25" s="34"/>
      <c r="AQ25" s="35"/>
      <c r="AR25" s="35"/>
      <c r="AS25" s="35"/>
      <c r="AV25" s="33">
        <v>22</v>
      </c>
      <c r="AW25">
        <f>AP266</f>
        <v>3.5138585625000012</v>
      </c>
      <c r="AX25">
        <v>4.7603286458333338</v>
      </c>
      <c r="AY25">
        <v>5.7919210208333336</v>
      </c>
      <c r="AZ25">
        <v>6.6797906249999999</v>
      </c>
      <c r="BB25" s="33">
        <v>22</v>
      </c>
      <c r="BC25">
        <v>4.5368211875000002</v>
      </c>
      <c r="BD25">
        <v>6.2632709999999996</v>
      </c>
      <c r="BE25">
        <v>7.4320870416666649</v>
      </c>
      <c r="BF25">
        <v>8.4427305416666663</v>
      </c>
      <c r="BH25" s="33">
        <v>22</v>
      </c>
      <c r="BI25">
        <v>4.2173818958333333</v>
      </c>
      <c r="BJ25">
        <v>5.1547782083333331</v>
      </c>
      <c r="BK25">
        <v>6.7982846041666676</v>
      </c>
      <c r="BL25">
        <v>7.9424832083333339</v>
      </c>
      <c r="BN25" s="33">
        <v>22</v>
      </c>
      <c r="BO25">
        <v>5.6198907499999997</v>
      </c>
      <c r="BP25">
        <v>7.3052203333333345</v>
      </c>
      <c r="BQ25">
        <v>9.127648708333334</v>
      </c>
      <c r="BR25">
        <v>10.609817666666666</v>
      </c>
      <c r="BU25" s="33">
        <v>23</v>
      </c>
      <c r="BV25">
        <f t="shared" si="1"/>
        <v>5.2394894010416664</v>
      </c>
      <c r="BW25">
        <f t="shared" si="2"/>
        <v>6.7585981250000007</v>
      </c>
      <c r="BX25">
        <f t="shared" si="3"/>
        <v>6.1584245729166671</v>
      </c>
      <c r="BY25">
        <f t="shared" si="4"/>
        <v>8.2231486979166668</v>
      </c>
      <c r="CB25" s="33">
        <v>23</v>
      </c>
      <c r="CC25">
        <f t="shared" si="5"/>
        <v>0.68245756967671667</v>
      </c>
      <c r="CD25">
        <f t="shared" si="6"/>
        <v>0.82811821995444834</v>
      </c>
      <c r="CE25">
        <f t="shared" si="7"/>
        <v>0.81823809407575454</v>
      </c>
      <c r="CF25">
        <f t="shared" si="8"/>
        <v>1.0839789792591012</v>
      </c>
    </row>
    <row r="26" spans="2:84" x14ac:dyDescent="0.2">
      <c r="B26" s="2">
        <v>43477.835127314815</v>
      </c>
      <c r="C26" s="5">
        <f t="shared" si="9"/>
        <v>1.9999999200000009</v>
      </c>
      <c r="D26" s="14">
        <v>3.066252</v>
      </c>
      <c r="E26" s="14">
        <v>2.4734919999999998</v>
      </c>
      <c r="F26" s="14">
        <v>3.1133929999999999</v>
      </c>
      <c r="G26" s="14">
        <v>1.5421240000000001</v>
      </c>
      <c r="H26" s="15">
        <v>2.0488919999999999</v>
      </c>
      <c r="I26" s="15">
        <v>2.7316560000000001</v>
      </c>
      <c r="J26" s="15">
        <v>6.3329930000000001</v>
      </c>
      <c r="K26" s="15">
        <v>1.951649</v>
      </c>
      <c r="L26" s="16">
        <v>2.2008079999999999</v>
      </c>
      <c r="M26" s="16">
        <v>3.4174570000000002</v>
      </c>
      <c r="N26" s="16">
        <v>3.8819840000000001</v>
      </c>
      <c r="O26" s="16">
        <v>2.0108980000000001</v>
      </c>
      <c r="P26" s="17">
        <v>3.5124309999999999</v>
      </c>
      <c r="Q26" s="17">
        <v>4.1703970000000004</v>
      </c>
      <c r="R26" s="17">
        <v>2.0059309999999999</v>
      </c>
      <c r="S26" s="17">
        <v>5.3972129999999998</v>
      </c>
      <c r="V26" s="25">
        <v>2</v>
      </c>
      <c r="W26">
        <f>AVERAGE(D15:D26)</f>
        <v>3.0493358333333336</v>
      </c>
      <c r="X26">
        <f t="shared" ref="X26:AK26" si="11">AVERAGE(E15:E26)</f>
        <v>2.4614936666666667</v>
      </c>
      <c r="Y26">
        <f t="shared" si="11"/>
        <v>3.101197916666667</v>
      </c>
      <c r="Z26">
        <f t="shared" si="11"/>
        <v>1.5360351666666665</v>
      </c>
      <c r="AA26">
        <f t="shared" si="11"/>
        <v>2.0371531666666667</v>
      </c>
      <c r="AB26">
        <f t="shared" si="11"/>
        <v>2.7316560000000005</v>
      </c>
      <c r="AC26">
        <f t="shared" si="11"/>
        <v>6.2665204166666664</v>
      </c>
      <c r="AD26">
        <f t="shared" si="11"/>
        <v>1.9363064999999999</v>
      </c>
      <c r="AE26">
        <f t="shared" si="11"/>
        <v>2.2008079999999994</v>
      </c>
      <c r="AF26">
        <f t="shared" si="11"/>
        <v>3.4174569999999993</v>
      </c>
      <c r="AG26">
        <f t="shared" si="11"/>
        <v>3.8819840000000005</v>
      </c>
      <c r="AH26">
        <f t="shared" si="11"/>
        <v>1.9843930833333336</v>
      </c>
      <c r="AI26">
        <f t="shared" si="11"/>
        <v>3.5043001666666669</v>
      </c>
      <c r="AJ26">
        <f t="shared" si="11"/>
        <v>4.0491909166666664</v>
      </c>
      <c r="AK26">
        <f t="shared" si="11"/>
        <v>1.9679405000000001</v>
      </c>
      <c r="AL26">
        <f>AVERAGE(S15:S26)</f>
        <v>5.2367096666666662</v>
      </c>
      <c r="AO26" s="25">
        <v>2</v>
      </c>
      <c r="AP26" s="34">
        <f>AVERAGE(W26:Z26)</f>
        <v>2.5370156458333333</v>
      </c>
      <c r="AQ26" s="35">
        <f>AVERAGE(AA26:AD26)</f>
        <v>3.2429090208333333</v>
      </c>
      <c r="AR26" s="35">
        <f>AVERAGE(AE26:AH26)</f>
        <v>2.8711605208333335</v>
      </c>
      <c r="AS26" s="35">
        <f>AVERAGE(AI26:AL26)</f>
        <v>3.6895353124999999</v>
      </c>
      <c r="AV26" s="33">
        <v>23</v>
      </c>
      <c r="AW26">
        <f>AP278</f>
        <v>3.5567105208333341</v>
      </c>
      <c r="AX26">
        <v>4.8372605416666667</v>
      </c>
      <c r="AY26">
        <v>5.822744666666666</v>
      </c>
      <c r="AZ26">
        <v>6.7412418750000001</v>
      </c>
      <c r="BB26" s="33">
        <v>23</v>
      </c>
      <c r="BC26">
        <v>4.6509103958333338</v>
      </c>
      <c r="BD26">
        <v>6.3698761250000011</v>
      </c>
      <c r="BE26">
        <v>7.4969626666666658</v>
      </c>
      <c r="BF26">
        <v>8.5166433125000012</v>
      </c>
      <c r="BH26" s="33">
        <v>23</v>
      </c>
      <c r="BI26">
        <v>4.354289416666667</v>
      </c>
      <c r="BJ26">
        <v>5.3490766250000004</v>
      </c>
      <c r="BK26">
        <v>6.8697384583333339</v>
      </c>
      <c r="BL26">
        <v>8.0605937916666672</v>
      </c>
      <c r="BN26" s="33">
        <v>23</v>
      </c>
      <c r="BO26">
        <v>5.6692562291666668</v>
      </c>
      <c r="BP26">
        <v>7.3847831458333335</v>
      </c>
      <c r="BQ26">
        <v>9.1705473333333334</v>
      </c>
      <c r="BR26">
        <v>10.668008083333334</v>
      </c>
      <c r="BU26" s="33">
        <v>24</v>
      </c>
      <c r="BV26">
        <f>AVERAGE(AW27:AZ27)</f>
        <v>5.2941162343750001</v>
      </c>
      <c r="BW26">
        <f t="shared" si="2"/>
        <v>6.8519782343750002</v>
      </c>
      <c r="BX26">
        <f t="shared" si="3"/>
        <v>6.2617434218749999</v>
      </c>
      <c r="BY26">
        <f t="shared" si="4"/>
        <v>8.2981110833333336</v>
      </c>
      <c r="CB26" s="33">
        <v>24</v>
      </c>
      <c r="CC26">
        <f t="shared" si="5"/>
        <v>0.68081779534825226</v>
      </c>
      <c r="CD26">
        <f t="shared" si="6"/>
        <v>0.82665467899903611</v>
      </c>
      <c r="CE26">
        <f t="shared" si="7"/>
        <v>0.80030969861229717</v>
      </c>
      <c r="CF26">
        <f t="shared" si="8"/>
        <v>1.0596772145457296</v>
      </c>
    </row>
    <row r="27" spans="2:84" x14ac:dyDescent="0.2">
      <c r="B27" s="2">
        <v>43477.838599537034</v>
      </c>
      <c r="C27" s="5">
        <f t="shared" si="9"/>
        <v>2.0833332500000008</v>
      </c>
      <c r="D27" s="14">
        <v>3.0693269999999999</v>
      </c>
      <c r="E27" s="14">
        <v>2.475781</v>
      </c>
      <c r="F27" s="14">
        <v>3.1156100000000002</v>
      </c>
      <c r="G27" s="14">
        <v>1.5421240000000001</v>
      </c>
      <c r="H27" s="15">
        <v>2.0513949999999999</v>
      </c>
      <c r="I27" s="15">
        <v>2.7316560000000001</v>
      </c>
      <c r="J27" s="15">
        <v>6.3454379999999997</v>
      </c>
      <c r="K27" s="15">
        <v>1.9544379999999999</v>
      </c>
      <c r="L27" s="16">
        <v>2.2008079999999999</v>
      </c>
      <c r="M27" s="16">
        <v>3.4174570000000002</v>
      </c>
      <c r="N27" s="16">
        <v>3.8819840000000001</v>
      </c>
      <c r="O27" s="16">
        <v>2.0159050000000001</v>
      </c>
      <c r="P27" s="17">
        <v>3.5225879999999998</v>
      </c>
      <c r="Q27" s="17">
        <v>4.1924270000000003</v>
      </c>
      <c r="R27" s="17">
        <v>2.0128689999999998</v>
      </c>
      <c r="S27" s="17">
        <v>5.4263950000000003</v>
      </c>
      <c r="AP27" s="34"/>
      <c r="AQ27" s="35"/>
      <c r="AR27" s="35"/>
      <c r="AS27" s="35"/>
      <c r="AV27" s="33">
        <v>24</v>
      </c>
      <c r="AW27">
        <f>AP290</f>
        <v>3.626290458333334</v>
      </c>
      <c r="AX27">
        <v>4.8921359166666667</v>
      </c>
      <c r="AY27">
        <v>5.8407187499999988</v>
      </c>
      <c r="AZ27">
        <v>6.817319812500001</v>
      </c>
      <c r="BB27" s="33">
        <v>24</v>
      </c>
      <c r="BC27">
        <v>4.7704936666666669</v>
      </c>
      <c r="BD27">
        <v>6.4606915416666677</v>
      </c>
      <c r="BE27">
        <v>7.5150779999999999</v>
      </c>
      <c r="BF27">
        <v>8.6616497291666654</v>
      </c>
      <c r="BH27" s="33">
        <v>24</v>
      </c>
      <c r="BI27">
        <v>4.50247025</v>
      </c>
      <c r="BJ27">
        <v>5.4923854166666661</v>
      </c>
      <c r="BK27">
        <v>6.892811145833333</v>
      </c>
      <c r="BL27">
        <v>8.1593068750000004</v>
      </c>
      <c r="BN27" s="33">
        <v>24</v>
      </c>
      <c r="BO27">
        <v>5.8085489375000003</v>
      </c>
      <c r="BP27">
        <v>7.4671239791666677</v>
      </c>
      <c r="BQ27">
        <v>9.2257511875000002</v>
      </c>
      <c r="BR27">
        <v>10.691020229166666</v>
      </c>
      <c r="BU27">
        <v>1</v>
      </c>
      <c r="BV27">
        <v>4.2384831770833333</v>
      </c>
      <c r="BW27">
        <v>5.545074989583334</v>
      </c>
      <c r="BX27">
        <v>4.9768420677083336</v>
      </c>
      <c r="BY27">
        <v>6.5742883750000001</v>
      </c>
      <c r="CB27">
        <v>1</v>
      </c>
      <c r="CC27">
        <v>0.72925367765593863</v>
      </c>
      <c r="CD27">
        <v>0.94686031695601547</v>
      </c>
      <c r="CE27">
        <v>0.85617609334263056</v>
      </c>
      <c r="CF27">
        <v>1.222763118901476</v>
      </c>
    </row>
    <row r="28" spans="2:84" x14ac:dyDescent="0.2">
      <c r="B28" s="2">
        <v>43477.84207175926</v>
      </c>
      <c r="C28" s="5">
        <f t="shared" si="9"/>
        <v>2.1666665800000007</v>
      </c>
      <c r="D28" s="14">
        <v>3.072403</v>
      </c>
      <c r="E28" s="14">
        <v>2.4780700000000002</v>
      </c>
      <c r="F28" s="14">
        <v>3.1178279999999998</v>
      </c>
      <c r="G28" s="14">
        <v>1.5421240000000001</v>
      </c>
      <c r="H28" s="15">
        <v>2.0538979999999998</v>
      </c>
      <c r="I28" s="15">
        <v>2.7316560000000001</v>
      </c>
      <c r="J28" s="15">
        <v>6.3578840000000003</v>
      </c>
      <c r="K28" s="15">
        <v>1.9571350000000001</v>
      </c>
      <c r="L28" s="16">
        <v>2.2008079999999999</v>
      </c>
      <c r="M28" s="16">
        <v>3.4174570000000002</v>
      </c>
      <c r="N28" s="16">
        <v>3.8819840000000001</v>
      </c>
      <c r="O28" s="16">
        <v>2.0209109999999999</v>
      </c>
      <c r="P28" s="17">
        <v>3.5327449999999998</v>
      </c>
      <c r="Q28" s="17">
        <v>4.2144570000000003</v>
      </c>
      <c r="R28" s="17">
        <v>2.0198070000000001</v>
      </c>
      <c r="S28" s="17">
        <v>5.455578</v>
      </c>
      <c r="AP28" s="34"/>
      <c r="AQ28" s="35"/>
      <c r="AR28" s="35"/>
      <c r="AS28" s="35"/>
      <c r="BU28">
        <v>2</v>
      </c>
      <c r="BV28">
        <v>4.2597716302083333</v>
      </c>
      <c r="BW28">
        <v>5.6048969687500003</v>
      </c>
      <c r="BX28">
        <v>5.0106926874999997</v>
      </c>
      <c r="BY28">
        <v>6.6922845625000003</v>
      </c>
      <c r="CB28">
        <v>2</v>
      </c>
      <c r="CC28">
        <v>0.72216026776401931</v>
      </c>
      <c r="CD28">
        <v>0.94855050478468206</v>
      </c>
      <c r="CE28">
        <v>0.86659938273654491</v>
      </c>
      <c r="CF28">
        <v>1.2031819791723255</v>
      </c>
    </row>
    <row r="29" spans="2:84" x14ac:dyDescent="0.2">
      <c r="B29" s="2">
        <v>43477.845543981479</v>
      </c>
      <c r="C29" s="5">
        <f t="shared" si="9"/>
        <v>2.2499999100000005</v>
      </c>
      <c r="D29" s="14">
        <v>3.0754779999999999</v>
      </c>
      <c r="E29" s="14">
        <v>2.480359</v>
      </c>
      <c r="F29" s="14">
        <v>3.1200450000000002</v>
      </c>
      <c r="G29" s="14">
        <v>1.5421240000000001</v>
      </c>
      <c r="H29" s="15">
        <v>2.0564019999999998</v>
      </c>
      <c r="I29" s="15">
        <v>2.7316560000000001</v>
      </c>
      <c r="J29" s="15">
        <v>6.3703289999999999</v>
      </c>
      <c r="K29" s="15">
        <v>1.9571350000000001</v>
      </c>
      <c r="L29" s="16">
        <v>2.2008079999999999</v>
      </c>
      <c r="M29" s="16">
        <v>3.4174570000000002</v>
      </c>
      <c r="N29" s="16">
        <v>3.8819840000000001</v>
      </c>
      <c r="O29" s="16">
        <v>2.0259179999999999</v>
      </c>
      <c r="P29" s="17">
        <v>3.5429010000000001</v>
      </c>
      <c r="Q29" s="17">
        <v>4.2364870000000003</v>
      </c>
      <c r="R29" s="17">
        <v>2.026745</v>
      </c>
      <c r="S29" s="17">
        <v>5.4847599999999996</v>
      </c>
      <c r="AP29" s="34"/>
      <c r="AQ29" s="35"/>
      <c r="AR29" s="35"/>
      <c r="AS29" s="35"/>
      <c r="BU29">
        <v>3</v>
      </c>
      <c r="BV29">
        <v>4.2722242604166665</v>
      </c>
      <c r="BW29">
        <v>5.6541460052083332</v>
      </c>
      <c r="BX29">
        <v>5.0425895468749999</v>
      </c>
      <c r="BY29">
        <v>6.7937622760416669</v>
      </c>
      <c r="CB29">
        <v>3</v>
      </c>
      <c r="CC29">
        <v>0.72032267367413139</v>
      </c>
      <c r="CD29">
        <v>0.93761181890507928</v>
      </c>
      <c r="CE29">
        <v>0.87476034028410043</v>
      </c>
      <c r="CF29">
        <v>1.1820100584822142</v>
      </c>
    </row>
    <row r="30" spans="2:84" x14ac:dyDescent="0.2">
      <c r="B30" s="2">
        <v>43477.849016203705</v>
      </c>
      <c r="C30" s="5">
        <f t="shared" si="9"/>
        <v>2.3333332400000004</v>
      </c>
      <c r="D30" s="14">
        <v>3.078554</v>
      </c>
      <c r="E30" s="14">
        <v>2.482647</v>
      </c>
      <c r="F30" s="14">
        <v>3.1222620000000001</v>
      </c>
      <c r="G30" s="14">
        <v>1.5421240000000001</v>
      </c>
      <c r="H30" s="15">
        <v>2.0589050000000002</v>
      </c>
      <c r="I30" s="15">
        <v>2.7316560000000001</v>
      </c>
      <c r="J30" s="15">
        <v>6.3827749999999996</v>
      </c>
      <c r="K30" s="15">
        <v>1.9571350000000001</v>
      </c>
      <c r="L30" s="16">
        <v>2.2008079999999999</v>
      </c>
      <c r="M30" s="16">
        <v>3.4174570000000002</v>
      </c>
      <c r="N30" s="16">
        <v>3.8819840000000001</v>
      </c>
      <c r="O30" s="16">
        <v>2.0309249999999999</v>
      </c>
      <c r="P30" s="17">
        <v>3.553058</v>
      </c>
      <c r="Q30" s="17">
        <v>4.2585170000000003</v>
      </c>
      <c r="R30" s="17">
        <v>2.0336829999999999</v>
      </c>
      <c r="S30" s="17">
        <v>5.5139430000000003</v>
      </c>
      <c r="AP30" s="34"/>
      <c r="AQ30" s="35"/>
      <c r="AR30" s="35"/>
      <c r="AS30" s="35"/>
      <c r="BU30">
        <v>4</v>
      </c>
      <c r="BV30">
        <v>4.2816116510416666</v>
      </c>
      <c r="BW30">
        <v>5.6937087083333342</v>
      </c>
      <c r="BX30">
        <v>5.0612817604166667</v>
      </c>
      <c r="BY30">
        <v>6.8628989791666672</v>
      </c>
      <c r="CB30">
        <v>4</v>
      </c>
      <c r="CC30">
        <v>0.71728456567406063</v>
      </c>
      <c r="CD30">
        <v>0.93391147950643227</v>
      </c>
      <c r="CE30">
        <v>0.88230902795924926</v>
      </c>
      <c r="CF30">
        <v>1.1690667633314902</v>
      </c>
    </row>
    <row r="31" spans="2:84" x14ac:dyDescent="0.2">
      <c r="B31" s="2">
        <v>43477.852488425924</v>
      </c>
      <c r="C31" s="5">
        <f t="shared" si="9"/>
        <v>2.4166665700000003</v>
      </c>
      <c r="D31" s="14">
        <v>3.0816300000000001</v>
      </c>
      <c r="E31" s="14">
        <v>2.4849359999999998</v>
      </c>
      <c r="F31" s="14">
        <v>3.1244800000000001</v>
      </c>
      <c r="G31" s="14">
        <v>1.5421240000000001</v>
      </c>
      <c r="H31" s="15">
        <v>2.0600649999999998</v>
      </c>
      <c r="I31" s="15">
        <v>2.7316560000000001</v>
      </c>
      <c r="J31" s="15">
        <v>6.3952200000000001</v>
      </c>
      <c r="K31" s="15">
        <v>1.9605049999999999</v>
      </c>
      <c r="L31" s="16">
        <v>2.2008079999999999</v>
      </c>
      <c r="M31" s="16">
        <v>3.4174570000000002</v>
      </c>
      <c r="N31" s="16">
        <v>3.8819840000000001</v>
      </c>
      <c r="O31" s="16">
        <v>2.0359319999999999</v>
      </c>
      <c r="P31" s="17">
        <v>3.563215</v>
      </c>
      <c r="Q31" s="17">
        <v>4.2805470000000003</v>
      </c>
      <c r="R31" s="17">
        <v>2.0406209999999998</v>
      </c>
      <c r="S31" s="17">
        <v>5.5431249999999999</v>
      </c>
      <c r="AP31" s="34"/>
      <c r="AQ31" s="35"/>
      <c r="AR31" s="35"/>
      <c r="AS31" s="35"/>
      <c r="BU31">
        <v>5</v>
      </c>
      <c r="BV31">
        <v>4.2901131406249995</v>
      </c>
      <c r="BW31">
        <v>5.7724128125000007</v>
      </c>
      <c r="BX31">
        <v>5.0792662499999999</v>
      </c>
      <c r="BY31">
        <v>6.9539517447916666</v>
      </c>
      <c r="CB31">
        <v>5</v>
      </c>
      <c r="CC31">
        <v>0.71396634993320152</v>
      </c>
      <c r="CD31">
        <v>0.92858144608227644</v>
      </c>
      <c r="CE31">
        <v>0.88821330806389376</v>
      </c>
      <c r="CF31">
        <v>1.1455953580131921</v>
      </c>
    </row>
    <row r="32" spans="2:84" x14ac:dyDescent="0.2">
      <c r="B32" s="2">
        <v>43477.85596064815</v>
      </c>
      <c r="C32" s="5">
        <f t="shared" si="9"/>
        <v>2.4999999000000002</v>
      </c>
      <c r="D32" s="14">
        <v>3.084705</v>
      </c>
      <c r="E32" s="14">
        <v>2.487225</v>
      </c>
      <c r="F32" s="14">
        <v>3.1266970000000001</v>
      </c>
      <c r="G32" s="14">
        <v>1.5421240000000001</v>
      </c>
      <c r="H32" s="15">
        <v>2.0600649999999998</v>
      </c>
      <c r="I32" s="15">
        <v>2.7316560000000001</v>
      </c>
      <c r="J32" s="15">
        <v>6.4076659999999999</v>
      </c>
      <c r="K32" s="15">
        <v>1.9659409999999999</v>
      </c>
      <c r="L32" s="16">
        <v>2.2008079999999999</v>
      </c>
      <c r="M32" s="16">
        <v>3.4174570000000002</v>
      </c>
      <c r="N32" s="16">
        <v>3.8819840000000001</v>
      </c>
      <c r="O32" s="16">
        <v>2.0409299999999999</v>
      </c>
      <c r="P32" s="17">
        <v>3.5733709999999999</v>
      </c>
      <c r="Q32" s="17">
        <v>4.3025770000000003</v>
      </c>
      <c r="R32" s="17">
        <v>2.0475469999999998</v>
      </c>
      <c r="S32" s="17">
        <v>5.5545059999999999</v>
      </c>
      <c r="AP32" s="34"/>
      <c r="AQ32" s="35"/>
      <c r="AR32" s="35"/>
      <c r="AS32" s="35"/>
      <c r="BU32">
        <v>6</v>
      </c>
      <c r="BV32">
        <v>4.2977326041666668</v>
      </c>
      <c r="BW32">
        <v>5.8370256718750007</v>
      </c>
      <c r="BX32">
        <v>5.0966068489583334</v>
      </c>
      <c r="BY32">
        <v>7.065784395833334</v>
      </c>
      <c r="CB32">
        <v>6</v>
      </c>
      <c r="CC32">
        <v>0.71179846610501696</v>
      </c>
      <c r="CD32">
        <v>0.929685266923719</v>
      </c>
      <c r="CE32">
        <v>0.89330450168403497</v>
      </c>
      <c r="CF32">
        <v>1.1291953107497179</v>
      </c>
    </row>
    <row r="33" spans="2:84" x14ac:dyDescent="0.2">
      <c r="B33" s="2">
        <v>43477.859432870369</v>
      </c>
      <c r="C33" s="5">
        <f t="shared" si="9"/>
        <v>2.58333323</v>
      </c>
      <c r="D33" s="14">
        <v>3.0877810000000001</v>
      </c>
      <c r="E33" s="14">
        <v>2.4895139999999998</v>
      </c>
      <c r="F33" s="14">
        <v>3.1277759999999999</v>
      </c>
      <c r="G33" s="14">
        <v>1.5421240000000001</v>
      </c>
      <c r="H33" s="15">
        <v>2.0600649999999998</v>
      </c>
      <c r="I33" s="15">
        <v>2.7316560000000001</v>
      </c>
      <c r="J33" s="15">
        <v>6.4201110000000003</v>
      </c>
      <c r="K33" s="15">
        <v>1.9695290000000001</v>
      </c>
      <c r="L33" s="16">
        <v>2.2008079999999999</v>
      </c>
      <c r="M33" s="16">
        <v>3.4174570000000002</v>
      </c>
      <c r="N33" s="16">
        <v>3.8819840000000001</v>
      </c>
      <c r="O33" s="16">
        <v>2.0459450000000001</v>
      </c>
      <c r="P33" s="17">
        <v>3.5835279999999998</v>
      </c>
      <c r="Q33" s="17">
        <v>4.3246060000000002</v>
      </c>
      <c r="R33" s="17">
        <v>2.054497</v>
      </c>
      <c r="S33" s="17">
        <v>5.5545059999999999</v>
      </c>
      <c r="AP33" s="34"/>
      <c r="AQ33" s="35"/>
      <c r="AR33" s="35"/>
      <c r="AS33" s="35"/>
      <c r="BU33">
        <v>7</v>
      </c>
      <c r="BV33">
        <v>4.3076197760416663</v>
      </c>
      <c r="BW33">
        <v>5.9156926614583334</v>
      </c>
      <c r="BX33">
        <v>5.1147220468749994</v>
      </c>
      <c r="BY33">
        <v>7.1575598229166673</v>
      </c>
      <c r="CB33">
        <v>7</v>
      </c>
      <c r="CC33">
        <v>0.70961021129913215</v>
      </c>
      <c r="CD33">
        <v>0.92965821233849988</v>
      </c>
      <c r="CE33">
        <v>0.89850436140915957</v>
      </c>
      <c r="CF33">
        <v>1.1383275597452018</v>
      </c>
    </row>
    <row r="34" spans="2:84" x14ac:dyDescent="0.2">
      <c r="B34" s="2">
        <v>43477.862905092596</v>
      </c>
      <c r="C34" s="5">
        <f t="shared" si="9"/>
        <v>2.6666665599999999</v>
      </c>
      <c r="D34" s="14">
        <v>3.0897999999999999</v>
      </c>
      <c r="E34" s="14">
        <v>2.491803</v>
      </c>
      <c r="F34" s="14">
        <v>3.1277759999999999</v>
      </c>
      <c r="G34" s="14">
        <v>1.5421240000000001</v>
      </c>
      <c r="H34" s="15">
        <v>2.0600649999999998</v>
      </c>
      <c r="I34" s="15">
        <v>2.7316560000000001</v>
      </c>
      <c r="J34" s="15">
        <v>6.4267070000000004</v>
      </c>
      <c r="K34" s="15">
        <v>1.969546</v>
      </c>
      <c r="L34" s="16">
        <v>2.2008079999999999</v>
      </c>
      <c r="M34" s="16">
        <v>3.4174570000000002</v>
      </c>
      <c r="N34" s="16">
        <v>3.8819840000000001</v>
      </c>
      <c r="O34" s="16">
        <v>2.0509520000000001</v>
      </c>
      <c r="P34" s="17">
        <v>3.5936840000000001</v>
      </c>
      <c r="Q34" s="17">
        <v>4.3466360000000002</v>
      </c>
      <c r="R34" s="17">
        <v>2.0614349999999999</v>
      </c>
      <c r="S34" s="17">
        <v>5.5545059999999999</v>
      </c>
      <c r="AP34" s="34"/>
      <c r="AQ34" s="35"/>
      <c r="AR34" s="35"/>
      <c r="AS34" s="35"/>
      <c r="BU34">
        <v>8</v>
      </c>
      <c r="BV34">
        <v>4.3223735052083336</v>
      </c>
      <c r="BW34">
        <v>5.9851242239583344</v>
      </c>
      <c r="BX34">
        <v>5.1340717291666662</v>
      </c>
      <c r="BY34">
        <v>7.2518813333333334</v>
      </c>
      <c r="CB34">
        <v>8</v>
      </c>
      <c r="CC34">
        <v>0.70299130210488769</v>
      </c>
      <c r="CD34">
        <v>0.92490148995884558</v>
      </c>
      <c r="CE34">
        <v>0.90098926075353825</v>
      </c>
      <c r="CF34">
        <v>1.1639902473211643</v>
      </c>
    </row>
    <row r="35" spans="2:84" x14ac:dyDescent="0.2">
      <c r="B35" s="2">
        <v>43477.866377314815</v>
      </c>
      <c r="C35" s="5">
        <f t="shared" si="9"/>
        <v>2.7499998899999998</v>
      </c>
      <c r="D35" s="14">
        <v>3.0897999999999999</v>
      </c>
      <c r="E35" s="14">
        <v>2.4940920000000002</v>
      </c>
      <c r="F35" s="14">
        <v>3.1277759999999999</v>
      </c>
      <c r="G35" s="14">
        <v>1.5421240000000001</v>
      </c>
      <c r="H35" s="15">
        <v>2.0600649999999998</v>
      </c>
      <c r="I35" s="15">
        <v>2.7316560000000001</v>
      </c>
      <c r="J35" s="15">
        <v>6.4276530000000003</v>
      </c>
      <c r="K35" s="15">
        <v>1.9699390000000001</v>
      </c>
      <c r="L35" s="16">
        <v>2.2008079999999999</v>
      </c>
      <c r="M35" s="16">
        <v>3.4174570000000002</v>
      </c>
      <c r="N35" s="16">
        <v>3.8819840000000001</v>
      </c>
      <c r="O35" s="16">
        <v>2.053706</v>
      </c>
      <c r="P35" s="17">
        <v>3.6038410000000001</v>
      </c>
      <c r="Q35" s="17">
        <v>4.3686660000000002</v>
      </c>
      <c r="R35" s="17">
        <v>2.0683720000000001</v>
      </c>
      <c r="S35" s="17">
        <v>5.5545059999999999</v>
      </c>
      <c r="AP35" s="34"/>
      <c r="AQ35" s="35"/>
      <c r="AR35" s="35"/>
      <c r="AS35" s="35"/>
      <c r="BU35">
        <v>9</v>
      </c>
      <c r="BV35">
        <v>4.3394089687499999</v>
      </c>
      <c r="BW35">
        <v>6.0462970208333333</v>
      </c>
      <c r="BX35">
        <v>5.1687036458333324</v>
      </c>
      <c r="BY35">
        <v>7.3718584062500003</v>
      </c>
      <c r="CB35">
        <v>9</v>
      </c>
      <c r="CC35">
        <v>0.69489485554537056</v>
      </c>
      <c r="CD35">
        <v>0.9178344006515966</v>
      </c>
      <c r="CE35">
        <v>0.90560750634376896</v>
      </c>
      <c r="CF35">
        <v>1.1859617274817869</v>
      </c>
    </row>
    <row r="36" spans="2:84" x14ac:dyDescent="0.2">
      <c r="B36" s="2">
        <v>43477.869849537034</v>
      </c>
      <c r="C36" s="5">
        <f t="shared" si="9"/>
        <v>2.8333332199999997</v>
      </c>
      <c r="D36" s="14">
        <v>3.0897999999999999</v>
      </c>
      <c r="E36" s="14">
        <v>2.4963799999999998</v>
      </c>
      <c r="F36" s="14">
        <v>3.1280700000000001</v>
      </c>
      <c r="G36" s="14">
        <v>1.5421240000000001</v>
      </c>
      <c r="H36" s="15">
        <v>2.0600649999999998</v>
      </c>
      <c r="I36" s="15">
        <v>2.7316560000000001</v>
      </c>
      <c r="J36" s="15">
        <v>6.4365220000000001</v>
      </c>
      <c r="K36" s="15">
        <v>1.970332</v>
      </c>
      <c r="L36" s="16">
        <v>2.2008079999999999</v>
      </c>
      <c r="M36" s="16">
        <v>3.4174570000000002</v>
      </c>
      <c r="N36" s="16">
        <v>3.8819840000000001</v>
      </c>
      <c r="O36" s="16">
        <v>2.053912</v>
      </c>
      <c r="P36" s="17">
        <v>3.6083440000000002</v>
      </c>
      <c r="Q36" s="17">
        <v>4.3906960000000002</v>
      </c>
      <c r="R36" s="17">
        <v>2.07531</v>
      </c>
      <c r="S36" s="17">
        <v>5.5545059999999999</v>
      </c>
      <c r="AP36" s="34"/>
      <c r="AQ36" s="35"/>
      <c r="AR36" s="35"/>
      <c r="AS36" s="35"/>
      <c r="BU36">
        <v>10</v>
      </c>
      <c r="BV36">
        <v>4.3629078072916663</v>
      </c>
      <c r="BW36">
        <v>6.0716959062500004</v>
      </c>
      <c r="BX36">
        <v>5.1977781145833326</v>
      </c>
      <c r="BY36">
        <v>7.4681106041666663</v>
      </c>
      <c r="CB36">
        <v>10</v>
      </c>
      <c r="CC36">
        <v>0.68446731510095227</v>
      </c>
      <c r="CD36">
        <v>0.91425118426488827</v>
      </c>
      <c r="CE36">
        <v>0.90173430200954896</v>
      </c>
      <c r="CF36">
        <v>1.1565912832921579</v>
      </c>
    </row>
    <row r="37" spans="2:84" x14ac:dyDescent="0.2">
      <c r="B37" s="2">
        <v>43477.87332175926</v>
      </c>
      <c r="C37" s="5">
        <f t="shared" si="9"/>
        <v>2.9166665499999995</v>
      </c>
      <c r="D37" s="14">
        <v>3.0916480000000002</v>
      </c>
      <c r="E37" s="14">
        <v>2.4981200000000001</v>
      </c>
      <c r="F37" s="14">
        <v>3.1290710000000002</v>
      </c>
      <c r="G37" s="14">
        <v>1.5421240000000001</v>
      </c>
      <c r="H37" s="15">
        <v>2.0600649999999998</v>
      </c>
      <c r="I37" s="15">
        <v>2.7316560000000001</v>
      </c>
      <c r="J37" s="15">
        <v>6.445392</v>
      </c>
      <c r="K37" s="15">
        <v>1.970726</v>
      </c>
      <c r="L37" s="16">
        <v>2.2008079999999999</v>
      </c>
      <c r="M37" s="16">
        <v>3.4174570000000002</v>
      </c>
      <c r="N37" s="16">
        <v>3.8819840000000001</v>
      </c>
      <c r="O37" s="16">
        <v>2.0545559999999998</v>
      </c>
      <c r="P37" s="17">
        <v>3.610039</v>
      </c>
      <c r="Q37" s="17">
        <v>4.4127260000000001</v>
      </c>
      <c r="R37" s="17">
        <v>2.0822479999999999</v>
      </c>
      <c r="S37" s="17">
        <v>5.5545059999999999</v>
      </c>
      <c r="AP37" s="34"/>
      <c r="AQ37" s="35"/>
      <c r="AR37" s="35"/>
      <c r="AS37" s="35"/>
      <c r="BU37">
        <v>11</v>
      </c>
      <c r="BV37">
        <v>4.3871711250000001</v>
      </c>
      <c r="BW37">
        <v>6.1217524374999996</v>
      </c>
      <c r="BX37">
        <v>5.2193199010416667</v>
      </c>
      <c r="BY37">
        <v>7.5259837083333334</v>
      </c>
      <c r="CB37">
        <v>11</v>
      </c>
      <c r="CC37">
        <v>0.67592820808462006</v>
      </c>
      <c r="CD37">
        <v>0.89172898906766429</v>
      </c>
      <c r="CE37">
        <v>0.89670292083814784</v>
      </c>
      <c r="CF37">
        <v>1.1403168069122349</v>
      </c>
    </row>
    <row r="38" spans="2:84" x14ac:dyDescent="0.2">
      <c r="B38" s="2">
        <v>43477.876793981479</v>
      </c>
      <c r="C38" s="5">
        <f t="shared" si="9"/>
        <v>2.9999998799999994</v>
      </c>
      <c r="D38" s="14">
        <v>3.0938650000000001</v>
      </c>
      <c r="E38" s="14">
        <v>2.498138</v>
      </c>
      <c r="F38" s="14">
        <v>3.1300720000000002</v>
      </c>
      <c r="G38" s="14">
        <v>1.5421240000000001</v>
      </c>
      <c r="H38" s="15">
        <v>2.0600649999999998</v>
      </c>
      <c r="I38" s="15">
        <v>2.7316560000000001</v>
      </c>
      <c r="J38" s="15">
        <v>6.4542609999999998</v>
      </c>
      <c r="K38" s="15">
        <v>1.9711190000000001</v>
      </c>
      <c r="L38" s="16">
        <v>2.2008079999999999</v>
      </c>
      <c r="M38" s="16">
        <v>3.4174570000000002</v>
      </c>
      <c r="N38" s="16">
        <v>3.8819840000000001</v>
      </c>
      <c r="O38" s="16">
        <v>2.055199</v>
      </c>
      <c r="P38" s="17">
        <v>3.6269909999999999</v>
      </c>
      <c r="Q38" s="17">
        <v>4.4347560000000001</v>
      </c>
      <c r="R38" s="17">
        <v>2.0891860000000002</v>
      </c>
      <c r="S38" s="17">
        <v>5.5545059999999999</v>
      </c>
      <c r="V38" s="25">
        <v>3</v>
      </c>
      <c r="W38">
        <f>AVERAGE(D27:D38)</f>
        <v>3.0837325833333336</v>
      </c>
      <c r="X38">
        <f t="shared" ref="X38:AK38" si="12">AVERAGE(E27:E38)</f>
        <v>2.4880887499999997</v>
      </c>
      <c r="Y38">
        <f t="shared" si="12"/>
        <v>3.1247885833333338</v>
      </c>
      <c r="Z38">
        <f t="shared" si="12"/>
        <v>1.5421240000000001</v>
      </c>
      <c r="AA38">
        <f t="shared" si="12"/>
        <v>2.0584266666666671</v>
      </c>
      <c r="AB38">
        <f t="shared" si="12"/>
        <v>2.7316560000000005</v>
      </c>
      <c r="AC38">
        <f t="shared" si="12"/>
        <v>6.4058298333333328</v>
      </c>
      <c r="AD38">
        <f t="shared" si="12"/>
        <v>1.9644566666666667</v>
      </c>
      <c r="AE38">
        <f t="shared" si="12"/>
        <v>2.2008079999999994</v>
      </c>
      <c r="AF38">
        <f t="shared" si="12"/>
        <v>3.4174569999999993</v>
      </c>
      <c r="AG38">
        <f t="shared" si="12"/>
        <v>3.8819840000000005</v>
      </c>
      <c r="AH38">
        <f t="shared" si="12"/>
        <v>2.0403992500000001</v>
      </c>
      <c r="AI38">
        <f t="shared" si="12"/>
        <v>3.5761920833333334</v>
      </c>
      <c r="AJ38">
        <f>AVERAGE(Q27:Q38)</f>
        <v>4.3135915000000002</v>
      </c>
      <c r="AK38">
        <f t="shared" si="12"/>
        <v>2.0510266666666666</v>
      </c>
      <c r="AL38">
        <f>AVERAGE(S27:S38)</f>
        <v>5.5254452500000015</v>
      </c>
      <c r="AO38" s="25">
        <v>3</v>
      </c>
      <c r="AP38" s="34">
        <f>AVERAGE(W38:Z38)</f>
        <v>2.5596834791666665</v>
      </c>
      <c r="AQ38" s="35">
        <f>AVERAGE(AA38:AD38)</f>
        <v>3.2900922916666668</v>
      </c>
      <c r="AR38" s="35">
        <f>AVERAGE(AE38:AH38)</f>
        <v>2.8851620625000001</v>
      </c>
      <c r="AS38" s="35">
        <f>AVERAGE(AI38:AL38)</f>
        <v>3.8665638750000006</v>
      </c>
      <c r="BU38">
        <v>12</v>
      </c>
      <c r="BV38">
        <v>4.4079089062499994</v>
      </c>
      <c r="BW38">
        <v>6.168297197916667</v>
      </c>
      <c r="BX38">
        <v>5.2402506874999997</v>
      </c>
      <c r="BY38">
        <v>7.5879712656250007</v>
      </c>
      <c r="CB38">
        <v>12</v>
      </c>
      <c r="CC38">
        <v>0.67371124726718334</v>
      </c>
      <c r="CD38">
        <v>0.86303354384986386</v>
      </c>
      <c r="CE38">
        <v>0.89445472970600859</v>
      </c>
      <c r="CF38">
        <v>1.1286950414681427</v>
      </c>
    </row>
    <row r="39" spans="2:84" x14ac:dyDescent="0.2">
      <c r="B39" s="2">
        <v>43477.880266203705</v>
      </c>
      <c r="C39" s="5">
        <f t="shared" si="9"/>
        <v>3.0833332099999993</v>
      </c>
      <c r="D39" s="14">
        <v>3.0960830000000001</v>
      </c>
      <c r="E39" s="14">
        <v>2.5034480000000001</v>
      </c>
      <c r="F39" s="14">
        <v>3.1310739999999999</v>
      </c>
      <c r="G39" s="14">
        <v>1.5421240000000001</v>
      </c>
      <c r="H39" s="15">
        <v>2.0600649999999998</v>
      </c>
      <c r="I39" s="15">
        <v>2.7316560000000001</v>
      </c>
      <c r="J39" s="15">
        <v>6.4631299999999996</v>
      </c>
      <c r="K39" s="15">
        <v>1.9715130000000001</v>
      </c>
      <c r="L39" s="16">
        <v>2.2008079999999999</v>
      </c>
      <c r="M39" s="16">
        <v>3.4174570000000002</v>
      </c>
      <c r="N39" s="16">
        <v>3.8819840000000001</v>
      </c>
      <c r="O39" s="16">
        <v>2.0558429999999999</v>
      </c>
      <c r="P39" s="17">
        <v>3.643942</v>
      </c>
      <c r="Q39" s="17">
        <v>4.4481210000000004</v>
      </c>
      <c r="R39" s="17">
        <v>2.0961240000000001</v>
      </c>
      <c r="S39" s="17">
        <v>5.5545059999999999</v>
      </c>
      <c r="AP39" s="34"/>
      <c r="AQ39" s="35"/>
      <c r="AR39" s="35"/>
      <c r="AS39" s="35"/>
    </row>
    <row r="40" spans="2:84" x14ac:dyDescent="0.2">
      <c r="B40" s="2">
        <v>43477.883738425924</v>
      </c>
      <c r="C40" s="5">
        <f t="shared" si="9"/>
        <v>3.1666665399999991</v>
      </c>
      <c r="D40" s="14">
        <v>3.0983000000000001</v>
      </c>
      <c r="E40" s="14">
        <v>2.508813</v>
      </c>
      <c r="F40" s="14">
        <v>3.1320749999999999</v>
      </c>
      <c r="G40" s="14">
        <v>1.5421240000000001</v>
      </c>
      <c r="H40" s="15">
        <v>2.0600649999999998</v>
      </c>
      <c r="I40" s="15">
        <v>2.7316560000000001</v>
      </c>
      <c r="J40" s="15">
        <v>6.4719990000000003</v>
      </c>
      <c r="K40" s="15">
        <v>1.9719059999999999</v>
      </c>
      <c r="L40" s="16">
        <v>2.2008079999999999</v>
      </c>
      <c r="M40" s="16">
        <v>3.4174570000000002</v>
      </c>
      <c r="N40" s="16">
        <v>3.8819840000000001</v>
      </c>
      <c r="O40" s="16">
        <v>2.0564870000000002</v>
      </c>
      <c r="P40" s="17">
        <v>3.6608939999999999</v>
      </c>
      <c r="Q40" s="17">
        <v>4.4481210000000004</v>
      </c>
      <c r="R40" s="17">
        <v>2.103062</v>
      </c>
      <c r="S40" s="17">
        <v>5.5545059999999999</v>
      </c>
      <c r="AP40" s="34"/>
      <c r="AQ40" s="35"/>
      <c r="AR40" s="35"/>
      <c r="AS40" s="35"/>
    </row>
    <row r="41" spans="2:84" x14ac:dyDescent="0.2">
      <c r="B41" s="2">
        <v>43477.88721064815</v>
      </c>
      <c r="C41" s="5">
        <f t="shared" si="9"/>
        <v>3.249999869999999</v>
      </c>
      <c r="D41" s="14">
        <v>3.100517</v>
      </c>
      <c r="E41" s="14">
        <v>2.5141770000000001</v>
      </c>
      <c r="F41" s="14">
        <v>3.133076</v>
      </c>
      <c r="G41" s="14">
        <v>1.5421240000000001</v>
      </c>
      <c r="H41" s="15">
        <v>2.0600649999999998</v>
      </c>
      <c r="I41" s="15">
        <v>2.7316560000000001</v>
      </c>
      <c r="J41" s="15">
        <v>6.4808680000000001</v>
      </c>
      <c r="K41" s="15">
        <v>1.972299</v>
      </c>
      <c r="L41" s="16">
        <v>2.2008079999999999</v>
      </c>
      <c r="M41" s="16">
        <v>3.4174570000000002</v>
      </c>
      <c r="N41" s="16">
        <v>3.8819840000000001</v>
      </c>
      <c r="O41" s="16">
        <v>2.057131</v>
      </c>
      <c r="P41" s="17">
        <v>3.677845</v>
      </c>
      <c r="Q41" s="17">
        <v>4.4481210000000004</v>
      </c>
      <c r="R41" s="17">
        <v>2.11</v>
      </c>
      <c r="S41" s="17">
        <v>5.5545059999999999</v>
      </c>
      <c r="AP41" s="34"/>
      <c r="AQ41" s="35"/>
      <c r="AR41" s="35"/>
      <c r="AS41" s="35"/>
      <c r="BU41" s="32"/>
      <c r="BV41" s="36"/>
      <c r="BW41" s="37"/>
    </row>
    <row r="42" spans="2:84" x14ac:dyDescent="0.2">
      <c r="B42" s="2">
        <v>43477.890682870369</v>
      </c>
      <c r="C42" s="5">
        <f t="shared" si="9"/>
        <v>3.3333331999999989</v>
      </c>
      <c r="D42" s="14">
        <v>3.102735</v>
      </c>
      <c r="E42" s="14">
        <v>2.5195419999999999</v>
      </c>
      <c r="F42" s="14">
        <v>3.1340780000000001</v>
      </c>
      <c r="G42" s="14">
        <v>1.5421240000000001</v>
      </c>
      <c r="H42" s="15">
        <v>2.0600649999999998</v>
      </c>
      <c r="I42" s="15">
        <v>2.7316560000000001</v>
      </c>
      <c r="J42" s="15">
        <v>6.489738</v>
      </c>
      <c r="K42" s="15">
        <v>1.972693</v>
      </c>
      <c r="L42" s="16">
        <v>2.2008079999999999</v>
      </c>
      <c r="M42" s="16">
        <v>3.4174570000000002</v>
      </c>
      <c r="N42" s="16">
        <v>3.8819840000000001</v>
      </c>
      <c r="O42" s="16">
        <v>2.0577740000000002</v>
      </c>
      <c r="P42" s="17">
        <v>3.6947969999999999</v>
      </c>
      <c r="Q42" s="17">
        <v>4.4481210000000004</v>
      </c>
      <c r="R42" s="17">
        <v>2.1169380000000002</v>
      </c>
      <c r="S42" s="17">
        <v>5.5545059999999999</v>
      </c>
      <c r="AP42" s="34"/>
      <c r="AQ42" s="35"/>
      <c r="AR42" s="35"/>
      <c r="AS42" s="35"/>
      <c r="BU42" s="25"/>
    </row>
    <row r="43" spans="2:84" x14ac:dyDescent="0.2">
      <c r="B43" s="2">
        <v>43477.894155092596</v>
      </c>
      <c r="C43" s="5">
        <f t="shared" si="9"/>
        <v>3.4166665299999988</v>
      </c>
      <c r="D43" s="14">
        <v>3.1049519999999999</v>
      </c>
      <c r="E43" s="14">
        <v>2.5249060000000001</v>
      </c>
      <c r="F43" s="14">
        <v>3.1350790000000002</v>
      </c>
      <c r="G43" s="14">
        <v>1.5421240000000001</v>
      </c>
      <c r="H43" s="15">
        <v>2.0600649999999998</v>
      </c>
      <c r="I43" s="15">
        <v>2.7316560000000001</v>
      </c>
      <c r="J43" s="15">
        <v>6.4986069999999998</v>
      </c>
      <c r="K43" s="15">
        <v>1.9730859999999999</v>
      </c>
      <c r="L43" s="16">
        <v>2.2008079999999999</v>
      </c>
      <c r="M43" s="16">
        <v>3.4174570000000002</v>
      </c>
      <c r="N43" s="16">
        <v>3.8819840000000001</v>
      </c>
      <c r="O43" s="16">
        <v>2.0584180000000001</v>
      </c>
      <c r="P43" s="17">
        <v>3.711748</v>
      </c>
      <c r="Q43" s="17">
        <v>4.4481210000000004</v>
      </c>
      <c r="R43" s="17">
        <v>2.1238760000000001</v>
      </c>
      <c r="S43" s="17">
        <v>5.5545059999999999</v>
      </c>
      <c r="AP43" s="34"/>
      <c r="AQ43" s="35"/>
      <c r="AR43" s="35"/>
      <c r="AS43" s="35"/>
      <c r="BU43" s="25"/>
    </row>
    <row r="44" spans="2:84" x14ac:dyDescent="0.2">
      <c r="B44" s="2">
        <v>43477.897627314815</v>
      </c>
      <c r="C44" s="5">
        <f t="shared" si="9"/>
        <v>3.4999998599999986</v>
      </c>
      <c r="D44" s="14">
        <v>3.1071689999999998</v>
      </c>
      <c r="E44" s="14">
        <v>2.5302709999999999</v>
      </c>
      <c r="F44" s="14">
        <v>3.1360809999999999</v>
      </c>
      <c r="G44" s="14">
        <v>1.5421240000000001</v>
      </c>
      <c r="H44" s="15">
        <v>2.0600649999999998</v>
      </c>
      <c r="I44" s="15">
        <v>2.7316560000000001</v>
      </c>
      <c r="J44" s="15">
        <v>6.5074759999999996</v>
      </c>
      <c r="K44" s="15">
        <v>1.9734799999999999</v>
      </c>
      <c r="L44" s="16">
        <v>2.2008079999999999</v>
      </c>
      <c r="M44" s="16">
        <v>3.4174570000000002</v>
      </c>
      <c r="N44" s="16">
        <v>3.8819840000000001</v>
      </c>
      <c r="O44" s="16">
        <v>2.0590619999999999</v>
      </c>
      <c r="P44" s="17">
        <v>3.7286999999999999</v>
      </c>
      <c r="Q44" s="17">
        <v>4.4481210000000004</v>
      </c>
      <c r="R44" s="17">
        <v>2.130814</v>
      </c>
      <c r="S44" s="17">
        <v>5.573893</v>
      </c>
      <c r="AP44" s="34"/>
      <c r="AQ44" s="35"/>
      <c r="AR44" s="35"/>
      <c r="AS44" s="35"/>
      <c r="BU44" s="25"/>
    </row>
    <row r="45" spans="2:84" x14ac:dyDescent="0.2">
      <c r="B45" s="2">
        <v>43477.901099537034</v>
      </c>
      <c r="C45" s="5">
        <f t="shared" si="9"/>
        <v>3.5833331899999985</v>
      </c>
      <c r="D45" s="14">
        <v>3.1093860000000002</v>
      </c>
      <c r="E45" s="14">
        <v>2.5356350000000001</v>
      </c>
      <c r="F45" s="14">
        <v>3.1370819999999999</v>
      </c>
      <c r="G45" s="14">
        <v>1.5421240000000001</v>
      </c>
      <c r="H45" s="15">
        <v>2.0600649999999998</v>
      </c>
      <c r="I45" s="15">
        <v>2.7316560000000001</v>
      </c>
      <c r="J45" s="15">
        <v>6.5163450000000003</v>
      </c>
      <c r="K45" s="15">
        <v>1.973873</v>
      </c>
      <c r="L45" s="16">
        <v>2.2008079999999999</v>
      </c>
      <c r="M45" s="16">
        <v>3.4174570000000002</v>
      </c>
      <c r="N45" s="16">
        <v>3.8819840000000001</v>
      </c>
      <c r="O45" s="16">
        <v>2.0597050000000001</v>
      </c>
      <c r="P45" s="17">
        <v>3.7456510000000001</v>
      </c>
      <c r="Q45" s="17">
        <v>4.4481210000000004</v>
      </c>
      <c r="R45" s="17">
        <v>2.1377519999999999</v>
      </c>
      <c r="S45" s="17">
        <v>5.597925</v>
      </c>
      <c r="AP45" s="34"/>
      <c r="AQ45" s="35"/>
      <c r="AR45" s="35"/>
      <c r="AS45" s="35"/>
      <c r="BU45" s="33"/>
    </row>
    <row r="46" spans="2:84" x14ac:dyDescent="0.2">
      <c r="B46" s="2">
        <v>43477.90457175926</v>
      </c>
      <c r="C46" s="5">
        <f t="shared" si="9"/>
        <v>3.6666665199999984</v>
      </c>
      <c r="D46" s="14">
        <v>3.1116039999999998</v>
      </c>
      <c r="E46" s="14">
        <v>2.5409989999999998</v>
      </c>
      <c r="F46" s="14">
        <v>3.138083</v>
      </c>
      <c r="G46" s="14">
        <v>1.5421240000000001</v>
      </c>
      <c r="H46" s="15">
        <v>2.0622319999999998</v>
      </c>
      <c r="I46" s="15">
        <v>2.7316560000000001</v>
      </c>
      <c r="J46" s="15">
        <v>6.5252140000000001</v>
      </c>
      <c r="K46" s="15">
        <v>1.9742660000000001</v>
      </c>
      <c r="L46" s="16">
        <v>2.2008079999999999</v>
      </c>
      <c r="M46" s="16">
        <v>3.4174570000000002</v>
      </c>
      <c r="N46" s="16">
        <v>3.8819840000000001</v>
      </c>
      <c r="O46" s="16">
        <v>2.060349</v>
      </c>
      <c r="P46" s="17">
        <v>3.7626029999999999</v>
      </c>
      <c r="Q46" s="17">
        <v>4.4481210000000004</v>
      </c>
      <c r="R46" s="17">
        <v>2.1446900000000002</v>
      </c>
      <c r="S46" s="17">
        <v>5.6219580000000002</v>
      </c>
      <c r="AP46" s="34"/>
      <c r="AQ46" s="35"/>
      <c r="AR46" s="35"/>
      <c r="AS46" s="35"/>
      <c r="BU46" s="33"/>
    </row>
    <row r="47" spans="2:84" x14ac:dyDescent="0.2">
      <c r="B47" s="2">
        <v>43477.908043981479</v>
      </c>
      <c r="C47" s="5">
        <f t="shared" si="9"/>
        <v>3.7499998499999982</v>
      </c>
      <c r="D47" s="14">
        <v>3.1138210000000002</v>
      </c>
      <c r="E47" s="14">
        <v>2.5463640000000001</v>
      </c>
      <c r="F47" s="14">
        <v>3.1390850000000001</v>
      </c>
      <c r="G47" s="14">
        <v>1.5421240000000001</v>
      </c>
      <c r="H47" s="15">
        <v>2.0723880000000001</v>
      </c>
      <c r="I47" s="15">
        <v>2.7316560000000001</v>
      </c>
      <c r="J47" s="15">
        <v>6.5340829999999999</v>
      </c>
      <c r="K47" s="15">
        <v>1.9746600000000001</v>
      </c>
      <c r="L47" s="16">
        <v>2.2008079999999999</v>
      </c>
      <c r="M47" s="16">
        <v>3.4174570000000002</v>
      </c>
      <c r="N47" s="16">
        <v>3.8819840000000001</v>
      </c>
      <c r="O47" s="16">
        <v>2.0609929999999999</v>
      </c>
      <c r="P47" s="17" t="s">
        <v>35</v>
      </c>
      <c r="Q47" s="17">
        <v>4.4481210000000004</v>
      </c>
      <c r="R47" s="17">
        <v>2.1516280000000001</v>
      </c>
      <c r="S47" s="17">
        <v>5.6459900000000003</v>
      </c>
      <c r="AP47" s="34"/>
      <c r="AQ47" s="35"/>
      <c r="AR47" s="35"/>
      <c r="AS47" s="35"/>
      <c r="BU47" s="33"/>
    </row>
    <row r="48" spans="2:84" x14ac:dyDescent="0.2">
      <c r="B48" s="2">
        <v>43477.911516203705</v>
      </c>
      <c r="C48" s="5">
        <f t="shared" si="9"/>
        <v>3.8333331799999981</v>
      </c>
      <c r="D48" s="14">
        <v>3.1160380000000001</v>
      </c>
      <c r="E48" s="14">
        <v>2.5517280000000002</v>
      </c>
      <c r="F48" s="14">
        <v>3.1400860000000002</v>
      </c>
      <c r="G48" s="14">
        <v>1.5421240000000001</v>
      </c>
      <c r="H48" s="15">
        <v>2.0825450000000001</v>
      </c>
      <c r="I48" s="15">
        <v>2.7316560000000001</v>
      </c>
      <c r="J48" s="15">
        <v>6.5429529999999998</v>
      </c>
      <c r="K48" s="15">
        <v>1.9750529999999999</v>
      </c>
      <c r="L48" s="16">
        <v>2.2008079999999999</v>
      </c>
      <c r="M48" s="16">
        <v>3.4174570000000002</v>
      </c>
      <c r="N48" s="16">
        <v>3.8819840000000001</v>
      </c>
      <c r="O48" s="16">
        <v>2.0616370000000002</v>
      </c>
      <c r="P48" s="17">
        <v>3.7965059999999999</v>
      </c>
      <c r="Q48" s="17">
        <v>4.4481210000000004</v>
      </c>
      <c r="R48" s="17">
        <v>2.158566</v>
      </c>
      <c r="S48" s="17">
        <v>5.6700229999999996</v>
      </c>
      <c r="AP48" s="34"/>
      <c r="AQ48" s="35"/>
      <c r="AR48" s="35"/>
      <c r="AS48" s="35"/>
      <c r="BU48" s="33"/>
    </row>
    <row r="49" spans="2:73" x14ac:dyDescent="0.2">
      <c r="B49" s="2">
        <v>43477.914988425924</v>
      </c>
      <c r="C49" s="5">
        <f t="shared" si="9"/>
        <v>3.916666509999998</v>
      </c>
      <c r="D49" s="14">
        <v>3.1182560000000001</v>
      </c>
      <c r="E49" s="14">
        <v>2.5570930000000001</v>
      </c>
      <c r="F49" s="14">
        <v>3.1410870000000002</v>
      </c>
      <c r="G49" s="14">
        <v>1.5421240000000001</v>
      </c>
      <c r="H49" s="15">
        <v>2.0927020000000001</v>
      </c>
      <c r="I49" s="15">
        <v>2.7343959999999998</v>
      </c>
      <c r="J49" s="15">
        <v>6.5518219999999996</v>
      </c>
      <c r="K49" s="15">
        <v>1.975446</v>
      </c>
      <c r="L49" s="16">
        <v>2.2008079999999999</v>
      </c>
      <c r="M49" s="16">
        <v>3.4174570000000002</v>
      </c>
      <c r="N49" s="16">
        <v>3.8819840000000001</v>
      </c>
      <c r="O49" s="16">
        <v>2.0622799999999999</v>
      </c>
      <c r="P49" s="17">
        <v>3.8134579999999998</v>
      </c>
      <c r="Q49" s="17">
        <v>4.4481210000000004</v>
      </c>
      <c r="R49" s="17">
        <v>2.1655039999999999</v>
      </c>
      <c r="S49" s="17">
        <v>5.6940559999999998</v>
      </c>
      <c r="AP49" s="34"/>
      <c r="AQ49" s="35"/>
      <c r="AR49" s="35"/>
      <c r="AS49" s="35"/>
      <c r="BU49" s="33"/>
    </row>
    <row r="50" spans="2:73" x14ac:dyDescent="0.2">
      <c r="B50" s="2">
        <v>43477.91846064815</v>
      </c>
      <c r="C50" s="5">
        <f t="shared" si="9"/>
        <v>3.9999998399999979</v>
      </c>
      <c r="D50" s="14">
        <v>3.1204730000000001</v>
      </c>
      <c r="E50" s="14">
        <v>2.5624570000000002</v>
      </c>
      <c r="F50" s="14">
        <v>3.1420889999999999</v>
      </c>
      <c r="G50" s="14">
        <v>1.5421240000000001</v>
      </c>
      <c r="H50" s="15">
        <v>2.1028579999999999</v>
      </c>
      <c r="I50" s="15">
        <v>2.7392590000000001</v>
      </c>
      <c r="J50" s="15">
        <v>6.5606910000000003</v>
      </c>
      <c r="K50" s="15">
        <v>1.97584</v>
      </c>
      <c r="L50" s="16">
        <v>2.2008079999999999</v>
      </c>
      <c r="M50" s="16">
        <v>3.4189150000000001</v>
      </c>
      <c r="N50" s="16">
        <v>3.8819840000000001</v>
      </c>
      <c r="O50" s="16">
        <v>2.0629240000000002</v>
      </c>
      <c r="P50" s="17">
        <v>3.830409</v>
      </c>
      <c r="Q50" s="17">
        <v>4.4481210000000004</v>
      </c>
      <c r="R50" s="17">
        <v>2.1724420000000002</v>
      </c>
      <c r="S50" s="17">
        <v>5.7180879999999998</v>
      </c>
      <c r="V50" s="25">
        <v>4</v>
      </c>
      <c r="W50">
        <f>AVERAGE(D39:D50)</f>
        <v>3.1082778333333336</v>
      </c>
      <c r="X50">
        <f t="shared" ref="X50:AL50" si="13">AVERAGE(E39:E50)</f>
        <v>2.5329527500000002</v>
      </c>
      <c r="Y50">
        <f t="shared" si="13"/>
        <v>3.1365812500000003</v>
      </c>
      <c r="Z50">
        <f t="shared" si="13"/>
        <v>1.5421240000000001</v>
      </c>
      <c r="AA50">
        <f t="shared" si="13"/>
        <v>2.0694316666666666</v>
      </c>
      <c r="AB50">
        <f t="shared" si="13"/>
        <v>2.7325179166666671</v>
      </c>
      <c r="AC50">
        <f t="shared" si="13"/>
        <v>6.5119104999999999</v>
      </c>
      <c r="AD50">
        <f t="shared" si="13"/>
        <v>1.9736762500000002</v>
      </c>
      <c r="AE50">
        <f t="shared" si="13"/>
        <v>2.2008079999999994</v>
      </c>
      <c r="AF50">
        <f t="shared" si="13"/>
        <v>3.4175784999999994</v>
      </c>
      <c r="AG50">
        <f t="shared" si="13"/>
        <v>3.8819840000000005</v>
      </c>
      <c r="AH50">
        <f t="shared" si="13"/>
        <v>2.0593835833333336</v>
      </c>
      <c r="AI50">
        <f t="shared" si="13"/>
        <v>3.7333229999999999</v>
      </c>
      <c r="AJ50">
        <f t="shared" si="13"/>
        <v>4.4481210000000004</v>
      </c>
      <c r="AK50">
        <f t="shared" si="13"/>
        <v>2.1342829999999999</v>
      </c>
      <c r="AL50">
        <f t="shared" si="13"/>
        <v>5.6078719166666664</v>
      </c>
      <c r="AO50" s="25">
        <v>4</v>
      </c>
      <c r="AP50" s="34">
        <f>AVERAGE(W50:Z50)</f>
        <v>2.5799839583333335</v>
      </c>
      <c r="AQ50" s="35">
        <f>AVERAGE(AA50:AD50)</f>
        <v>3.3218840833333338</v>
      </c>
      <c r="AR50" s="35">
        <f>AVERAGE(AE50:AH50)</f>
        <v>2.8899385208333332</v>
      </c>
      <c r="AS50" s="35">
        <f>AVERAGE(AI50:AL50)</f>
        <v>3.9808997291666666</v>
      </c>
      <c r="BU50" s="33"/>
    </row>
    <row r="51" spans="2:73" x14ac:dyDescent="0.2">
      <c r="B51" s="2">
        <v>43477.921932870369</v>
      </c>
      <c r="C51" s="5">
        <f t="shared" si="9"/>
        <v>4.0833331699999977</v>
      </c>
      <c r="D51" s="14">
        <v>3.12269</v>
      </c>
      <c r="E51" s="14">
        <v>2.567822</v>
      </c>
      <c r="F51" s="14">
        <v>3.1430899999999999</v>
      </c>
      <c r="G51" s="14">
        <v>1.5421240000000001</v>
      </c>
      <c r="H51" s="15">
        <v>2.1130149999999999</v>
      </c>
      <c r="I51" s="15">
        <v>2.7441230000000001</v>
      </c>
      <c r="J51" s="15">
        <v>6.5695600000000001</v>
      </c>
      <c r="K51" s="15">
        <v>1.9762329999999999</v>
      </c>
      <c r="L51" s="16">
        <v>2.2008079999999999</v>
      </c>
      <c r="M51" s="16">
        <v>3.4212030000000002</v>
      </c>
      <c r="N51" s="16">
        <v>3.8819840000000001</v>
      </c>
      <c r="O51" s="16">
        <v>2.0635680000000001</v>
      </c>
      <c r="P51" s="17">
        <v>3.8473609999999998</v>
      </c>
      <c r="Q51" s="17">
        <v>4.4481210000000004</v>
      </c>
      <c r="R51" s="17">
        <v>2.1793800000000001</v>
      </c>
      <c r="S51" s="17">
        <v>5.742121</v>
      </c>
      <c r="AP51" s="34"/>
      <c r="AQ51" s="35"/>
      <c r="AR51" s="35"/>
      <c r="AS51" s="35"/>
      <c r="BU51" s="33"/>
    </row>
    <row r="52" spans="2:73" x14ac:dyDescent="0.2">
      <c r="B52" s="2">
        <v>43477.925405092596</v>
      </c>
      <c r="C52" s="5">
        <f t="shared" si="9"/>
        <v>4.1666664999999981</v>
      </c>
      <c r="D52" s="14">
        <v>3.1249069999999999</v>
      </c>
      <c r="E52" s="14">
        <v>2.572489</v>
      </c>
      <c r="F52" s="14">
        <v>3.144091</v>
      </c>
      <c r="G52" s="14">
        <v>1.5421240000000001</v>
      </c>
      <c r="H52" s="15">
        <v>2.1231719999999998</v>
      </c>
      <c r="I52" s="15">
        <v>2.7489870000000001</v>
      </c>
      <c r="J52" s="15">
        <v>6.5784289999999999</v>
      </c>
      <c r="K52" s="15">
        <v>1.9766269999999999</v>
      </c>
      <c r="L52" s="16">
        <v>2.2008079999999999</v>
      </c>
      <c r="M52" s="16">
        <v>3.4224389999999998</v>
      </c>
      <c r="N52" s="16">
        <v>3.8819840000000001</v>
      </c>
      <c r="O52" s="16">
        <v>2.0642119999999999</v>
      </c>
      <c r="P52" s="17">
        <v>3.864312</v>
      </c>
      <c r="Q52" s="17">
        <v>4.4802840000000002</v>
      </c>
      <c r="R52" s="17">
        <v>2.186318</v>
      </c>
      <c r="S52" s="17">
        <v>5.7661530000000001</v>
      </c>
      <c r="AP52" s="34"/>
      <c r="AQ52" s="35"/>
      <c r="AR52" s="35"/>
      <c r="AS52" s="35"/>
      <c r="BU52" s="33"/>
    </row>
    <row r="53" spans="2:73" x14ac:dyDescent="0.2">
      <c r="B53" s="2">
        <v>43477.928877314815</v>
      </c>
      <c r="C53" s="5">
        <f t="shared" si="9"/>
        <v>4.2499998299999984</v>
      </c>
      <c r="D53" s="14">
        <v>3.1268959999999999</v>
      </c>
      <c r="E53" s="14">
        <v>2.572489</v>
      </c>
      <c r="F53" s="14">
        <v>3.1450930000000001</v>
      </c>
      <c r="G53" s="14">
        <v>1.5421240000000001</v>
      </c>
      <c r="H53" s="15">
        <v>2.1333280000000001</v>
      </c>
      <c r="I53" s="15">
        <v>2.7538499999999999</v>
      </c>
      <c r="J53" s="15">
        <v>6.5872979999999997</v>
      </c>
      <c r="K53" s="15">
        <v>1.97702</v>
      </c>
      <c r="L53" s="16">
        <v>2.2008079999999999</v>
      </c>
      <c r="M53" s="16">
        <v>3.4224389999999998</v>
      </c>
      <c r="N53" s="16">
        <v>3.8819840000000001</v>
      </c>
      <c r="O53" s="16">
        <v>2.0648550000000001</v>
      </c>
      <c r="P53" s="17">
        <v>3.8812639999999998</v>
      </c>
      <c r="Q53" s="17">
        <v>4.5206629999999999</v>
      </c>
      <c r="R53" s="17">
        <v>2.1932559999999999</v>
      </c>
      <c r="S53" s="17">
        <v>5.7901860000000003</v>
      </c>
      <c r="AP53" s="34"/>
      <c r="AQ53" s="35"/>
      <c r="AR53" s="35"/>
      <c r="AS53" s="35"/>
      <c r="BU53" s="33"/>
    </row>
    <row r="54" spans="2:73" x14ac:dyDescent="0.2">
      <c r="B54" s="2">
        <v>43477.932349537034</v>
      </c>
      <c r="C54" s="5">
        <f t="shared" si="9"/>
        <v>4.3333331599999987</v>
      </c>
      <c r="D54" s="14">
        <v>3.1268959999999999</v>
      </c>
      <c r="E54" s="14">
        <v>2.5746600000000002</v>
      </c>
      <c r="F54" s="14">
        <v>3.1460940000000002</v>
      </c>
      <c r="G54" s="14">
        <v>1.5421240000000001</v>
      </c>
      <c r="H54" s="15">
        <v>2.1434850000000001</v>
      </c>
      <c r="I54" s="15">
        <v>2.7587139999999999</v>
      </c>
      <c r="J54" s="15">
        <v>6.5961679999999996</v>
      </c>
      <c r="K54" s="15">
        <v>1.9774130000000001</v>
      </c>
      <c r="L54" s="16">
        <v>2.2008079999999999</v>
      </c>
      <c r="M54" s="16">
        <v>3.4224389999999998</v>
      </c>
      <c r="N54" s="16">
        <v>3.8819840000000001</v>
      </c>
      <c r="O54" s="16">
        <v>2.065499</v>
      </c>
      <c r="P54" s="17">
        <v>3.8982160000000001</v>
      </c>
      <c r="Q54" s="17">
        <v>4.5206629999999999</v>
      </c>
      <c r="R54" s="17">
        <v>2.2001940000000002</v>
      </c>
      <c r="S54" s="17">
        <v>5.8142189999999996</v>
      </c>
      <c r="AP54" s="34"/>
      <c r="AQ54" s="35"/>
      <c r="AR54" s="35"/>
      <c r="AS54" s="35"/>
      <c r="BU54" s="33"/>
    </row>
    <row r="55" spans="2:73" x14ac:dyDescent="0.2">
      <c r="B55" s="2">
        <v>43477.93582175926</v>
      </c>
      <c r="C55" s="5">
        <f t="shared" si="9"/>
        <v>4.416666489999999</v>
      </c>
      <c r="D55" s="14">
        <v>3.1268959999999999</v>
      </c>
      <c r="E55" s="14">
        <v>2.57795</v>
      </c>
      <c r="F55" s="14">
        <v>3.1470950000000002</v>
      </c>
      <c r="G55" s="14">
        <v>1.5422480000000001</v>
      </c>
      <c r="H55" s="15">
        <v>2.1536409999999999</v>
      </c>
      <c r="I55" s="15">
        <v>2.7635779999999999</v>
      </c>
      <c r="J55" s="15">
        <v>6.6050370000000003</v>
      </c>
      <c r="K55" s="15">
        <v>1.9778070000000001</v>
      </c>
      <c r="L55" s="16">
        <v>2.2008079999999999</v>
      </c>
      <c r="M55" s="16">
        <v>3.4224389999999998</v>
      </c>
      <c r="N55" s="16">
        <v>3.8822589999999999</v>
      </c>
      <c r="O55" s="16">
        <v>2.0661429999999998</v>
      </c>
      <c r="P55" s="17">
        <v>3.9151669999999998</v>
      </c>
      <c r="Q55" s="17">
        <v>4.5206629999999999</v>
      </c>
      <c r="R55" s="17">
        <v>2.2071320000000001</v>
      </c>
      <c r="S55" s="17">
        <v>5.8382509999999996</v>
      </c>
      <c r="AP55" s="34"/>
      <c r="AQ55" s="35"/>
      <c r="AR55" s="35"/>
      <c r="AS55" s="35"/>
      <c r="BU55" s="33"/>
    </row>
    <row r="56" spans="2:73" x14ac:dyDescent="0.2">
      <c r="B56" s="2">
        <v>43477.939293981479</v>
      </c>
      <c r="C56" s="5">
        <f t="shared" si="9"/>
        <v>4.4999998199999993</v>
      </c>
      <c r="D56" s="14">
        <v>3.1268959999999999</v>
      </c>
      <c r="E56" s="14">
        <v>2.5812400000000002</v>
      </c>
      <c r="F56" s="14">
        <v>3.1480969999999999</v>
      </c>
      <c r="G56" s="14">
        <v>1.54257</v>
      </c>
      <c r="H56" s="15">
        <v>2.1637979999999999</v>
      </c>
      <c r="I56" s="15">
        <v>2.7684419999999998</v>
      </c>
      <c r="J56" s="15">
        <v>6.6074909999999996</v>
      </c>
      <c r="K56" s="15">
        <v>1.9779640000000001</v>
      </c>
      <c r="L56" s="16">
        <v>2.2008079999999999</v>
      </c>
      <c r="M56" s="16">
        <v>3.4224389999999998</v>
      </c>
      <c r="N56" s="16">
        <v>3.8845480000000001</v>
      </c>
      <c r="O56" s="16">
        <v>2.0667870000000002</v>
      </c>
      <c r="P56" s="17">
        <v>3.9321190000000001</v>
      </c>
      <c r="Q56" s="17">
        <v>4.5305809999999997</v>
      </c>
      <c r="R56" s="17">
        <v>2.21407</v>
      </c>
      <c r="S56" s="17">
        <v>5.8622839999999998</v>
      </c>
      <c r="AP56" s="34"/>
      <c r="AQ56" s="35"/>
      <c r="AR56" s="35"/>
      <c r="AS56" s="35"/>
      <c r="BU56" s="33"/>
    </row>
    <row r="57" spans="2:73" x14ac:dyDescent="0.2">
      <c r="B57" s="2">
        <v>43477.942766203705</v>
      </c>
      <c r="C57" s="5">
        <f t="shared" si="9"/>
        <v>4.5833331499999996</v>
      </c>
      <c r="D57" s="14">
        <v>3.1283259999999999</v>
      </c>
      <c r="E57" s="14">
        <v>2.5845310000000001</v>
      </c>
      <c r="F57" s="14">
        <v>3.149098</v>
      </c>
      <c r="G57" s="14">
        <v>1.5428919999999999</v>
      </c>
      <c r="H57" s="15">
        <v>2.1739549999999999</v>
      </c>
      <c r="I57" s="15">
        <v>2.7733050000000001</v>
      </c>
      <c r="J57" s="15">
        <v>6.6074909999999996</v>
      </c>
      <c r="K57" s="15">
        <v>1.9779640000000001</v>
      </c>
      <c r="L57" s="16">
        <v>2.2008079999999999</v>
      </c>
      <c r="M57" s="16">
        <v>3.4224389999999998</v>
      </c>
      <c r="N57" s="16">
        <v>3.8868369999999999</v>
      </c>
      <c r="O57" s="16">
        <v>2.0674299999999999</v>
      </c>
      <c r="P57" s="17">
        <v>3.9490699999999999</v>
      </c>
      <c r="Q57" s="17">
        <v>4.5603360000000004</v>
      </c>
      <c r="R57" s="17">
        <v>2.2210079999999999</v>
      </c>
      <c r="S57" s="17">
        <v>5.8863159999999999</v>
      </c>
      <c r="AP57" s="34"/>
      <c r="AQ57" s="35"/>
      <c r="AR57" s="35"/>
      <c r="AS57" s="35"/>
      <c r="BU57" s="33"/>
    </row>
    <row r="58" spans="2:73" x14ac:dyDescent="0.2">
      <c r="B58" s="2">
        <v>43477.946238425924</v>
      </c>
      <c r="C58" s="5">
        <f t="shared" si="9"/>
        <v>4.66666648</v>
      </c>
      <c r="D58" s="14">
        <v>3.1304720000000001</v>
      </c>
      <c r="E58" s="14">
        <v>2.5878209999999999</v>
      </c>
      <c r="F58" s="14">
        <v>3.1501000000000001</v>
      </c>
      <c r="G58" s="14">
        <v>1.5432129999999999</v>
      </c>
      <c r="H58" s="15">
        <v>2.1841110000000001</v>
      </c>
      <c r="I58" s="15">
        <v>2.7781690000000001</v>
      </c>
      <c r="J58" s="15">
        <v>6.6074909999999996</v>
      </c>
      <c r="K58" s="15">
        <v>1.9779640000000001</v>
      </c>
      <c r="L58" s="16">
        <v>2.2008079999999999</v>
      </c>
      <c r="M58" s="16">
        <v>3.4224389999999998</v>
      </c>
      <c r="N58" s="16">
        <v>3.8891249999999999</v>
      </c>
      <c r="O58" s="16">
        <v>2.0680740000000002</v>
      </c>
      <c r="P58" s="17">
        <v>3.9660220000000002</v>
      </c>
      <c r="Q58" s="17">
        <v>4.59009</v>
      </c>
      <c r="R58" s="17">
        <v>2.2279460000000002</v>
      </c>
      <c r="S58" s="17">
        <v>5.9103490000000001</v>
      </c>
      <c r="AP58" s="34"/>
      <c r="AQ58" s="35"/>
      <c r="AR58" s="35"/>
      <c r="AS58" s="35"/>
      <c r="BU58" s="33"/>
    </row>
    <row r="59" spans="2:73" x14ac:dyDescent="0.2">
      <c r="B59" s="2">
        <v>43477.94971064815</v>
      </c>
      <c r="C59" s="5">
        <f t="shared" si="9"/>
        <v>4.7499998100000003</v>
      </c>
      <c r="D59" s="14">
        <v>3.1326179999999999</v>
      </c>
      <c r="E59" s="14">
        <v>2.5911110000000002</v>
      </c>
      <c r="F59" s="14">
        <v>3.1511010000000002</v>
      </c>
      <c r="G59" s="14">
        <v>1.5435350000000001</v>
      </c>
      <c r="H59" s="15">
        <v>2.1942680000000001</v>
      </c>
      <c r="I59" s="15">
        <v>2.7830330000000001</v>
      </c>
      <c r="J59" s="15">
        <v>6.6074909999999996</v>
      </c>
      <c r="K59" s="15">
        <v>1.9779949999999999</v>
      </c>
      <c r="L59" s="16">
        <v>2.2008079999999999</v>
      </c>
      <c r="M59" s="16">
        <v>3.4224389999999998</v>
      </c>
      <c r="N59" s="16">
        <v>3.8914140000000002</v>
      </c>
      <c r="O59" s="16">
        <v>2.0687180000000001</v>
      </c>
      <c r="P59" s="17">
        <v>3.9829729999999999</v>
      </c>
      <c r="Q59" s="17">
        <v>4.6198449999999998</v>
      </c>
      <c r="R59" s="17">
        <v>2.2348840000000001</v>
      </c>
      <c r="S59" s="17">
        <v>5.9343810000000001</v>
      </c>
      <c r="AP59" s="34"/>
      <c r="AQ59" s="35"/>
      <c r="AR59" s="35"/>
      <c r="AS59" s="35"/>
      <c r="BU59" s="33"/>
    </row>
    <row r="60" spans="2:73" x14ac:dyDescent="0.2">
      <c r="B60" s="2">
        <v>43477.953182870369</v>
      </c>
      <c r="C60" s="5">
        <f t="shared" si="9"/>
        <v>4.8333331400000006</v>
      </c>
      <c r="D60" s="14">
        <v>3.134763</v>
      </c>
      <c r="E60" s="14">
        <v>2.594401</v>
      </c>
      <c r="F60" s="14">
        <v>3.1521020000000002</v>
      </c>
      <c r="G60" s="14">
        <v>1.543857</v>
      </c>
      <c r="H60" s="15">
        <v>2.2044250000000001</v>
      </c>
      <c r="I60" s="15">
        <v>2.7878970000000001</v>
      </c>
      <c r="J60" s="15">
        <v>6.6074909999999996</v>
      </c>
      <c r="K60" s="15">
        <v>1.9783170000000001</v>
      </c>
      <c r="L60" s="16">
        <v>2.2008079999999999</v>
      </c>
      <c r="M60" s="16">
        <v>3.4224389999999998</v>
      </c>
      <c r="N60" s="16">
        <v>3.8937029999999999</v>
      </c>
      <c r="O60" s="16">
        <v>2.0693609999999998</v>
      </c>
      <c r="P60" s="17">
        <v>4.000375</v>
      </c>
      <c r="Q60" s="17">
        <v>4.6496000000000004</v>
      </c>
      <c r="R60" s="17">
        <v>2.241822</v>
      </c>
      <c r="S60" s="17">
        <v>5.9584140000000003</v>
      </c>
      <c r="AP60" s="34"/>
      <c r="AQ60" s="35"/>
      <c r="AR60" s="35"/>
      <c r="AS60" s="35"/>
      <c r="BU60" s="33"/>
    </row>
    <row r="61" spans="2:73" x14ac:dyDescent="0.2">
      <c r="B61" s="2">
        <v>43477.956655092596</v>
      </c>
      <c r="C61" s="5">
        <f t="shared" si="9"/>
        <v>4.9166664700000009</v>
      </c>
      <c r="D61" s="14">
        <v>3.1369090000000002</v>
      </c>
      <c r="E61" s="14">
        <v>2.5976910000000002</v>
      </c>
      <c r="F61" s="14">
        <v>3.1531039999999999</v>
      </c>
      <c r="G61" s="14">
        <v>1.544179</v>
      </c>
      <c r="H61" s="15">
        <v>2.2145809999999999</v>
      </c>
      <c r="I61" s="15">
        <v>2.7927599999999999</v>
      </c>
      <c r="J61" s="15">
        <v>6.6074909999999996</v>
      </c>
      <c r="K61" s="15">
        <v>1.978639</v>
      </c>
      <c r="L61" s="16">
        <v>2.2008079999999999</v>
      </c>
      <c r="M61" s="16">
        <v>3.4224389999999998</v>
      </c>
      <c r="N61" s="16">
        <v>3.8959920000000001</v>
      </c>
      <c r="O61" s="16">
        <v>2.0700050000000001</v>
      </c>
      <c r="P61" s="17">
        <v>4.0168049999999997</v>
      </c>
      <c r="Q61" s="17">
        <v>4.679354</v>
      </c>
      <c r="R61" s="17">
        <v>2.2487599999999999</v>
      </c>
      <c r="S61" s="17">
        <v>5.9824469999999996</v>
      </c>
      <c r="AP61" s="34"/>
      <c r="AQ61" s="35"/>
      <c r="AR61" s="35"/>
      <c r="AS61" s="35"/>
      <c r="BU61" s="33"/>
    </row>
    <row r="62" spans="2:73" x14ac:dyDescent="0.2">
      <c r="B62" s="2">
        <v>43477.960127314815</v>
      </c>
      <c r="C62" s="5">
        <f t="shared" si="9"/>
        <v>4.9999998000000012</v>
      </c>
      <c r="D62" s="14">
        <v>3.1390549999999999</v>
      </c>
      <c r="E62" s="14">
        <v>2.600981</v>
      </c>
      <c r="F62" s="14">
        <v>3.1541049999999999</v>
      </c>
      <c r="G62" s="14">
        <v>1.5445009999999999</v>
      </c>
      <c r="H62" s="15">
        <v>2.2247379999999999</v>
      </c>
      <c r="I62" s="15">
        <v>2.7976239999999999</v>
      </c>
      <c r="J62" s="15">
        <v>6.6074909999999996</v>
      </c>
      <c r="K62" s="15">
        <v>1.978961</v>
      </c>
      <c r="L62" s="16">
        <v>2.2008079999999999</v>
      </c>
      <c r="M62" s="16">
        <v>3.4224389999999998</v>
      </c>
      <c r="N62" s="16">
        <v>3.8982809999999999</v>
      </c>
      <c r="O62" s="16">
        <v>2.070649</v>
      </c>
      <c r="P62" s="17">
        <v>4.0336850000000002</v>
      </c>
      <c r="Q62" s="17">
        <v>4.7091089999999998</v>
      </c>
      <c r="R62" s="17">
        <v>2.2556980000000002</v>
      </c>
      <c r="S62" s="17">
        <v>6.0064789999999997</v>
      </c>
      <c r="V62" s="25">
        <v>5</v>
      </c>
      <c r="W62">
        <f>AVERAGE(D51:D62)</f>
        <v>3.1297770000000003</v>
      </c>
      <c r="X62">
        <f t="shared" ref="X62:AL62" si="14">AVERAGE(E51:E62)</f>
        <v>2.5835988333333337</v>
      </c>
      <c r="Y62">
        <f t="shared" si="14"/>
        <v>3.1485974999999997</v>
      </c>
      <c r="Z62">
        <f t="shared" si="14"/>
        <v>1.5429575833333333</v>
      </c>
      <c r="AA62">
        <f t="shared" si="14"/>
        <v>2.1688764166666665</v>
      </c>
      <c r="AB62">
        <f t="shared" si="14"/>
        <v>2.7708735000000004</v>
      </c>
      <c r="AC62">
        <f t="shared" si="14"/>
        <v>6.5990774166666641</v>
      </c>
      <c r="AD62">
        <f t="shared" si="14"/>
        <v>1.9777420000000003</v>
      </c>
      <c r="AE62">
        <f t="shared" si="14"/>
        <v>2.2008079999999994</v>
      </c>
      <c r="AF62">
        <f t="shared" si="14"/>
        <v>3.4223359999999996</v>
      </c>
      <c r="AG62">
        <f t="shared" si="14"/>
        <v>3.8875079166666668</v>
      </c>
      <c r="AH62">
        <f t="shared" si="14"/>
        <v>2.0671084166666662</v>
      </c>
      <c r="AI62">
        <f t="shared" si="14"/>
        <v>3.9406140833333327</v>
      </c>
      <c r="AJ62">
        <f t="shared" si="14"/>
        <v>4.5691090833333332</v>
      </c>
      <c r="AK62">
        <f t="shared" si="14"/>
        <v>2.2175389999999999</v>
      </c>
      <c r="AL62">
        <f t="shared" si="14"/>
        <v>5.8743000000000007</v>
      </c>
      <c r="AO62" s="25">
        <v>5</v>
      </c>
      <c r="AP62" s="34">
        <f>AVERAGE(W62:Z62)</f>
        <v>2.6012327291666666</v>
      </c>
      <c r="AQ62" s="35">
        <f>AVERAGE(AA62:AD62)</f>
        <v>3.3791423333333328</v>
      </c>
      <c r="AR62" s="35">
        <f>AVERAGE(AE62:AH62)</f>
        <v>2.894440083333333</v>
      </c>
      <c r="AS62" s="35">
        <f>AVERAGE(AI62:AL62)</f>
        <v>4.1503905416666669</v>
      </c>
      <c r="BU62" s="33"/>
    </row>
    <row r="63" spans="2:73" x14ac:dyDescent="0.2">
      <c r="B63" s="2">
        <v>43477.963599537034</v>
      </c>
      <c r="C63" s="5">
        <f t="shared" si="9"/>
        <v>5.0833331300000015</v>
      </c>
      <c r="D63" s="14">
        <v>3.140056</v>
      </c>
      <c r="E63" s="14">
        <v>2.6042719999999999</v>
      </c>
      <c r="F63" s="14">
        <v>3.155106</v>
      </c>
      <c r="G63" s="14">
        <v>1.5448230000000001</v>
      </c>
      <c r="H63" s="15">
        <v>2.2348949999999999</v>
      </c>
      <c r="I63" s="15">
        <v>2.8024879999999999</v>
      </c>
      <c r="J63" s="15">
        <v>6.6074909999999996</v>
      </c>
      <c r="K63" s="15">
        <v>1.9792829999999999</v>
      </c>
      <c r="L63" s="16">
        <v>2.2008079999999999</v>
      </c>
      <c r="M63" s="16">
        <v>3.4224389999999998</v>
      </c>
      <c r="N63" s="16">
        <v>3.900569</v>
      </c>
      <c r="O63" s="16">
        <v>2.0712929999999998</v>
      </c>
      <c r="P63" s="17">
        <v>4.0505649999999997</v>
      </c>
      <c r="Q63" s="17">
        <v>4.7388630000000003</v>
      </c>
      <c r="R63" s="17">
        <v>2.2626360000000001</v>
      </c>
      <c r="S63" s="17">
        <v>6.0305119999999999</v>
      </c>
      <c r="AP63" s="34"/>
      <c r="AQ63" s="35"/>
      <c r="AR63" s="35"/>
      <c r="AS63" s="35"/>
      <c r="BU63" s="33"/>
    </row>
    <row r="64" spans="2:73" x14ac:dyDescent="0.2">
      <c r="B64" s="2">
        <v>43477.96707175926</v>
      </c>
      <c r="C64" s="5">
        <f t="shared" si="9"/>
        <v>5.1666664600000018</v>
      </c>
      <c r="D64" s="14">
        <v>3.140056</v>
      </c>
      <c r="E64" s="14">
        <v>2.6075620000000002</v>
      </c>
      <c r="F64" s="14">
        <v>3.1561080000000001</v>
      </c>
      <c r="G64" s="14">
        <v>1.5450740000000001</v>
      </c>
      <c r="H64" s="15">
        <v>2.2450510000000001</v>
      </c>
      <c r="I64" s="15">
        <v>2.8073519999999998</v>
      </c>
      <c r="J64" s="15">
        <v>6.6074909999999996</v>
      </c>
      <c r="K64" s="15">
        <v>1.9796050000000001</v>
      </c>
      <c r="L64" s="16">
        <v>2.2008079999999999</v>
      </c>
      <c r="M64" s="16">
        <v>3.4224389999999998</v>
      </c>
      <c r="N64" s="16">
        <v>3.9028580000000002</v>
      </c>
      <c r="O64" s="16">
        <v>2.071936</v>
      </c>
      <c r="P64" s="17">
        <v>4.0674450000000002</v>
      </c>
      <c r="Q64" s="17">
        <v>4.7576090000000004</v>
      </c>
      <c r="R64" s="17">
        <v>2.269574</v>
      </c>
      <c r="S64" s="17">
        <v>6.0545439999999999</v>
      </c>
      <c r="AP64" s="34"/>
      <c r="AQ64" s="35"/>
      <c r="AR64" s="35"/>
      <c r="AS64" s="35"/>
      <c r="BU64" s="33"/>
    </row>
    <row r="65" spans="2:73" x14ac:dyDescent="0.2">
      <c r="B65" s="2">
        <v>43477.970543981479</v>
      </c>
      <c r="C65" s="5">
        <f t="shared" si="9"/>
        <v>5.2499997900000022</v>
      </c>
      <c r="D65" s="14">
        <v>3.140056</v>
      </c>
      <c r="E65" s="14">
        <v>2.610852</v>
      </c>
      <c r="F65" s="14">
        <v>3.1571090000000002</v>
      </c>
      <c r="G65" s="14">
        <v>1.5450740000000001</v>
      </c>
      <c r="H65" s="15">
        <v>2.2552080000000001</v>
      </c>
      <c r="I65" s="15">
        <v>2.8122150000000001</v>
      </c>
      <c r="J65" s="15">
        <v>6.6074909999999996</v>
      </c>
      <c r="K65" s="15">
        <v>1.9799260000000001</v>
      </c>
      <c r="L65" s="16">
        <v>2.2008079999999999</v>
      </c>
      <c r="M65" s="16">
        <v>3.4224389999999998</v>
      </c>
      <c r="N65" s="16">
        <v>3.9051469999999999</v>
      </c>
      <c r="O65" s="16">
        <v>2.0725799999999999</v>
      </c>
      <c r="P65" s="17">
        <v>4.0843249999999998</v>
      </c>
      <c r="Q65" s="17">
        <v>4.7603140000000002</v>
      </c>
      <c r="R65" s="17">
        <v>2.2765119999999999</v>
      </c>
      <c r="S65" s="17">
        <v>6.0785770000000001</v>
      </c>
      <c r="AP65" s="34"/>
      <c r="AQ65" s="35"/>
      <c r="AR65" s="35"/>
      <c r="AS65" s="35"/>
      <c r="BU65" s="33"/>
    </row>
    <row r="66" spans="2:73" x14ac:dyDescent="0.2">
      <c r="B66" s="2">
        <v>43477.974016203705</v>
      </c>
      <c r="C66" s="5">
        <f t="shared" si="9"/>
        <v>5.3333331200000025</v>
      </c>
      <c r="D66" s="14">
        <v>3.1400990000000002</v>
      </c>
      <c r="E66" s="14">
        <v>2.6141420000000002</v>
      </c>
      <c r="F66" s="14">
        <v>3.1581100000000002</v>
      </c>
      <c r="G66" s="14">
        <v>1.5450740000000001</v>
      </c>
      <c r="H66" s="15">
        <v>2.2653639999999999</v>
      </c>
      <c r="I66" s="15">
        <v>2.8170790000000001</v>
      </c>
      <c r="J66" s="15">
        <v>6.6074909999999996</v>
      </c>
      <c r="K66" s="15">
        <v>1.980248</v>
      </c>
      <c r="L66" s="16">
        <v>2.2008079999999999</v>
      </c>
      <c r="M66" s="16">
        <v>3.4224389999999998</v>
      </c>
      <c r="N66" s="16">
        <v>3.9074360000000001</v>
      </c>
      <c r="O66" s="16">
        <v>2.0732240000000002</v>
      </c>
      <c r="P66" s="17">
        <v>4.1012050000000002</v>
      </c>
      <c r="Q66" s="17">
        <v>4.7690400000000004</v>
      </c>
      <c r="R66" s="17">
        <v>2.2834500000000002</v>
      </c>
      <c r="S66" s="17">
        <v>6.1026100000000003</v>
      </c>
      <c r="AP66" s="34"/>
      <c r="AQ66" s="35"/>
      <c r="AR66" s="35"/>
      <c r="AS66" s="35"/>
      <c r="BU66" s="33"/>
    </row>
    <row r="67" spans="2:73" x14ac:dyDescent="0.2">
      <c r="B67" s="2">
        <v>43477.977488425924</v>
      </c>
      <c r="C67" s="5">
        <f t="shared" si="9"/>
        <v>5.4166664500000028</v>
      </c>
      <c r="D67" s="14">
        <v>3.1401699999999999</v>
      </c>
      <c r="E67" s="14">
        <v>2.617432</v>
      </c>
      <c r="F67" s="14">
        <v>3.1591119999999999</v>
      </c>
      <c r="G67" s="14">
        <v>1.5457909999999999</v>
      </c>
      <c r="H67" s="15">
        <v>2.2755209999999999</v>
      </c>
      <c r="I67" s="15">
        <v>2.8219430000000001</v>
      </c>
      <c r="J67" s="15">
        <v>6.6074909999999996</v>
      </c>
      <c r="K67" s="15">
        <v>1.9805699999999999</v>
      </c>
      <c r="L67" s="16">
        <v>2.2008079999999999</v>
      </c>
      <c r="M67" s="16">
        <v>3.4224389999999998</v>
      </c>
      <c r="N67" s="16">
        <v>3.9097249999999999</v>
      </c>
      <c r="O67" s="16">
        <v>2.073868</v>
      </c>
      <c r="P67" s="17">
        <v>4.1180849999999998</v>
      </c>
      <c r="Q67" s="17">
        <v>4.7777659999999997</v>
      </c>
      <c r="R67" s="17">
        <v>2.2903880000000001</v>
      </c>
      <c r="S67" s="17">
        <v>6.1266420000000004</v>
      </c>
      <c r="AP67" s="34"/>
      <c r="AQ67" s="35"/>
      <c r="AR67" s="35"/>
      <c r="AS67" s="35"/>
    </row>
    <row r="68" spans="2:73" x14ac:dyDescent="0.2">
      <c r="B68" s="2">
        <v>43477.98096064815</v>
      </c>
      <c r="C68" s="5">
        <f t="shared" ref="C68:C131" si="15">C67+0.08333333</f>
        <v>5.4999997800000031</v>
      </c>
      <c r="D68" s="14">
        <v>3.1402420000000002</v>
      </c>
      <c r="E68" s="14">
        <v>2.6200100000000002</v>
      </c>
      <c r="F68" s="14">
        <v>3.1601129999999999</v>
      </c>
      <c r="G68" s="14">
        <v>1.548867</v>
      </c>
      <c r="H68" s="15">
        <v>2.2856779999999999</v>
      </c>
      <c r="I68" s="15">
        <v>2.8268070000000001</v>
      </c>
      <c r="J68" s="15">
        <v>6.6074909999999996</v>
      </c>
      <c r="K68" s="15">
        <v>1.9808920000000001</v>
      </c>
      <c r="L68" s="16">
        <v>2.2008079999999999</v>
      </c>
      <c r="M68" s="16">
        <v>3.4224389999999998</v>
      </c>
      <c r="N68" s="16">
        <v>3.9120140000000001</v>
      </c>
      <c r="O68" s="16">
        <v>2.0745110000000002</v>
      </c>
      <c r="P68" s="17">
        <v>4.1349650000000002</v>
      </c>
      <c r="Q68" s="17">
        <v>4.786492</v>
      </c>
      <c r="R68" s="17">
        <v>2.297326</v>
      </c>
      <c r="S68" s="17">
        <v>6.1506749999999997</v>
      </c>
      <c r="AP68" s="34"/>
      <c r="AQ68" s="35"/>
      <c r="AR68" s="35"/>
      <c r="AS68" s="35"/>
    </row>
    <row r="69" spans="2:73" x14ac:dyDescent="0.2">
      <c r="B69" s="2">
        <v>43477.984432870369</v>
      </c>
      <c r="C69" s="5">
        <f t="shared" si="15"/>
        <v>5.5833331100000034</v>
      </c>
      <c r="D69" s="14">
        <v>3.1403129999999999</v>
      </c>
      <c r="E69" s="14">
        <v>2.6200100000000002</v>
      </c>
      <c r="F69" s="14">
        <v>3.161114</v>
      </c>
      <c r="G69" s="14">
        <v>1.5519430000000001</v>
      </c>
      <c r="H69" s="15">
        <v>2.2958340000000002</v>
      </c>
      <c r="I69" s="15">
        <v>2.8316699999999999</v>
      </c>
      <c r="J69" s="15">
        <v>6.6074909999999996</v>
      </c>
      <c r="K69" s="15">
        <v>1.981214</v>
      </c>
      <c r="L69" s="16">
        <v>2.2008079999999999</v>
      </c>
      <c r="M69" s="16">
        <v>3.4224389999999998</v>
      </c>
      <c r="N69" s="16">
        <v>3.9143020000000002</v>
      </c>
      <c r="O69" s="16">
        <v>2.0751550000000001</v>
      </c>
      <c r="P69" s="17">
        <v>4.1518449999999998</v>
      </c>
      <c r="Q69" s="17">
        <v>4.7952180000000002</v>
      </c>
      <c r="R69" s="17">
        <v>2.3042639999999999</v>
      </c>
      <c r="S69" s="17">
        <v>6.1659759999999997</v>
      </c>
      <c r="AP69" s="34"/>
      <c r="AQ69" s="35"/>
      <c r="AR69" s="35"/>
      <c r="AS69" s="35"/>
    </row>
    <row r="70" spans="2:73" x14ac:dyDescent="0.2">
      <c r="B70" s="2">
        <v>43477.987905092596</v>
      </c>
      <c r="C70" s="5">
        <f t="shared" si="15"/>
        <v>5.6666664400000037</v>
      </c>
      <c r="D70" s="14">
        <v>3.1403850000000002</v>
      </c>
      <c r="E70" s="14">
        <v>2.6200100000000002</v>
      </c>
      <c r="F70" s="14">
        <v>3.1621160000000001</v>
      </c>
      <c r="G70" s="14">
        <v>1.555018</v>
      </c>
      <c r="H70" s="15">
        <v>2.3059910000000001</v>
      </c>
      <c r="I70" s="15">
        <v>2.8365339999999999</v>
      </c>
      <c r="J70" s="15">
        <v>6.6074909999999996</v>
      </c>
      <c r="K70" s="15">
        <v>1.981536</v>
      </c>
      <c r="L70" s="16">
        <v>2.2008079999999999</v>
      </c>
      <c r="M70" s="16">
        <v>3.4224389999999998</v>
      </c>
      <c r="N70" s="16">
        <v>3.9165909999999999</v>
      </c>
      <c r="O70" s="16">
        <v>2.0757989999999999</v>
      </c>
      <c r="P70" s="17">
        <v>4.1687250000000002</v>
      </c>
      <c r="Q70" s="17">
        <v>4.8039449999999997</v>
      </c>
      <c r="R70" s="17">
        <v>2.3112020000000002</v>
      </c>
      <c r="S70" s="17">
        <v>6.1659759999999997</v>
      </c>
      <c r="AP70" s="34"/>
      <c r="AQ70" s="35"/>
      <c r="AR70" s="35"/>
      <c r="AS70" s="35"/>
    </row>
    <row r="71" spans="2:73" x14ac:dyDescent="0.2">
      <c r="B71" s="2">
        <v>43477.991377314815</v>
      </c>
      <c r="C71" s="5">
        <f t="shared" si="15"/>
        <v>5.7499997700000041</v>
      </c>
      <c r="D71" s="14">
        <v>3.1404559999999999</v>
      </c>
      <c r="E71" s="14">
        <v>2.6200100000000002</v>
      </c>
      <c r="F71" s="14">
        <v>3.1631170000000002</v>
      </c>
      <c r="G71" s="14">
        <v>1.5580940000000001</v>
      </c>
      <c r="H71" s="15">
        <v>2.3161480000000001</v>
      </c>
      <c r="I71" s="15">
        <v>2.8413979999999999</v>
      </c>
      <c r="J71" s="15">
        <v>6.6074909999999996</v>
      </c>
      <c r="K71" s="15">
        <v>1.9818579999999999</v>
      </c>
      <c r="L71" s="16">
        <v>2.2008079999999999</v>
      </c>
      <c r="M71" s="16">
        <v>3.4224389999999998</v>
      </c>
      <c r="N71" s="16">
        <v>3.9188800000000001</v>
      </c>
      <c r="O71" s="16">
        <v>2.0764420000000001</v>
      </c>
      <c r="P71" s="17">
        <v>4.1856059999999999</v>
      </c>
      <c r="Q71" s="17">
        <v>4.8126709999999999</v>
      </c>
      <c r="R71" s="17">
        <v>2.3181400000000001</v>
      </c>
      <c r="S71" s="17">
        <v>6.1659759999999997</v>
      </c>
      <c r="AP71" s="34"/>
      <c r="AQ71" s="35"/>
      <c r="AR71" s="35"/>
      <c r="AS71" s="35"/>
    </row>
    <row r="72" spans="2:73" x14ac:dyDescent="0.2">
      <c r="B72" s="2">
        <v>43477.994849537034</v>
      </c>
      <c r="C72" s="5">
        <f t="shared" si="15"/>
        <v>5.8333331000000044</v>
      </c>
      <c r="D72" s="14">
        <v>3.1405280000000002</v>
      </c>
      <c r="E72" s="14">
        <v>2.6200100000000002</v>
      </c>
      <c r="F72" s="14">
        <v>3.1641189999999999</v>
      </c>
      <c r="G72" s="14">
        <v>1.561169</v>
      </c>
      <c r="H72" s="15">
        <v>2.3263039999999999</v>
      </c>
      <c r="I72" s="15">
        <v>2.8462619999999998</v>
      </c>
      <c r="J72" s="15">
        <v>6.610684</v>
      </c>
      <c r="K72" s="15">
        <v>1.9821800000000001</v>
      </c>
      <c r="L72" s="16">
        <v>2.2008079999999999</v>
      </c>
      <c r="M72" s="16">
        <v>3.4224389999999998</v>
      </c>
      <c r="N72" s="16">
        <v>3.9211689999999999</v>
      </c>
      <c r="O72" s="16">
        <v>2.077086</v>
      </c>
      <c r="P72" s="17">
        <v>4.2024860000000004</v>
      </c>
      <c r="Q72" s="17">
        <v>4.8213970000000002</v>
      </c>
      <c r="R72" s="17">
        <v>2.325078</v>
      </c>
      <c r="S72" s="17">
        <v>6.1659759999999997</v>
      </c>
      <c r="AP72" s="34"/>
      <c r="AQ72" s="35"/>
      <c r="AR72" s="35"/>
      <c r="AS72" s="35"/>
    </row>
    <row r="73" spans="2:73" x14ac:dyDescent="0.2">
      <c r="B73" s="2">
        <v>43477.99832175926</v>
      </c>
      <c r="C73" s="5">
        <f t="shared" si="15"/>
        <v>5.9166664300000047</v>
      </c>
      <c r="D73" s="14">
        <v>3.1405989999999999</v>
      </c>
      <c r="E73" s="14">
        <v>2.6200100000000002</v>
      </c>
      <c r="F73" s="14">
        <v>3.1651199999999999</v>
      </c>
      <c r="G73" s="14">
        <v>1.5642450000000001</v>
      </c>
      <c r="H73" s="15">
        <v>2.3364609999999999</v>
      </c>
      <c r="I73" s="15">
        <v>2.8511250000000001</v>
      </c>
      <c r="J73" s="15">
        <v>6.6365759999999998</v>
      </c>
      <c r="K73" s="15">
        <v>1.9825010000000001</v>
      </c>
      <c r="L73" s="16">
        <v>2.2008079999999999</v>
      </c>
      <c r="M73" s="16">
        <v>3.4224389999999998</v>
      </c>
      <c r="N73" s="16">
        <v>3.9234580000000001</v>
      </c>
      <c r="O73" s="16">
        <v>2.0777299999999999</v>
      </c>
      <c r="P73" s="17">
        <v>4.2193659999999999</v>
      </c>
      <c r="Q73" s="17">
        <v>4.8301230000000004</v>
      </c>
      <c r="R73" s="17">
        <v>2.3320159999999999</v>
      </c>
      <c r="S73" s="17">
        <v>6.1659759999999997</v>
      </c>
      <c r="AP73" s="34"/>
      <c r="AQ73" s="35"/>
      <c r="AR73" s="35"/>
      <c r="AS73" s="35"/>
    </row>
    <row r="74" spans="2:73" x14ac:dyDescent="0.2">
      <c r="B74" s="2">
        <v>43478.001793981479</v>
      </c>
      <c r="C74" s="5">
        <f t="shared" si="15"/>
        <v>5.999999760000005</v>
      </c>
      <c r="D74" s="14">
        <v>3.1406710000000002</v>
      </c>
      <c r="E74" s="14">
        <v>2.6200100000000002</v>
      </c>
      <c r="F74" s="14">
        <v>3.166121</v>
      </c>
      <c r="G74" s="14">
        <v>1.567321</v>
      </c>
      <c r="H74" s="15">
        <v>2.3466170000000002</v>
      </c>
      <c r="I74" s="15">
        <v>2.8559890000000001</v>
      </c>
      <c r="J74" s="15">
        <v>6.6624679999999996</v>
      </c>
      <c r="K74" s="15">
        <v>1.982823</v>
      </c>
      <c r="L74" s="16">
        <v>2.2008079999999999</v>
      </c>
      <c r="M74" s="16">
        <v>3.4224389999999998</v>
      </c>
      <c r="N74" s="16">
        <v>3.9257460000000002</v>
      </c>
      <c r="O74" s="16">
        <v>2.0783740000000002</v>
      </c>
      <c r="P74" s="17">
        <v>4.2362460000000004</v>
      </c>
      <c r="Q74" s="17">
        <v>4.8388489999999997</v>
      </c>
      <c r="R74" s="17">
        <v>2.3389540000000002</v>
      </c>
      <c r="S74" s="17">
        <v>6.1659759999999997</v>
      </c>
      <c r="V74" s="25">
        <v>6</v>
      </c>
      <c r="W74">
        <f>AVERAGE(D63:D74)</f>
        <v>3.1403025833333325</v>
      </c>
      <c r="X74">
        <f t="shared" ref="X74:AL74" si="16">AVERAGE(E63:E74)</f>
        <v>2.6161941666666668</v>
      </c>
      <c r="Y74">
        <f t="shared" si="16"/>
        <v>3.16061375</v>
      </c>
      <c r="Z74">
        <f t="shared" si="16"/>
        <v>1.5527077499999999</v>
      </c>
      <c r="AA74">
        <f t="shared" si="16"/>
        <v>2.290756</v>
      </c>
      <c r="AB74">
        <f t="shared" si="16"/>
        <v>2.8292385000000002</v>
      </c>
      <c r="AC74">
        <f t="shared" si="16"/>
        <v>6.6147622499999992</v>
      </c>
      <c r="AD74">
        <f t="shared" si="16"/>
        <v>1.981053</v>
      </c>
      <c r="AE74">
        <f t="shared" si="16"/>
        <v>2.2008079999999994</v>
      </c>
      <c r="AF74">
        <f t="shared" si="16"/>
        <v>3.4224389999999993</v>
      </c>
      <c r="AG74">
        <f t="shared" si="16"/>
        <v>3.9131579166666675</v>
      </c>
      <c r="AH74">
        <f t="shared" si="16"/>
        <v>2.0748331666666666</v>
      </c>
      <c r="AI74">
        <f t="shared" si="16"/>
        <v>4.1434053333333338</v>
      </c>
      <c r="AJ74">
        <f t="shared" si="16"/>
        <v>4.791023916666667</v>
      </c>
      <c r="AK74">
        <f t="shared" si="16"/>
        <v>2.3007950000000004</v>
      </c>
      <c r="AL74">
        <f t="shared" si="16"/>
        <v>6.1282846666666666</v>
      </c>
      <c r="AO74" s="25">
        <v>6</v>
      </c>
      <c r="AP74" s="34">
        <f>AVERAGE(W74:Z74)</f>
        <v>2.6174545624999999</v>
      </c>
      <c r="AQ74" s="35">
        <f>AVERAGE(AA74:AD74)</f>
        <v>3.4289524374999996</v>
      </c>
      <c r="AR74" s="35">
        <f>AVERAGE(AE74:AH74)</f>
        <v>2.9028095208333333</v>
      </c>
      <c r="AS74" s="35">
        <f>AVERAGE(AI74:AL74)</f>
        <v>4.3408772291666669</v>
      </c>
    </row>
    <row r="75" spans="2:73" x14ac:dyDescent="0.2">
      <c r="B75" s="2">
        <v>43478.005266203705</v>
      </c>
      <c r="C75" s="5">
        <f t="shared" si="15"/>
        <v>6.0833330900000053</v>
      </c>
      <c r="D75" s="14">
        <v>3.1407430000000001</v>
      </c>
      <c r="E75" s="14">
        <v>2.6200100000000002</v>
      </c>
      <c r="F75" s="14">
        <v>3.1671230000000001</v>
      </c>
      <c r="G75" s="14">
        <v>1.5703959999999999</v>
      </c>
      <c r="H75" s="15">
        <v>2.3567740000000001</v>
      </c>
      <c r="I75" s="15">
        <v>2.8608530000000001</v>
      </c>
      <c r="J75" s="15">
        <v>6.6883609999999996</v>
      </c>
      <c r="K75" s="15">
        <v>1.9831449999999999</v>
      </c>
      <c r="L75" s="16">
        <v>2.2008079999999999</v>
      </c>
      <c r="M75" s="16">
        <v>3.4224389999999998</v>
      </c>
      <c r="N75" s="16">
        <v>3.9280349999999999</v>
      </c>
      <c r="O75" s="16">
        <v>2.0790169999999999</v>
      </c>
      <c r="P75" s="17">
        <v>4.253126</v>
      </c>
      <c r="Q75" s="17">
        <v>4.847575</v>
      </c>
      <c r="R75" s="17">
        <v>2.3458920000000001</v>
      </c>
      <c r="S75" s="17">
        <v>6.1659759999999997</v>
      </c>
      <c r="AP75" s="34"/>
      <c r="AQ75" s="35"/>
      <c r="AR75" s="35"/>
      <c r="AS75" s="35"/>
    </row>
    <row r="76" spans="2:73" x14ac:dyDescent="0.2">
      <c r="B76" s="2">
        <v>43478.008738425924</v>
      </c>
      <c r="C76" s="5">
        <f t="shared" si="15"/>
        <v>6.1666664200000056</v>
      </c>
      <c r="D76" s="14">
        <v>3.1408140000000002</v>
      </c>
      <c r="E76" s="14">
        <v>2.6205409999999998</v>
      </c>
      <c r="F76" s="14">
        <v>3.1681240000000002</v>
      </c>
      <c r="G76" s="14">
        <v>1.573472</v>
      </c>
      <c r="H76" s="15">
        <v>2.3669310000000001</v>
      </c>
      <c r="I76" s="15">
        <v>2.8657159999999999</v>
      </c>
      <c r="J76" s="15">
        <v>6.7142530000000002</v>
      </c>
      <c r="K76" s="15">
        <v>1.9832160000000001</v>
      </c>
      <c r="L76" s="16">
        <v>2.2008079999999999</v>
      </c>
      <c r="M76" s="16">
        <v>3.4224389999999998</v>
      </c>
      <c r="N76" s="16">
        <v>3.9303240000000002</v>
      </c>
      <c r="O76" s="16">
        <v>2.0796610000000002</v>
      </c>
      <c r="P76" s="17">
        <v>4.2700060000000004</v>
      </c>
      <c r="Q76" s="17">
        <v>4.8563010000000002</v>
      </c>
      <c r="R76" s="17">
        <v>2.35283</v>
      </c>
      <c r="S76" s="17">
        <v>6.1659759999999997</v>
      </c>
      <c r="AP76" s="34"/>
      <c r="AQ76" s="35"/>
      <c r="AR76" s="35"/>
      <c r="AS76" s="35"/>
    </row>
    <row r="77" spans="2:73" x14ac:dyDescent="0.2">
      <c r="B77" s="2">
        <v>43478.01221064815</v>
      </c>
      <c r="C77" s="5">
        <f t="shared" si="15"/>
        <v>6.249999750000006</v>
      </c>
      <c r="D77" s="14">
        <v>3.1408860000000001</v>
      </c>
      <c r="E77" s="14">
        <v>2.6212569999999999</v>
      </c>
      <c r="F77" s="14">
        <v>3.1691250000000002</v>
      </c>
      <c r="G77" s="14">
        <v>1.5765469999999999</v>
      </c>
      <c r="H77" s="15">
        <v>2.377087</v>
      </c>
      <c r="I77" s="15">
        <v>2.8705799999999999</v>
      </c>
      <c r="J77" s="15">
        <v>6.7401450000000001</v>
      </c>
      <c r="K77" s="15">
        <v>1.983352</v>
      </c>
      <c r="L77" s="16">
        <v>2.2008079999999999</v>
      </c>
      <c r="M77" s="16">
        <v>3.4224389999999998</v>
      </c>
      <c r="N77" s="16">
        <v>3.9326129999999999</v>
      </c>
      <c r="O77" s="16">
        <v>2.0803050000000001</v>
      </c>
      <c r="P77" s="17">
        <v>4.286886</v>
      </c>
      <c r="Q77" s="17">
        <v>4.8650270000000004</v>
      </c>
      <c r="R77" s="17">
        <v>2.3564980000000002</v>
      </c>
      <c r="S77" s="17">
        <v>6.1659759999999997</v>
      </c>
      <c r="AP77" s="34"/>
      <c r="AQ77" s="35"/>
      <c r="AR77" s="35"/>
      <c r="AS77" s="35"/>
    </row>
    <row r="78" spans="2:73" x14ac:dyDescent="0.2">
      <c r="B78" s="2">
        <v>43478.015682870369</v>
      </c>
      <c r="C78" s="5">
        <f t="shared" si="15"/>
        <v>6.3333330800000063</v>
      </c>
      <c r="D78" s="14">
        <v>3.1409570000000002</v>
      </c>
      <c r="E78" s="14">
        <v>2.621972</v>
      </c>
      <c r="F78" s="14">
        <v>3.1701269999999999</v>
      </c>
      <c r="G78" s="14">
        <v>1.579623</v>
      </c>
      <c r="H78" s="15">
        <v>2.3872439999999999</v>
      </c>
      <c r="I78" s="15">
        <v>2.8754439999999999</v>
      </c>
      <c r="J78" s="15">
        <v>6.7660369999999999</v>
      </c>
      <c r="K78" s="15">
        <v>1.9835309999999999</v>
      </c>
      <c r="L78" s="16">
        <v>2.2008079999999999</v>
      </c>
      <c r="M78" s="16">
        <v>3.4224389999999998</v>
      </c>
      <c r="N78" s="16">
        <v>3.9349020000000001</v>
      </c>
      <c r="O78" s="16">
        <v>2.0809489999999999</v>
      </c>
      <c r="P78" s="17">
        <v>4.3037660000000004</v>
      </c>
      <c r="Q78" s="17">
        <v>4.8737539999999999</v>
      </c>
      <c r="R78" s="17">
        <v>2.3635790000000001</v>
      </c>
      <c r="S78" s="17">
        <v>6.1659759999999997</v>
      </c>
      <c r="AP78" s="34"/>
      <c r="AQ78" s="35"/>
      <c r="AR78" s="35"/>
      <c r="AS78" s="35"/>
    </row>
    <row r="79" spans="2:73" x14ac:dyDescent="0.2">
      <c r="B79" s="2">
        <v>43478.019155092596</v>
      </c>
      <c r="C79" s="5">
        <f t="shared" si="15"/>
        <v>6.4166664100000066</v>
      </c>
      <c r="D79" s="14">
        <v>3.1409959999999999</v>
      </c>
      <c r="E79" s="14">
        <v>2.622687</v>
      </c>
      <c r="F79" s="14">
        <v>3.1711279999999999</v>
      </c>
      <c r="G79" s="14">
        <v>1.5825039999999999</v>
      </c>
      <c r="H79" s="15">
        <v>2.3974009999999999</v>
      </c>
      <c r="I79" s="15">
        <v>2.8803079999999999</v>
      </c>
      <c r="J79" s="15">
        <v>6.7919299999999998</v>
      </c>
      <c r="K79" s="15">
        <v>1.9837100000000001</v>
      </c>
      <c r="L79" s="16">
        <v>2.2008079999999999</v>
      </c>
      <c r="M79" s="16">
        <v>3.4224389999999998</v>
      </c>
      <c r="N79" s="16">
        <v>3.9371909999999999</v>
      </c>
      <c r="O79" s="16">
        <v>2.0815920000000001</v>
      </c>
      <c r="P79" s="17">
        <v>4.320646</v>
      </c>
      <c r="Q79" s="17">
        <v>4.8824800000000002</v>
      </c>
      <c r="R79" s="17">
        <v>2.37066</v>
      </c>
      <c r="S79" s="17">
        <v>6.1659759999999997</v>
      </c>
      <c r="AP79" s="34"/>
      <c r="AQ79" s="35"/>
      <c r="AR79" s="35"/>
      <c r="AS79" s="35"/>
    </row>
    <row r="80" spans="2:73" x14ac:dyDescent="0.2">
      <c r="B80" s="2">
        <v>43478.022627314815</v>
      </c>
      <c r="C80" s="5">
        <f t="shared" si="15"/>
        <v>6.4999997400000069</v>
      </c>
      <c r="D80" s="14">
        <v>3.1409959999999999</v>
      </c>
      <c r="E80" s="14">
        <v>2.623402</v>
      </c>
      <c r="F80" s="14">
        <v>3.172129</v>
      </c>
      <c r="G80" s="14">
        <v>1.5825039999999999</v>
      </c>
      <c r="H80" s="15">
        <v>2.4075570000000002</v>
      </c>
      <c r="I80" s="15">
        <v>2.8851710000000002</v>
      </c>
      <c r="J80" s="15">
        <v>6.8178219999999996</v>
      </c>
      <c r="K80" s="15">
        <v>1.983889</v>
      </c>
      <c r="L80" s="16">
        <v>2.2008079999999999</v>
      </c>
      <c r="M80" s="16">
        <v>3.4224389999999998</v>
      </c>
      <c r="N80" s="16">
        <v>3.939479</v>
      </c>
      <c r="O80" s="16">
        <v>2.082236</v>
      </c>
      <c r="P80" s="17">
        <v>4.3375260000000004</v>
      </c>
      <c r="Q80" s="17">
        <v>4.8912060000000004</v>
      </c>
      <c r="R80" s="17">
        <v>2.3777409999999999</v>
      </c>
      <c r="S80" s="17">
        <v>6.1659759999999997</v>
      </c>
      <c r="AP80" s="34"/>
      <c r="AQ80" s="35"/>
      <c r="AR80" s="35"/>
      <c r="AS80" s="35"/>
    </row>
    <row r="81" spans="2:45" x14ac:dyDescent="0.2">
      <c r="B81" s="2">
        <v>43478.026099537034</v>
      </c>
      <c r="C81" s="5">
        <f t="shared" si="15"/>
        <v>6.5833330700000072</v>
      </c>
      <c r="D81" s="14">
        <v>3.1432280000000001</v>
      </c>
      <c r="E81" s="14">
        <v>2.6241180000000002</v>
      </c>
      <c r="F81" s="14">
        <v>3.1731310000000001</v>
      </c>
      <c r="G81" s="14">
        <v>1.5825039999999999</v>
      </c>
      <c r="H81" s="15">
        <v>2.4177140000000001</v>
      </c>
      <c r="I81" s="15">
        <v>2.8900350000000001</v>
      </c>
      <c r="J81" s="15">
        <v>6.8437140000000003</v>
      </c>
      <c r="K81" s="15">
        <v>1.9840679999999999</v>
      </c>
      <c r="L81" s="16">
        <v>2.2008079999999999</v>
      </c>
      <c r="M81" s="16">
        <v>3.4224389999999998</v>
      </c>
      <c r="N81" s="16">
        <v>3.9417680000000002</v>
      </c>
      <c r="O81" s="16">
        <v>2.0828799999999998</v>
      </c>
      <c r="P81" s="17">
        <v>4.354406</v>
      </c>
      <c r="Q81" s="17">
        <v>4.8999319999999997</v>
      </c>
      <c r="R81" s="17">
        <v>2.3848220000000002</v>
      </c>
      <c r="S81" s="17">
        <v>6.1659759999999997</v>
      </c>
      <c r="AP81" s="34"/>
      <c r="AQ81" s="35"/>
      <c r="AR81" s="35"/>
      <c r="AS81" s="35"/>
    </row>
    <row r="82" spans="2:45" x14ac:dyDescent="0.2">
      <c r="B82" s="2">
        <v>43478.02957175926</v>
      </c>
      <c r="C82" s="5">
        <f t="shared" si="15"/>
        <v>6.6666664000000075</v>
      </c>
      <c r="D82" s="14">
        <v>3.1488070000000001</v>
      </c>
      <c r="E82" s="14">
        <v>2.6248330000000002</v>
      </c>
      <c r="F82" s="14">
        <v>3.1741320000000002</v>
      </c>
      <c r="G82" s="14">
        <v>1.5848869999999999</v>
      </c>
      <c r="H82" s="15">
        <v>2.4278710000000001</v>
      </c>
      <c r="I82" s="15">
        <v>2.8948990000000001</v>
      </c>
      <c r="J82" s="15">
        <v>6.8544159999999996</v>
      </c>
      <c r="K82" s="15">
        <v>1.984246</v>
      </c>
      <c r="L82" s="16">
        <v>2.2008079999999999</v>
      </c>
      <c r="M82" s="16">
        <v>3.4224389999999998</v>
      </c>
      <c r="N82" s="16">
        <v>3.9440569999999999</v>
      </c>
      <c r="O82" s="16">
        <v>2.0835240000000002</v>
      </c>
      <c r="P82" s="17">
        <v>4.3712859999999996</v>
      </c>
      <c r="Q82" s="17">
        <v>4.908658</v>
      </c>
      <c r="R82" s="17">
        <v>2.3919030000000001</v>
      </c>
      <c r="S82" s="17">
        <v>6.1659759999999997</v>
      </c>
      <c r="AP82" s="34"/>
      <c r="AQ82" s="35"/>
      <c r="AR82" s="35"/>
      <c r="AS82" s="35"/>
    </row>
    <row r="83" spans="2:45" x14ac:dyDescent="0.2">
      <c r="B83" s="2">
        <v>43478.033043981479</v>
      </c>
      <c r="C83" s="5">
        <f t="shared" si="15"/>
        <v>6.7499997300000079</v>
      </c>
      <c r="D83" s="14">
        <v>3.1543860000000001</v>
      </c>
      <c r="E83" s="14">
        <v>2.6255480000000002</v>
      </c>
      <c r="F83" s="14">
        <v>3.1751330000000002</v>
      </c>
      <c r="G83" s="14">
        <v>1.5876049999999999</v>
      </c>
      <c r="H83" s="15">
        <v>2.4380269999999999</v>
      </c>
      <c r="I83" s="15">
        <v>2.8997630000000001</v>
      </c>
      <c r="J83" s="15">
        <v>6.863442</v>
      </c>
      <c r="K83" s="15">
        <v>1.9844250000000001</v>
      </c>
      <c r="L83" s="16">
        <v>2.2008079999999999</v>
      </c>
      <c r="M83" s="16">
        <v>3.4224389999999998</v>
      </c>
      <c r="N83" s="16">
        <v>3.9463460000000001</v>
      </c>
      <c r="O83" s="16">
        <v>2.0841669999999999</v>
      </c>
      <c r="P83" s="17">
        <v>4.3879409999999996</v>
      </c>
      <c r="Q83" s="17">
        <v>4.9173840000000002</v>
      </c>
      <c r="R83" s="17">
        <v>2.398984</v>
      </c>
      <c r="S83" s="17">
        <v>6.1659759999999997</v>
      </c>
      <c r="AP83" s="34"/>
      <c r="AQ83" s="35"/>
      <c r="AR83" s="35"/>
      <c r="AS83" s="35"/>
    </row>
    <row r="84" spans="2:45" x14ac:dyDescent="0.2">
      <c r="B84" s="2">
        <v>43478.036516203705</v>
      </c>
      <c r="C84" s="5">
        <f t="shared" si="15"/>
        <v>6.8333330600000082</v>
      </c>
      <c r="D84" s="14">
        <v>3.1599650000000001</v>
      </c>
      <c r="E84" s="14">
        <v>2.6262629999999998</v>
      </c>
      <c r="F84" s="14">
        <v>3.1761349999999999</v>
      </c>
      <c r="G84" s="14">
        <v>1.590322</v>
      </c>
      <c r="H84" s="15">
        <v>2.4481839999999999</v>
      </c>
      <c r="I84" s="15">
        <v>2.9046259999999999</v>
      </c>
      <c r="J84" s="15">
        <v>6.8764599999999998</v>
      </c>
      <c r="K84" s="15">
        <v>1.984604</v>
      </c>
      <c r="L84" s="16">
        <v>2.2008079999999999</v>
      </c>
      <c r="M84" s="16">
        <v>3.4224389999999998</v>
      </c>
      <c r="N84" s="16">
        <v>3.9486349999999999</v>
      </c>
      <c r="O84" s="16">
        <v>2.084219</v>
      </c>
      <c r="P84" s="17">
        <v>4.3879409999999996</v>
      </c>
      <c r="Q84" s="17">
        <v>4.9261100000000004</v>
      </c>
      <c r="R84" s="17">
        <v>2.4060649999999999</v>
      </c>
      <c r="S84" s="17">
        <v>6.1659759999999997</v>
      </c>
      <c r="AP84" s="34"/>
      <c r="AQ84" s="35"/>
      <c r="AR84" s="35"/>
      <c r="AS84" s="35"/>
    </row>
    <row r="85" spans="2:45" x14ac:dyDescent="0.2">
      <c r="B85" s="2">
        <v>43478.039988425924</v>
      </c>
      <c r="C85" s="5">
        <f t="shared" si="15"/>
        <v>6.9166663900000085</v>
      </c>
      <c r="D85" s="14">
        <v>3.1655440000000001</v>
      </c>
      <c r="E85" s="14">
        <v>2.626979</v>
      </c>
      <c r="F85" s="14">
        <v>3.177136</v>
      </c>
      <c r="G85" s="14">
        <v>1.59304</v>
      </c>
      <c r="H85" s="15">
        <v>2.458323</v>
      </c>
      <c r="I85" s="15">
        <v>2.9094899999999999</v>
      </c>
      <c r="J85" s="15">
        <v>6.8894770000000003</v>
      </c>
      <c r="K85" s="15">
        <v>1.984783</v>
      </c>
      <c r="L85" s="16">
        <v>2.2008079999999999</v>
      </c>
      <c r="M85" s="16">
        <v>3.4224389999999998</v>
      </c>
      <c r="N85" s="16">
        <v>3.950923</v>
      </c>
      <c r="O85" s="16">
        <v>2.084219</v>
      </c>
      <c r="P85" s="17">
        <v>4.3906450000000001</v>
      </c>
      <c r="Q85" s="17">
        <v>4.9348359999999998</v>
      </c>
      <c r="R85" s="17">
        <v>2.4131459999999998</v>
      </c>
      <c r="S85" s="17">
        <v>6.1659759999999997</v>
      </c>
      <c r="AP85" s="34"/>
      <c r="AQ85" s="35"/>
      <c r="AR85" s="35"/>
      <c r="AS85" s="35"/>
    </row>
    <row r="86" spans="2:45" x14ac:dyDescent="0.2">
      <c r="B86" s="2">
        <v>43478.04346064815</v>
      </c>
      <c r="C86" s="5">
        <f t="shared" si="15"/>
        <v>6.9999997200000088</v>
      </c>
      <c r="D86" s="14">
        <v>3.1711230000000001</v>
      </c>
      <c r="E86" s="14">
        <v>2.627694</v>
      </c>
      <c r="F86" s="14">
        <v>3.1781380000000001</v>
      </c>
      <c r="G86" s="14">
        <v>1.595758</v>
      </c>
      <c r="H86" s="15">
        <v>2.4684970000000002</v>
      </c>
      <c r="I86" s="15">
        <v>2.9143539999999999</v>
      </c>
      <c r="J86" s="15">
        <v>6.902495</v>
      </c>
      <c r="K86" s="15">
        <v>1.9849619999999999</v>
      </c>
      <c r="L86" s="16">
        <v>2.2008079999999999</v>
      </c>
      <c r="M86" s="16">
        <v>3.4224389999999998</v>
      </c>
      <c r="N86" s="16">
        <v>3.9532120000000002</v>
      </c>
      <c r="O86" s="16">
        <v>2.084219</v>
      </c>
      <c r="P86" s="17">
        <v>4.4099560000000002</v>
      </c>
      <c r="Q86" s="17">
        <v>4.9435630000000002</v>
      </c>
      <c r="R86" s="17">
        <v>2.4202279999999998</v>
      </c>
      <c r="S86" s="17">
        <v>6.1659759999999997</v>
      </c>
      <c r="V86" s="25">
        <v>7</v>
      </c>
      <c r="W86">
        <f>AVERAGE(D75:D86)</f>
        <v>3.1490370833333334</v>
      </c>
      <c r="X86">
        <f t="shared" ref="X86:AL86" si="17">AVERAGE(E75:E86)</f>
        <v>2.6237753333333331</v>
      </c>
      <c r="Y86">
        <f t="shared" si="17"/>
        <v>3.172630083333333</v>
      </c>
      <c r="Z86">
        <f t="shared" si="17"/>
        <v>1.5832634999999999</v>
      </c>
      <c r="AA86">
        <f t="shared" si="17"/>
        <v>2.4126341666666673</v>
      </c>
      <c r="AB86">
        <f t="shared" si="17"/>
        <v>2.8876032500000002</v>
      </c>
      <c r="AC86">
        <f t="shared" si="17"/>
        <v>6.8123793333333325</v>
      </c>
      <c r="AD86">
        <f t="shared" si="17"/>
        <v>1.9839942500000003</v>
      </c>
      <c r="AE86">
        <f t="shared" si="17"/>
        <v>2.2008079999999994</v>
      </c>
      <c r="AF86">
        <f t="shared" si="17"/>
        <v>3.4224389999999993</v>
      </c>
      <c r="AG86">
        <f t="shared" si="17"/>
        <v>3.9406237500000003</v>
      </c>
      <c r="AH86">
        <f t="shared" si="17"/>
        <v>2.0822490000000005</v>
      </c>
      <c r="AI86">
        <f t="shared" si="17"/>
        <v>4.3395109166666659</v>
      </c>
      <c r="AJ86">
        <f t="shared" si="17"/>
        <v>4.8955688333333329</v>
      </c>
      <c r="AK86">
        <f t="shared" si="17"/>
        <v>2.3818623333333329</v>
      </c>
      <c r="AL86">
        <f t="shared" si="17"/>
        <v>6.1659759999999997</v>
      </c>
      <c r="AO86" s="25">
        <v>7</v>
      </c>
      <c r="AP86" s="34">
        <f>AVERAGE(W86:Z86)</f>
        <v>2.6321764999999995</v>
      </c>
      <c r="AQ86" s="35">
        <f>AVERAGE(AA86:AD86)</f>
        <v>3.5241527500000003</v>
      </c>
      <c r="AR86" s="35">
        <f>AVERAGE(AE86:AH86)</f>
        <v>2.9115299375000001</v>
      </c>
      <c r="AS86" s="35">
        <f>AVERAGE(AI86:AL86)</f>
        <v>4.4457295208333329</v>
      </c>
    </row>
    <row r="87" spans="2:45" x14ac:dyDescent="0.2">
      <c r="B87" s="2">
        <v>43478.046932870369</v>
      </c>
      <c r="C87" s="5">
        <f t="shared" si="15"/>
        <v>7.0833330500000091</v>
      </c>
      <c r="D87" s="14">
        <v>3.1767020000000001</v>
      </c>
      <c r="E87" s="14">
        <v>2.628409</v>
      </c>
      <c r="F87" s="14">
        <v>3.1791390000000002</v>
      </c>
      <c r="G87" s="14">
        <v>1.598476</v>
      </c>
      <c r="H87" s="15">
        <v>2.4786540000000001</v>
      </c>
      <c r="I87" s="15">
        <v>2.9192179999999999</v>
      </c>
      <c r="J87" s="15">
        <v>6.9155129999999998</v>
      </c>
      <c r="K87" s="15">
        <v>1.985141</v>
      </c>
      <c r="L87" s="16">
        <v>2.2008079999999999</v>
      </c>
      <c r="M87" s="16">
        <v>3.4224389999999998</v>
      </c>
      <c r="N87" s="16">
        <v>3.9555009999999999</v>
      </c>
      <c r="O87" s="16">
        <v>2.0878429999999999</v>
      </c>
      <c r="P87" s="17">
        <v>4.4292680000000004</v>
      </c>
      <c r="Q87" s="17">
        <v>4.9522890000000004</v>
      </c>
      <c r="R87" s="17">
        <v>2.4273090000000002</v>
      </c>
      <c r="S87" s="17">
        <v>6.1659759999999997</v>
      </c>
      <c r="AP87" s="34"/>
      <c r="AQ87" s="35"/>
      <c r="AR87" s="35"/>
      <c r="AS87" s="35"/>
    </row>
    <row r="88" spans="2:45" x14ac:dyDescent="0.2">
      <c r="B88" s="2">
        <v>43478.050405092596</v>
      </c>
      <c r="C88" s="5">
        <f t="shared" si="15"/>
        <v>7.1666663800000094</v>
      </c>
      <c r="D88" s="14">
        <v>3.1822810000000001</v>
      </c>
      <c r="E88" s="14">
        <v>2.629124</v>
      </c>
      <c r="F88" s="14">
        <v>3.1801400000000002</v>
      </c>
      <c r="G88" s="14">
        <v>1.601194</v>
      </c>
      <c r="H88" s="15">
        <v>2.48881</v>
      </c>
      <c r="I88" s="15">
        <v>2.9240810000000002</v>
      </c>
      <c r="J88" s="15">
        <v>6.9285300000000003</v>
      </c>
      <c r="K88" s="15">
        <v>1.9853190000000001</v>
      </c>
      <c r="L88" s="16">
        <v>2.2008079999999999</v>
      </c>
      <c r="M88" s="16">
        <v>3.4224389999999998</v>
      </c>
      <c r="N88" s="16">
        <v>3.9557380000000002</v>
      </c>
      <c r="O88" s="16">
        <v>2.0932789999999999</v>
      </c>
      <c r="P88" s="17">
        <v>4.4485799999999998</v>
      </c>
      <c r="Q88" s="17">
        <v>4.9610149999999997</v>
      </c>
      <c r="R88" s="17">
        <v>2.4343900000000001</v>
      </c>
      <c r="S88" s="17">
        <v>6.1659759999999997</v>
      </c>
      <c r="AP88" s="34"/>
      <c r="AQ88" s="35"/>
      <c r="AR88" s="35"/>
      <c r="AS88" s="35"/>
    </row>
    <row r="89" spans="2:45" x14ac:dyDescent="0.2">
      <c r="B89" s="2">
        <v>43478.053877314815</v>
      </c>
      <c r="C89" s="5">
        <f t="shared" si="15"/>
        <v>7.2499997100000098</v>
      </c>
      <c r="D89" s="14">
        <v>3.1878600000000001</v>
      </c>
      <c r="E89" s="14">
        <v>2.6298400000000002</v>
      </c>
      <c r="F89" s="14">
        <v>3.1811419999999999</v>
      </c>
      <c r="G89" s="14">
        <v>1.603912</v>
      </c>
      <c r="H89" s="15">
        <v>2.4989669999999999</v>
      </c>
      <c r="I89" s="15">
        <v>2.9289450000000001</v>
      </c>
      <c r="J89" s="15">
        <v>6.9415480000000001</v>
      </c>
      <c r="K89" s="15">
        <v>1.985498</v>
      </c>
      <c r="L89" s="16">
        <v>2.2008079999999999</v>
      </c>
      <c r="M89" s="16">
        <v>3.4224389999999998</v>
      </c>
      <c r="N89" s="16">
        <v>3.9557380000000002</v>
      </c>
      <c r="O89" s="16">
        <v>2.0987149999999999</v>
      </c>
      <c r="P89" s="17">
        <v>4.467892</v>
      </c>
      <c r="Q89" s="17">
        <v>4.969741</v>
      </c>
      <c r="R89" s="17">
        <v>2.440385</v>
      </c>
      <c r="S89" s="17">
        <v>6.1659759999999997</v>
      </c>
      <c r="AP89" s="34"/>
      <c r="AQ89" s="35"/>
      <c r="AR89" s="35"/>
      <c r="AS89" s="35"/>
    </row>
    <row r="90" spans="2:45" x14ac:dyDescent="0.2">
      <c r="B90" s="2">
        <v>43478.057349537034</v>
      </c>
      <c r="C90" s="5">
        <f t="shared" si="15"/>
        <v>7.3333330400000101</v>
      </c>
      <c r="D90" s="14">
        <v>3.1934390000000001</v>
      </c>
      <c r="E90" s="14">
        <v>2.6305550000000002</v>
      </c>
      <c r="F90" s="14">
        <v>3.1821429999999999</v>
      </c>
      <c r="G90" s="14">
        <v>1.60663</v>
      </c>
      <c r="H90" s="15">
        <v>2.5091239999999999</v>
      </c>
      <c r="I90" s="15">
        <v>2.9338090000000001</v>
      </c>
      <c r="J90" s="15">
        <v>6.9545659999999998</v>
      </c>
      <c r="K90" s="15">
        <v>1.9856769999999999</v>
      </c>
      <c r="L90" s="16">
        <v>2.2008079999999999</v>
      </c>
      <c r="M90" s="16">
        <v>3.4224389999999998</v>
      </c>
      <c r="N90" s="16">
        <v>3.9557380000000002</v>
      </c>
      <c r="O90" s="16">
        <v>2.1041509999999999</v>
      </c>
      <c r="P90" s="17">
        <v>4.4872040000000002</v>
      </c>
      <c r="Q90" s="17">
        <v>4.9784670000000002</v>
      </c>
      <c r="R90" s="17">
        <v>2.440385</v>
      </c>
      <c r="S90" s="17">
        <v>6.1659759999999997</v>
      </c>
      <c r="AP90" s="34"/>
      <c r="AQ90" s="35"/>
      <c r="AR90" s="35"/>
      <c r="AS90" s="35"/>
    </row>
    <row r="91" spans="2:45" x14ac:dyDescent="0.2">
      <c r="B91" s="2">
        <v>43478.06082175926</v>
      </c>
      <c r="C91" s="5">
        <f t="shared" si="15"/>
        <v>7.4166663700000104</v>
      </c>
      <c r="D91" s="14">
        <v>3.1990180000000001</v>
      </c>
      <c r="E91" s="14">
        <v>2.6312700000000002</v>
      </c>
      <c r="F91" s="14">
        <v>3.183144</v>
      </c>
      <c r="G91" s="14">
        <v>1.609348</v>
      </c>
      <c r="H91" s="15">
        <v>2.5192800000000002</v>
      </c>
      <c r="I91" s="15">
        <v>2.9386730000000001</v>
      </c>
      <c r="J91" s="15">
        <v>6.9675830000000003</v>
      </c>
      <c r="K91" s="15">
        <v>1.9858560000000001</v>
      </c>
      <c r="L91" s="16">
        <v>2.2008079999999999</v>
      </c>
      <c r="M91" s="16">
        <v>3.4224389999999998</v>
      </c>
      <c r="N91" s="16">
        <v>3.9557380000000002</v>
      </c>
      <c r="O91" s="16">
        <v>2.1095860000000002</v>
      </c>
      <c r="P91" s="17">
        <v>4.5065160000000004</v>
      </c>
      <c r="Q91" s="17">
        <v>4.9871930000000004</v>
      </c>
      <c r="R91" s="17">
        <v>2.440385</v>
      </c>
      <c r="S91" s="17">
        <v>6.1659759999999997</v>
      </c>
      <c r="AP91" s="34"/>
      <c r="AQ91" s="35"/>
      <c r="AR91" s="35"/>
      <c r="AS91" s="35"/>
    </row>
    <row r="92" spans="2:45" x14ac:dyDescent="0.2">
      <c r="B92" s="2">
        <v>43478.064293981479</v>
      </c>
      <c r="C92" s="5">
        <f t="shared" si="15"/>
        <v>7.4999997000000107</v>
      </c>
      <c r="D92" s="14">
        <v>3.2045970000000001</v>
      </c>
      <c r="E92" s="14">
        <v>2.6319849999999998</v>
      </c>
      <c r="F92" s="14">
        <v>3.1841460000000001</v>
      </c>
      <c r="G92" s="14">
        <v>1.612066</v>
      </c>
      <c r="H92" s="15">
        <v>2.5294370000000002</v>
      </c>
      <c r="I92" s="15">
        <v>2.9435359999999999</v>
      </c>
      <c r="J92" s="15">
        <v>6.9806010000000001</v>
      </c>
      <c r="K92" s="15">
        <v>1.986035</v>
      </c>
      <c r="L92" s="16">
        <v>2.2008079999999999</v>
      </c>
      <c r="M92" s="16">
        <v>3.4224389999999998</v>
      </c>
      <c r="N92" s="16">
        <v>3.9557380000000002</v>
      </c>
      <c r="O92" s="16">
        <v>2.1150220000000002</v>
      </c>
      <c r="P92" s="17">
        <v>4.5258279999999997</v>
      </c>
      <c r="Q92" s="17">
        <v>4.9959189999999998</v>
      </c>
      <c r="R92" s="17">
        <v>2.4405109999999999</v>
      </c>
      <c r="S92" s="17">
        <v>6.1659759999999997</v>
      </c>
      <c r="AP92" s="34"/>
      <c r="AQ92" s="35"/>
      <c r="AR92" s="35"/>
      <c r="AS92" s="35"/>
    </row>
    <row r="93" spans="2:45" x14ac:dyDescent="0.2">
      <c r="B93" s="2">
        <v>43478.067766203705</v>
      </c>
      <c r="C93" s="5">
        <f t="shared" si="15"/>
        <v>7.583333030000011</v>
      </c>
      <c r="D93" s="14">
        <v>3.2101760000000001</v>
      </c>
      <c r="E93" s="14">
        <v>2.632701</v>
      </c>
      <c r="F93" s="14">
        <v>3.1851470000000002</v>
      </c>
      <c r="G93" s="14">
        <v>1.614784</v>
      </c>
      <c r="H93" s="15">
        <v>2.539593</v>
      </c>
      <c r="I93" s="15">
        <v>2.9483999999999999</v>
      </c>
      <c r="J93" s="15">
        <v>6.9936179999999997</v>
      </c>
      <c r="K93" s="15">
        <v>1.986213</v>
      </c>
      <c r="L93" s="16">
        <v>2.2008079999999999</v>
      </c>
      <c r="M93" s="16">
        <v>3.4224389999999998</v>
      </c>
      <c r="N93" s="16">
        <v>3.9557380000000002</v>
      </c>
      <c r="O93" s="16">
        <v>2.1204580000000002</v>
      </c>
      <c r="P93" s="17">
        <v>4.54514</v>
      </c>
      <c r="Q93" s="17">
        <v>5.004645</v>
      </c>
      <c r="R93" s="17">
        <v>2.4407969999999999</v>
      </c>
      <c r="S93" s="17">
        <v>6.1659759999999997</v>
      </c>
      <c r="AP93" s="34"/>
      <c r="AQ93" s="35"/>
      <c r="AR93" s="35"/>
      <c r="AS93" s="35"/>
    </row>
    <row r="94" spans="2:45" x14ac:dyDescent="0.2">
      <c r="B94" s="2">
        <v>43478.071238425924</v>
      </c>
      <c r="C94" s="5">
        <f t="shared" si="15"/>
        <v>7.6666663600000113</v>
      </c>
      <c r="D94" s="14">
        <v>3.2157550000000001</v>
      </c>
      <c r="E94" s="14">
        <v>2.633416</v>
      </c>
      <c r="F94" s="14">
        <v>3.1861480000000002</v>
      </c>
      <c r="G94" s="14">
        <v>1.617502</v>
      </c>
      <c r="H94" s="15">
        <v>2.54975</v>
      </c>
      <c r="I94" s="15">
        <v>2.9532639999999999</v>
      </c>
      <c r="J94" s="15">
        <v>7.0066360000000003</v>
      </c>
      <c r="K94" s="15">
        <v>1.9863919999999999</v>
      </c>
      <c r="L94" s="16">
        <v>2.2008079999999999</v>
      </c>
      <c r="M94" s="16">
        <v>3.4224389999999998</v>
      </c>
      <c r="N94" s="16">
        <v>3.9557380000000002</v>
      </c>
      <c r="O94" s="16">
        <v>2.1258940000000002</v>
      </c>
      <c r="P94" s="17">
        <v>4.5644520000000002</v>
      </c>
      <c r="Q94" s="17">
        <v>5.0133710000000002</v>
      </c>
      <c r="R94" s="17">
        <v>2.4410829999999999</v>
      </c>
      <c r="S94" s="17">
        <v>6.1659759999999997</v>
      </c>
      <c r="AP94" s="34"/>
      <c r="AQ94" s="35"/>
      <c r="AR94" s="35"/>
      <c r="AS94" s="35"/>
    </row>
    <row r="95" spans="2:45" x14ac:dyDescent="0.2">
      <c r="B95" s="2">
        <v>43478.07471064815</v>
      </c>
      <c r="C95" s="5">
        <f t="shared" si="15"/>
        <v>7.7499996900000117</v>
      </c>
      <c r="D95" s="14">
        <v>3.2213340000000001</v>
      </c>
      <c r="E95" s="14">
        <v>2.634131</v>
      </c>
      <c r="F95" s="14">
        <v>3.1871499999999999</v>
      </c>
      <c r="G95" s="14">
        <v>1.62022</v>
      </c>
      <c r="H95" s="15">
        <v>2.5599069999999999</v>
      </c>
      <c r="I95" s="15">
        <v>2.9581270000000002</v>
      </c>
      <c r="J95" s="15">
        <v>7.0196540000000001</v>
      </c>
      <c r="K95" s="15">
        <v>1.9865710000000001</v>
      </c>
      <c r="L95" s="16">
        <v>2.2008079999999999</v>
      </c>
      <c r="M95" s="16">
        <v>3.4224389999999998</v>
      </c>
      <c r="N95" s="16">
        <v>3.9557380000000002</v>
      </c>
      <c r="O95" s="16">
        <v>2.1313300000000002</v>
      </c>
      <c r="P95" s="17">
        <v>4.5837640000000004</v>
      </c>
      <c r="Q95" s="17">
        <v>5.0220979999999997</v>
      </c>
      <c r="R95" s="17">
        <v>2.4413689999999999</v>
      </c>
      <c r="S95" s="17">
        <v>6.1659759999999997</v>
      </c>
      <c r="AP95" s="34"/>
      <c r="AQ95" s="35"/>
      <c r="AR95" s="35"/>
      <c r="AS95" s="35"/>
    </row>
    <row r="96" spans="2:45" x14ac:dyDescent="0.2">
      <c r="B96" s="2">
        <v>43478.078182870369</v>
      </c>
      <c r="C96" s="5">
        <f t="shared" si="15"/>
        <v>7.833333020000012</v>
      </c>
      <c r="D96" s="14">
        <v>3.2269130000000001</v>
      </c>
      <c r="E96" s="14">
        <v>2.634846</v>
      </c>
      <c r="F96" s="14">
        <v>3.188151</v>
      </c>
      <c r="G96" s="14">
        <v>1.622938</v>
      </c>
      <c r="H96" s="15">
        <v>2.5700630000000002</v>
      </c>
      <c r="I96" s="15">
        <v>2.9629910000000002</v>
      </c>
      <c r="J96" s="15">
        <v>7.0326709999999997</v>
      </c>
      <c r="K96" s="15">
        <v>1.98675</v>
      </c>
      <c r="L96" s="16">
        <v>2.2008079999999999</v>
      </c>
      <c r="M96" s="16">
        <v>3.4224389999999998</v>
      </c>
      <c r="N96" s="16">
        <v>3.9557380000000002</v>
      </c>
      <c r="O96" s="16">
        <v>2.1367660000000002</v>
      </c>
      <c r="P96" s="17">
        <v>4.6030759999999997</v>
      </c>
      <c r="Q96" s="17">
        <v>5.030824</v>
      </c>
      <c r="R96" s="17">
        <v>2.4416549999999999</v>
      </c>
      <c r="S96" s="17">
        <v>6.1659759999999997</v>
      </c>
      <c r="AP96" s="34"/>
      <c r="AQ96" s="35"/>
      <c r="AR96" s="35"/>
      <c r="AS96" s="35"/>
    </row>
    <row r="97" spans="2:45" x14ac:dyDescent="0.2">
      <c r="B97" s="2">
        <v>43478.081655092596</v>
      </c>
      <c r="C97" s="5">
        <f t="shared" si="15"/>
        <v>7.9166663500000123</v>
      </c>
      <c r="D97" s="14">
        <v>3.2324920000000001</v>
      </c>
      <c r="E97" s="14">
        <v>2.6355620000000002</v>
      </c>
      <c r="F97" s="14">
        <v>3.189152</v>
      </c>
      <c r="G97" s="14">
        <v>1.625656</v>
      </c>
      <c r="H97" s="15">
        <v>2.5802200000000002</v>
      </c>
      <c r="I97" s="15">
        <v>2.9678550000000001</v>
      </c>
      <c r="J97" s="15">
        <v>7.0456890000000003</v>
      </c>
      <c r="K97" s="15">
        <v>1.9869289999999999</v>
      </c>
      <c r="L97" s="16">
        <v>2.2008079999999999</v>
      </c>
      <c r="M97" s="16">
        <v>3.4224389999999998</v>
      </c>
      <c r="N97" s="16">
        <v>3.9557380000000002</v>
      </c>
      <c r="O97" s="16">
        <v>2.1422020000000002</v>
      </c>
      <c r="P97" s="17">
        <v>4.612088</v>
      </c>
      <c r="Q97" s="17">
        <v>5.0395500000000002</v>
      </c>
      <c r="R97" s="17">
        <v>2.4419409999999999</v>
      </c>
      <c r="S97" s="17">
        <v>6.1659759999999997</v>
      </c>
      <c r="AP97" s="34"/>
      <c r="AQ97" s="35"/>
      <c r="AR97" s="35"/>
      <c r="AS97" s="35"/>
    </row>
    <row r="98" spans="2:45" x14ac:dyDescent="0.2">
      <c r="B98" s="2">
        <v>43478.085127314815</v>
      </c>
      <c r="C98" s="5">
        <f t="shared" si="15"/>
        <v>7.9999996800000126</v>
      </c>
      <c r="D98" s="14">
        <v>3.2380710000000001</v>
      </c>
      <c r="E98" s="14">
        <v>2.6362770000000002</v>
      </c>
      <c r="F98" s="14">
        <v>3.1901540000000002</v>
      </c>
      <c r="G98" s="14">
        <v>1.6274770000000001</v>
      </c>
      <c r="H98" s="15">
        <v>2.5903770000000002</v>
      </c>
      <c r="I98" s="15">
        <v>2.9727190000000001</v>
      </c>
      <c r="J98" s="15">
        <v>7.0587070000000001</v>
      </c>
      <c r="K98" s="15">
        <v>1.9871080000000001</v>
      </c>
      <c r="L98" s="16">
        <v>2.2008079999999999</v>
      </c>
      <c r="M98" s="16">
        <v>3.4224389999999998</v>
      </c>
      <c r="N98" s="16">
        <v>3.9557380000000002</v>
      </c>
      <c r="O98" s="16">
        <v>2.1476380000000002</v>
      </c>
      <c r="P98" s="17">
        <v>4.612088</v>
      </c>
      <c r="Q98" s="17">
        <v>5.0482760000000004</v>
      </c>
      <c r="R98" s="17">
        <v>2.4421050000000002</v>
      </c>
      <c r="S98" s="17">
        <v>6.1659759999999997</v>
      </c>
      <c r="V98" s="25">
        <v>8</v>
      </c>
      <c r="W98">
        <f>AVERAGE(D87:D98)</f>
        <v>3.2073865000000001</v>
      </c>
      <c r="X98">
        <f t="shared" ref="X98:AL98" si="18">AVERAGE(E87:E98)</f>
        <v>2.6323430000000001</v>
      </c>
      <c r="Y98">
        <f t="shared" si="18"/>
        <v>3.1846463333333337</v>
      </c>
      <c r="Z98">
        <f t="shared" si="18"/>
        <v>1.6133502499999999</v>
      </c>
      <c r="AA98">
        <f t="shared" si="18"/>
        <v>2.5345151666666665</v>
      </c>
      <c r="AB98">
        <f t="shared" si="18"/>
        <v>2.9459681666666668</v>
      </c>
      <c r="AC98">
        <f t="shared" si="18"/>
        <v>6.9871096666666661</v>
      </c>
      <c r="AD98">
        <f t="shared" si="18"/>
        <v>1.9861240833333333</v>
      </c>
      <c r="AE98">
        <f t="shared" si="18"/>
        <v>2.2008079999999994</v>
      </c>
      <c r="AF98">
        <f t="shared" si="18"/>
        <v>3.4224389999999993</v>
      </c>
      <c r="AG98">
        <f t="shared" si="18"/>
        <v>3.955718249999999</v>
      </c>
      <c r="AH98">
        <f t="shared" si="18"/>
        <v>2.1177403333333333</v>
      </c>
      <c r="AI98">
        <f t="shared" si="18"/>
        <v>4.5321579999999999</v>
      </c>
      <c r="AJ98">
        <f t="shared" si="18"/>
        <v>5.0002823333333337</v>
      </c>
      <c r="AK98">
        <f t="shared" si="18"/>
        <v>2.4393595833333332</v>
      </c>
      <c r="AL98">
        <f t="shared" si="18"/>
        <v>6.1659759999999997</v>
      </c>
      <c r="AO98" s="25">
        <v>8</v>
      </c>
      <c r="AP98" s="34">
        <f>AVERAGE(W98:Z98)</f>
        <v>2.6594315208333335</v>
      </c>
      <c r="AQ98" s="35">
        <f>AVERAGE(AA98:AD98)</f>
        <v>3.6134292708333335</v>
      </c>
      <c r="AR98" s="35">
        <f>AVERAGE(AE98:AH98)</f>
        <v>2.9241763958333329</v>
      </c>
      <c r="AS98" s="35">
        <f>AVERAGE(AI98:AL98)</f>
        <v>4.5344439791666664</v>
      </c>
    </row>
    <row r="99" spans="2:45" x14ac:dyDescent="0.2">
      <c r="B99" s="2">
        <v>43478.088599537034</v>
      </c>
      <c r="C99" s="5">
        <f t="shared" si="15"/>
        <v>8.0833330100000129</v>
      </c>
      <c r="D99" s="14">
        <v>3.2436500000000001</v>
      </c>
      <c r="E99" s="14">
        <v>2.63673</v>
      </c>
      <c r="F99" s="14">
        <v>3.1911550000000002</v>
      </c>
      <c r="G99" s="14">
        <v>1.6297170000000001</v>
      </c>
      <c r="H99" s="15">
        <v>2.600533</v>
      </c>
      <c r="I99" s="15">
        <v>2.977582</v>
      </c>
      <c r="J99" s="15">
        <v>7.0717239999999997</v>
      </c>
      <c r="K99" s="15">
        <v>1.9872860000000001</v>
      </c>
      <c r="L99" s="16">
        <v>2.2008079999999999</v>
      </c>
      <c r="M99" s="16">
        <v>3.4224389999999998</v>
      </c>
      <c r="N99" s="16">
        <v>3.9557380000000002</v>
      </c>
      <c r="O99" s="16">
        <v>2.1530740000000002</v>
      </c>
      <c r="P99" s="17">
        <v>4.612088</v>
      </c>
      <c r="Q99" s="17">
        <v>5.0570019999999998</v>
      </c>
      <c r="R99" s="17">
        <v>2.4421089999999999</v>
      </c>
      <c r="S99" s="17">
        <v>6.1659759999999997</v>
      </c>
      <c r="AP99" s="34"/>
      <c r="AQ99" s="35"/>
      <c r="AR99" s="35"/>
      <c r="AS99" s="35"/>
    </row>
    <row r="100" spans="2:45" x14ac:dyDescent="0.2">
      <c r="B100" s="2">
        <v>43478.09207175926</v>
      </c>
      <c r="C100" s="5">
        <f t="shared" si="15"/>
        <v>8.1666663400000132</v>
      </c>
      <c r="D100" s="14">
        <v>3.2492290000000001</v>
      </c>
      <c r="E100" s="14">
        <v>2.638223</v>
      </c>
      <c r="F100" s="14">
        <v>3.1915659999999999</v>
      </c>
      <c r="G100" s="14">
        <v>1.633329</v>
      </c>
      <c r="H100" s="15">
        <v>2.61069</v>
      </c>
      <c r="I100" s="15">
        <v>2.9822030000000002</v>
      </c>
      <c r="J100" s="15">
        <v>7.0847420000000003</v>
      </c>
      <c r="K100" s="15">
        <v>1.987465</v>
      </c>
      <c r="L100" s="16">
        <v>2.2008079999999999</v>
      </c>
      <c r="M100" s="16">
        <v>3.4224389999999998</v>
      </c>
      <c r="N100" s="16">
        <v>3.9557380000000002</v>
      </c>
      <c r="O100" s="16">
        <v>2.1585100000000002</v>
      </c>
      <c r="P100" s="17">
        <v>4.612088</v>
      </c>
      <c r="Q100" s="17">
        <v>5.0650589999999998</v>
      </c>
      <c r="R100" s="17">
        <v>2.444858</v>
      </c>
      <c r="S100" s="17">
        <v>6.1659759999999997</v>
      </c>
      <c r="AP100" s="34"/>
      <c r="AQ100" s="35"/>
      <c r="AR100" s="35"/>
      <c r="AS100" s="35"/>
    </row>
    <row r="101" spans="2:45" x14ac:dyDescent="0.2">
      <c r="B101" s="2">
        <v>43478.095543981479</v>
      </c>
      <c r="C101" s="5">
        <f t="shared" si="15"/>
        <v>8.2499996700000136</v>
      </c>
      <c r="D101" s="14">
        <v>3.2548080000000001</v>
      </c>
      <c r="E101" s="14">
        <v>2.640298</v>
      </c>
      <c r="F101" s="14">
        <v>3.1931600000000002</v>
      </c>
      <c r="G101" s="14">
        <v>1.636941</v>
      </c>
      <c r="H101" s="15">
        <v>2.6208469999999999</v>
      </c>
      <c r="I101" s="15">
        <v>2.9823590000000002</v>
      </c>
      <c r="J101" s="15">
        <v>7.0977600000000001</v>
      </c>
      <c r="K101" s="15">
        <v>1.987644</v>
      </c>
      <c r="L101" s="16">
        <v>2.2008079999999999</v>
      </c>
      <c r="M101" s="16">
        <v>3.4224389999999998</v>
      </c>
      <c r="N101" s="16">
        <v>3.9557380000000002</v>
      </c>
      <c r="O101" s="16">
        <v>2.1639460000000001</v>
      </c>
      <c r="P101" s="17">
        <v>4.6218079999999997</v>
      </c>
      <c r="Q101" s="17">
        <v>5.0650589999999998</v>
      </c>
      <c r="R101" s="17">
        <v>2.4476469999999999</v>
      </c>
      <c r="S101" s="17">
        <v>6.16629</v>
      </c>
      <c r="AP101" s="34"/>
      <c r="AQ101" s="35"/>
      <c r="AR101" s="35"/>
      <c r="AS101" s="35"/>
    </row>
    <row r="102" spans="2:45" x14ac:dyDescent="0.2">
      <c r="B102" s="2">
        <v>43478.099016203705</v>
      </c>
      <c r="C102" s="5">
        <f t="shared" si="15"/>
        <v>8.3333330000000139</v>
      </c>
      <c r="D102" s="14">
        <v>3.2603870000000001</v>
      </c>
      <c r="E102" s="14">
        <v>2.6423719999999999</v>
      </c>
      <c r="F102" s="14">
        <v>3.195449</v>
      </c>
      <c r="G102" s="14">
        <v>1.6405529999999999</v>
      </c>
      <c r="H102" s="15">
        <v>2.6310030000000002</v>
      </c>
      <c r="I102" s="15">
        <v>2.9826459999999999</v>
      </c>
      <c r="J102" s="15">
        <v>7.1107769999999997</v>
      </c>
      <c r="K102" s="15">
        <v>1.9878229999999999</v>
      </c>
      <c r="L102" s="16">
        <v>2.2008079999999999</v>
      </c>
      <c r="M102" s="16">
        <v>3.4224389999999998</v>
      </c>
      <c r="N102" s="16">
        <v>3.95574</v>
      </c>
      <c r="O102" s="16">
        <v>2.1693820000000001</v>
      </c>
      <c r="P102" s="17">
        <v>4.6738780000000002</v>
      </c>
      <c r="Q102" s="17">
        <v>5.0650589999999998</v>
      </c>
      <c r="R102" s="17">
        <v>2.450437</v>
      </c>
      <c r="S102" s="17">
        <v>6.1684359999999998</v>
      </c>
      <c r="AP102" s="34"/>
      <c r="AQ102" s="35"/>
      <c r="AR102" s="35"/>
      <c r="AS102" s="35"/>
    </row>
    <row r="103" spans="2:45" x14ac:dyDescent="0.2">
      <c r="B103" s="2">
        <v>43478.102488425924</v>
      </c>
      <c r="C103" s="5">
        <f t="shared" si="15"/>
        <v>8.4166663300000142</v>
      </c>
      <c r="D103" s="14">
        <v>3.2659660000000001</v>
      </c>
      <c r="E103" s="14">
        <v>2.6444459999999999</v>
      </c>
      <c r="F103" s="14">
        <v>3.1977380000000002</v>
      </c>
      <c r="G103" s="14">
        <v>1.6441650000000001</v>
      </c>
      <c r="H103" s="15">
        <v>2.6411600000000002</v>
      </c>
      <c r="I103" s="15">
        <v>2.9829319999999999</v>
      </c>
      <c r="J103" s="15">
        <v>7.1237950000000003</v>
      </c>
      <c r="K103" s="15">
        <v>1.988002</v>
      </c>
      <c r="L103" s="16">
        <v>2.2008079999999999</v>
      </c>
      <c r="M103" s="16">
        <v>3.4224389999999998</v>
      </c>
      <c r="N103" s="16">
        <v>3.955883</v>
      </c>
      <c r="O103" s="16">
        <v>2.1748180000000001</v>
      </c>
      <c r="P103" s="17">
        <v>4.725949</v>
      </c>
      <c r="Q103" s="17">
        <v>5.0661820000000004</v>
      </c>
      <c r="R103" s="17">
        <v>2.4532259999999999</v>
      </c>
      <c r="S103" s="17">
        <v>6.1705819999999996</v>
      </c>
      <c r="AP103" s="34"/>
      <c r="AQ103" s="35"/>
      <c r="AR103" s="35"/>
      <c r="AS103" s="35"/>
    </row>
    <row r="104" spans="2:45" x14ac:dyDescent="0.2">
      <c r="B104" s="2">
        <v>43478.10596064815</v>
      </c>
      <c r="C104" s="5">
        <f t="shared" si="15"/>
        <v>8.4999996600000145</v>
      </c>
      <c r="D104" s="14">
        <v>3.2715450000000001</v>
      </c>
      <c r="E104" s="14">
        <v>2.6465200000000002</v>
      </c>
      <c r="F104" s="14">
        <v>3.200027</v>
      </c>
      <c r="G104" s="14">
        <v>1.644827</v>
      </c>
      <c r="H104" s="15">
        <v>2.651316</v>
      </c>
      <c r="I104" s="15">
        <v>2.9832179999999999</v>
      </c>
      <c r="J104" s="15">
        <v>7.1368130000000001</v>
      </c>
      <c r="K104" s="15">
        <v>1.9881800000000001</v>
      </c>
      <c r="L104" s="16">
        <v>2.2008079999999999</v>
      </c>
      <c r="M104" s="16">
        <v>3.4224389999999998</v>
      </c>
      <c r="N104" s="16">
        <v>3.956026</v>
      </c>
      <c r="O104" s="16">
        <v>2.1802540000000001</v>
      </c>
      <c r="P104" s="17">
        <v>4.7780189999999996</v>
      </c>
      <c r="Q104" s="17">
        <v>5.0693289999999998</v>
      </c>
      <c r="R104" s="17">
        <v>2.456016</v>
      </c>
      <c r="S104" s="17">
        <v>6.1727280000000002</v>
      </c>
      <c r="AP104" s="34"/>
      <c r="AQ104" s="35"/>
      <c r="AR104" s="35"/>
      <c r="AS104" s="35"/>
    </row>
    <row r="105" spans="2:45" x14ac:dyDescent="0.2">
      <c r="B105" s="2">
        <v>43478.109432870369</v>
      </c>
      <c r="C105" s="5">
        <f t="shared" si="15"/>
        <v>8.5833329900000148</v>
      </c>
      <c r="D105" s="14">
        <v>3.2771240000000001</v>
      </c>
      <c r="E105" s="14">
        <v>2.6485949999999998</v>
      </c>
      <c r="F105" s="14">
        <v>3.2023160000000002</v>
      </c>
      <c r="G105" s="14">
        <v>1.644827</v>
      </c>
      <c r="H105" s="15">
        <v>2.661473</v>
      </c>
      <c r="I105" s="15">
        <v>2.9835039999999999</v>
      </c>
      <c r="J105" s="15">
        <v>7.1498299999999997</v>
      </c>
      <c r="K105" s="15">
        <v>1.988359</v>
      </c>
      <c r="L105" s="16">
        <v>2.2008079999999999</v>
      </c>
      <c r="M105" s="16">
        <v>3.4224389999999998</v>
      </c>
      <c r="N105" s="16">
        <v>3.956169</v>
      </c>
      <c r="O105" s="16">
        <v>2.1856900000000001</v>
      </c>
      <c r="P105" s="17">
        <v>4.8300900000000002</v>
      </c>
      <c r="Q105" s="17">
        <v>5.072476</v>
      </c>
      <c r="R105" s="17">
        <v>2.4588049999999999</v>
      </c>
      <c r="S105" s="17">
        <v>6.1748729999999998</v>
      </c>
      <c r="AP105" s="34"/>
      <c r="AQ105" s="35"/>
      <c r="AR105" s="35"/>
      <c r="AS105" s="35"/>
    </row>
    <row r="106" spans="2:45" x14ac:dyDescent="0.2">
      <c r="B106" s="2">
        <v>43478.112905092596</v>
      </c>
      <c r="C106" s="5">
        <f t="shared" si="15"/>
        <v>8.6666663200000151</v>
      </c>
      <c r="D106" s="14">
        <v>3.2827030000000001</v>
      </c>
      <c r="E106" s="14">
        <v>2.6506690000000002</v>
      </c>
      <c r="F106" s="14">
        <v>3.2046039999999998</v>
      </c>
      <c r="G106" s="14">
        <v>1.6463950000000001</v>
      </c>
      <c r="H106" s="15">
        <v>2.6716299999999999</v>
      </c>
      <c r="I106" s="15">
        <v>2.9837899999999999</v>
      </c>
      <c r="J106" s="15">
        <v>7.1628480000000003</v>
      </c>
      <c r="K106" s="15">
        <v>1.9885379999999999</v>
      </c>
      <c r="L106" s="16">
        <v>2.2008079999999999</v>
      </c>
      <c r="M106" s="16">
        <v>3.4224389999999998</v>
      </c>
      <c r="N106" s="16">
        <v>3.9563120000000001</v>
      </c>
      <c r="O106" s="16">
        <v>2.1911260000000001</v>
      </c>
      <c r="P106" s="17">
        <v>4.882161</v>
      </c>
      <c r="Q106" s="17">
        <v>5.0756230000000002</v>
      </c>
      <c r="R106" s="17">
        <v>2.461595</v>
      </c>
      <c r="S106" s="17">
        <v>6.1770189999999996</v>
      </c>
      <c r="AP106" s="34"/>
      <c r="AQ106" s="35"/>
      <c r="AR106" s="35"/>
      <c r="AS106" s="35"/>
    </row>
    <row r="107" spans="2:45" x14ac:dyDescent="0.2">
      <c r="B107" s="2">
        <v>43478.116377314815</v>
      </c>
      <c r="C107" s="5">
        <f t="shared" si="15"/>
        <v>8.7499996500000154</v>
      </c>
      <c r="D107" s="14">
        <v>3.2882820000000001</v>
      </c>
      <c r="E107" s="14">
        <v>2.6527430000000001</v>
      </c>
      <c r="F107" s="14">
        <v>3.206893</v>
      </c>
      <c r="G107" s="14">
        <v>1.6498280000000001</v>
      </c>
      <c r="H107" s="15">
        <v>2.6817859999999998</v>
      </c>
      <c r="I107" s="15">
        <v>2.984076</v>
      </c>
      <c r="J107" s="15">
        <v>7.1758660000000001</v>
      </c>
      <c r="K107" s="15">
        <v>1.9887170000000001</v>
      </c>
      <c r="L107" s="16">
        <v>2.2008079999999999</v>
      </c>
      <c r="M107" s="16">
        <v>3.4224389999999998</v>
      </c>
      <c r="N107" s="16">
        <v>3.9564550000000001</v>
      </c>
      <c r="O107" s="16">
        <v>2.1965620000000001</v>
      </c>
      <c r="P107" s="17">
        <v>4.9342309999999996</v>
      </c>
      <c r="Q107" s="17">
        <v>5.0787699999999996</v>
      </c>
      <c r="R107" s="17">
        <v>2.4643839999999999</v>
      </c>
      <c r="S107" s="17">
        <v>6.1791650000000002</v>
      </c>
      <c r="AP107" s="34"/>
      <c r="AQ107" s="35"/>
      <c r="AR107" s="35"/>
      <c r="AS107" s="35"/>
    </row>
    <row r="108" spans="2:45" x14ac:dyDescent="0.2">
      <c r="B108" s="2">
        <v>43478.119849537034</v>
      </c>
      <c r="C108" s="5">
        <f t="shared" si="15"/>
        <v>8.8333329800000158</v>
      </c>
      <c r="D108" s="14">
        <v>3.2938610000000001</v>
      </c>
      <c r="E108" s="14">
        <v>2.654817</v>
      </c>
      <c r="F108" s="14">
        <v>3.2091820000000002</v>
      </c>
      <c r="G108" s="14">
        <v>1.6532610000000001</v>
      </c>
      <c r="H108" s="15">
        <v>2.6919430000000002</v>
      </c>
      <c r="I108" s="15">
        <v>2.984362</v>
      </c>
      <c r="J108" s="15">
        <v>7.1888829999999997</v>
      </c>
      <c r="K108" s="15">
        <v>1.988896</v>
      </c>
      <c r="L108" s="16">
        <v>2.2008079999999999</v>
      </c>
      <c r="M108" s="16">
        <v>3.4224389999999998</v>
      </c>
      <c r="N108" s="16">
        <v>3.9571459999999998</v>
      </c>
      <c r="O108" s="16">
        <v>2.201581</v>
      </c>
      <c r="P108" s="17">
        <v>4.9863020000000002</v>
      </c>
      <c r="Q108" s="17">
        <v>5.0819169999999998</v>
      </c>
      <c r="R108" s="17">
        <v>2.467174</v>
      </c>
      <c r="S108" s="17">
        <v>6.181311</v>
      </c>
      <c r="AP108" s="34"/>
      <c r="AQ108" s="35"/>
      <c r="AR108" s="35"/>
      <c r="AS108" s="35"/>
    </row>
    <row r="109" spans="2:45" x14ac:dyDescent="0.2">
      <c r="B109" s="2">
        <v>43478.12332175926</v>
      </c>
      <c r="C109" s="5">
        <f t="shared" si="15"/>
        <v>8.9166663100000161</v>
      </c>
      <c r="D109" s="14">
        <v>3.2994400000000002</v>
      </c>
      <c r="E109" s="14">
        <v>2.656892</v>
      </c>
      <c r="F109" s="14">
        <v>3.211471</v>
      </c>
      <c r="G109" s="14">
        <v>1.656695</v>
      </c>
      <c r="H109" s="15">
        <v>2.7021000000000002</v>
      </c>
      <c r="I109" s="15">
        <v>2.984648</v>
      </c>
      <c r="J109" s="15">
        <v>7.1919639999999996</v>
      </c>
      <c r="K109" s="15">
        <v>1.989074</v>
      </c>
      <c r="L109" s="16">
        <v>2.2008079999999999</v>
      </c>
      <c r="M109" s="16">
        <v>3.4224389999999998</v>
      </c>
      <c r="N109" s="16">
        <v>3.9695909999999999</v>
      </c>
      <c r="O109" s="16">
        <v>2.201581</v>
      </c>
      <c r="P109" s="17">
        <v>5.038373</v>
      </c>
      <c r="Q109" s="17">
        <v>5.085064</v>
      </c>
      <c r="R109" s="17">
        <v>2.4699629999999999</v>
      </c>
      <c r="S109" s="17">
        <v>6.1834559999999996</v>
      </c>
      <c r="AP109" s="34"/>
      <c r="AQ109" s="35"/>
      <c r="AR109" s="35"/>
      <c r="AS109" s="35"/>
    </row>
    <row r="110" spans="2:45" x14ac:dyDescent="0.2">
      <c r="B110" s="2">
        <v>43478.126793981479</v>
      </c>
      <c r="C110" s="5">
        <f t="shared" si="15"/>
        <v>8.9999996400000164</v>
      </c>
      <c r="D110" s="14">
        <v>3.3050190000000002</v>
      </c>
      <c r="E110" s="14">
        <v>2.6589659999999999</v>
      </c>
      <c r="F110" s="14">
        <v>3.2137600000000002</v>
      </c>
      <c r="G110" s="14">
        <v>1.660128</v>
      </c>
      <c r="H110" s="15">
        <v>2.712256</v>
      </c>
      <c r="I110" s="15">
        <v>2.984934</v>
      </c>
      <c r="J110" s="15">
        <v>7.1919639999999996</v>
      </c>
      <c r="K110" s="15">
        <v>1.9892529999999999</v>
      </c>
      <c r="L110" s="16">
        <v>2.2008079999999999</v>
      </c>
      <c r="M110" s="16">
        <v>3.4224389999999998</v>
      </c>
      <c r="N110" s="16">
        <v>3.982037</v>
      </c>
      <c r="O110" s="16">
        <v>2.2029809999999999</v>
      </c>
      <c r="P110" s="17">
        <v>5.0904429999999996</v>
      </c>
      <c r="Q110" s="17">
        <v>5.0857989999999997</v>
      </c>
      <c r="R110" s="17">
        <v>2.472753</v>
      </c>
      <c r="S110" s="17">
        <v>6.1856020000000003</v>
      </c>
      <c r="V110" s="25">
        <v>9</v>
      </c>
      <c r="W110">
        <f>AVERAGE(D99:D110)</f>
        <v>3.2743345000000001</v>
      </c>
      <c r="X110">
        <f t="shared" ref="X110:AL110" si="19">AVERAGE(E99:E110)</f>
        <v>2.647605916666667</v>
      </c>
      <c r="Y110">
        <f t="shared" si="19"/>
        <v>3.2014434166666668</v>
      </c>
      <c r="Z110">
        <f t="shared" si="19"/>
        <v>1.6450554999999998</v>
      </c>
      <c r="AA110">
        <f t="shared" si="19"/>
        <v>2.65639475</v>
      </c>
      <c r="AB110">
        <f t="shared" si="19"/>
        <v>2.9830211666666666</v>
      </c>
      <c r="AC110">
        <f t="shared" si="19"/>
        <v>7.1405804999999996</v>
      </c>
      <c r="AD110">
        <f t="shared" si="19"/>
        <v>1.9882697499999999</v>
      </c>
      <c r="AE110">
        <f t="shared" si="19"/>
        <v>2.2008079999999994</v>
      </c>
      <c r="AF110">
        <f t="shared" si="19"/>
        <v>3.4224389999999993</v>
      </c>
      <c r="AG110">
        <f t="shared" si="19"/>
        <v>3.9593810833333336</v>
      </c>
      <c r="AH110">
        <f t="shared" si="19"/>
        <v>2.1816254166666669</v>
      </c>
      <c r="AI110">
        <f t="shared" si="19"/>
        <v>4.8154525000000001</v>
      </c>
      <c r="AJ110">
        <f t="shared" si="19"/>
        <v>5.0722782500000001</v>
      </c>
      <c r="AK110">
        <f t="shared" si="19"/>
        <v>2.4574139166666664</v>
      </c>
      <c r="AL110">
        <f t="shared" si="19"/>
        <v>6.1742844999999997</v>
      </c>
      <c r="AO110" s="25">
        <v>9</v>
      </c>
      <c r="AP110" s="34">
        <f>AVERAGE(W110:Z110)</f>
        <v>2.6921098333333333</v>
      </c>
      <c r="AQ110" s="35">
        <f>AVERAGE(AA110:AD110)</f>
        <v>3.6920665416666667</v>
      </c>
      <c r="AR110" s="35">
        <f>AVERAGE(AE110:AH110)</f>
        <v>2.9410633749999997</v>
      </c>
      <c r="AS110" s="35">
        <f>AVERAGE(AI110:AL110)</f>
        <v>4.6298572916666663</v>
      </c>
    </row>
    <row r="111" spans="2:45" x14ac:dyDescent="0.2">
      <c r="B111" s="2">
        <v>43478.130266203705</v>
      </c>
      <c r="C111" s="5">
        <f t="shared" si="15"/>
        <v>9.0833329700000167</v>
      </c>
      <c r="D111" s="14">
        <v>3.3105980000000002</v>
      </c>
      <c r="E111" s="14">
        <v>2.6610399999999998</v>
      </c>
      <c r="F111" s="14">
        <v>3.2160479999999998</v>
      </c>
      <c r="G111" s="14">
        <v>1.6635610000000001</v>
      </c>
      <c r="H111" s="15">
        <v>2.722413</v>
      </c>
      <c r="I111" s="15">
        <v>2.98522</v>
      </c>
      <c r="J111" s="15">
        <v>7.1919639999999996</v>
      </c>
      <c r="K111" s="15">
        <v>1.9894320000000001</v>
      </c>
      <c r="L111" s="16">
        <v>2.2008079999999999</v>
      </c>
      <c r="M111" s="16">
        <v>3.4224389999999998</v>
      </c>
      <c r="N111" s="16">
        <v>3.9944820000000001</v>
      </c>
      <c r="O111" s="16">
        <v>2.2093470000000002</v>
      </c>
      <c r="P111" s="17">
        <v>5.1425140000000003</v>
      </c>
      <c r="Q111" s="17">
        <v>5.1107209999999998</v>
      </c>
      <c r="R111" s="17">
        <v>2.4755419999999999</v>
      </c>
      <c r="S111" s="17">
        <v>6.187748</v>
      </c>
      <c r="AP111" s="34"/>
      <c r="AQ111" s="35"/>
      <c r="AR111" s="35"/>
      <c r="AS111" s="35"/>
    </row>
    <row r="112" spans="2:45" x14ac:dyDescent="0.2">
      <c r="B112" s="2">
        <v>43478.133738425924</v>
      </c>
      <c r="C112" s="5">
        <f t="shared" si="15"/>
        <v>9.166666300000017</v>
      </c>
      <c r="D112" s="14">
        <v>3.3161770000000002</v>
      </c>
      <c r="E112" s="14">
        <v>2.6631140000000002</v>
      </c>
      <c r="F112" s="14">
        <v>3.218337</v>
      </c>
      <c r="G112" s="14">
        <v>1.6669940000000001</v>
      </c>
      <c r="H112" s="15">
        <v>2.7325689999999998</v>
      </c>
      <c r="I112" s="15">
        <v>2.9855070000000001</v>
      </c>
      <c r="J112" s="15">
        <v>7.1919639999999996</v>
      </c>
      <c r="K112" s="15">
        <v>1.989611</v>
      </c>
      <c r="L112" s="16">
        <v>2.2008079999999999</v>
      </c>
      <c r="M112" s="16">
        <v>3.4224389999999998</v>
      </c>
      <c r="N112" s="16">
        <v>4.0069270000000001</v>
      </c>
      <c r="O112" s="16">
        <v>2.215713</v>
      </c>
      <c r="P112" s="17">
        <v>5.1945839999999999</v>
      </c>
      <c r="Q112" s="17">
        <v>5.1373290000000003</v>
      </c>
      <c r="R112" s="17">
        <v>2.478332</v>
      </c>
      <c r="S112" s="17">
        <v>6.1898939999999998</v>
      </c>
      <c r="AP112" s="34"/>
      <c r="AQ112" s="35"/>
      <c r="AR112" s="35"/>
      <c r="AS112" s="35"/>
    </row>
    <row r="113" spans="2:45" x14ac:dyDescent="0.2">
      <c r="B113" s="2">
        <v>43478.13721064815</v>
      </c>
      <c r="C113" s="5">
        <f t="shared" si="15"/>
        <v>9.2499996300000173</v>
      </c>
      <c r="D113" s="14">
        <v>3.3217560000000002</v>
      </c>
      <c r="E113" s="14">
        <v>2.6651889999999998</v>
      </c>
      <c r="F113" s="14">
        <v>3.2206260000000002</v>
      </c>
      <c r="G113" s="14">
        <v>1.6704270000000001</v>
      </c>
      <c r="H113" s="15">
        <v>2.7427260000000002</v>
      </c>
      <c r="I113" s="15">
        <v>2.9857930000000001</v>
      </c>
      <c r="J113" s="15">
        <v>7.1919639999999996</v>
      </c>
      <c r="K113" s="15">
        <v>1.9897899999999999</v>
      </c>
      <c r="L113" s="16">
        <v>2.2008079999999999</v>
      </c>
      <c r="M113" s="16">
        <v>3.4224389999999998</v>
      </c>
      <c r="N113" s="16">
        <v>4.0193729999999999</v>
      </c>
      <c r="O113" s="16">
        <v>2.2220789999999999</v>
      </c>
      <c r="P113" s="17">
        <v>5.2466549999999996</v>
      </c>
      <c r="Q113" s="17">
        <v>5.1639359999999996</v>
      </c>
      <c r="R113" s="17">
        <v>2.4811209999999999</v>
      </c>
      <c r="S113" s="17">
        <v>6.1920390000000003</v>
      </c>
      <c r="AP113" s="34"/>
      <c r="AQ113" s="35"/>
      <c r="AR113" s="35"/>
      <c r="AS113" s="35"/>
    </row>
    <row r="114" spans="2:45" x14ac:dyDescent="0.2">
      <c r="B114" s="2">
        <v>43478.140682870369</v>
      </c>
      <c r="C114" s="5">
        <f t="shared" si="15"/>
        <v>9.3333329600000177</v>
      </c>
      <c r="D114" s="14">
        <v>3.3273350000000002</v>
      </c>
      <c r="E114" s="14">
        <v>2.6672630000000002</v>
      </c>
      <c r="F114" s="14">
        <v>3.222915</v>
      </c>
      <c r="G114" s="14">
        <v>1.673861</v>
      </c>
      <c r="H114" s="15">
        <v>2.7528830000000002</v>
      </c>
      <c r="I114" s="15">
        <v>2.9860790000000001</v>
      </c>
      <c r="J114" s="15">
        <v>7.1919639999999996</v>
      </c>
      <c r="K114" s="15">
        <v>1.9899690000000001</v>
      </c>
      <c r="L114" s="16">
        <v>2.2008079999999999</v>
      </c>
      <c r="M114" s="16">
        <v>3.4224389999999998</v>
      </c>
      <c r="N114" s="16">
        <v>4.0318180000000003</v>
      </c>
      <c r="O114" s="16">
        <v>2.2284440000000001</v>
      </c>
      <c r="P114" s="17">
        <v>5.2987260000000003</v>
      </c>
      <c r="Q114" s="17">
        <v>5.190544</v>
      </c>
      <c r="R114" s="17">
        <v>2.483911</v>
      </c>
      <c r="S114" s="17">
        <v>6.1941850000000001</v>
      </c>
      <c r="AP114" s="34"/>
      <c r="AQ114" s="35"/>
      <c r="AR114" s="35"/>
      <c r="AS114" s="35"/>
    </row>
    <row r="115" spans="2:45" x14ac:dyDescent="0.2">
      <c r="B115" s="2">
        <v>43478.144155092596</v>
      </c>
      <c r="C115" s="5">
        <f t="shared" si="15"/>
        <v>9.416666290000018</v>
      </c>
      <c r="D115" s="14">
        <v>3.3329140000000002</v>
      </c>
      <c r="E115" s="14">
        <v>2.6693370000000001</v>
      </c>
      <c r="F115" s="14">
        <v>3.2252040000000002</v>
      </c>
      <c r="G115" s="14">
        <v>1.6772940000000001</v>
      </c>
      <c r="H115" s="15">
        <v>2.763039</v>
      </c>
      <c r="I115" s="15">
        <v>2.9863650000000002</v>
      </c>
      <c r="J115" s="15">
        <v>7.1919639999999996</v>
      </c>
      <c r="K115" s="15">
        <v>1.9901470000000001</v>
      </c>
      <c r="L115" s="16">
        <v>2.2008079999999999</v>
      </c>
      <c r="M115" s="16">
        <v>3.4224389999999998</v>
      </c>
      <c r="N115" s="16">
        <v>4.0442640000000001</v>
      </c>
      <c r="O115" s="16">
        <v>2.23481</v>
      </c>
      <c r="P115" s="17">
        <v>5.3377790000000003</v>
      </c>
      <c r="Q115" s="17">
        <v>5.2171510000000003</v>
      </c>
      <c r="R115" s="17">
        <v>2.4866999999999999</v>
      </c>
      <c r="S115" s="17">
        <v>6.1963309999999998</v>
      </c>
      <c r="AP115" s="34"/>
      <c r="AQ115" s="35"/>
      <c r="AR115" s="35"/>
      <c r="AS115" s="35"/>
    </row>
    <row r="116" spans="2:45" x14ac:dyDescent="0.2">
      <c r="B116" s="2">
        <v>43478.147627314815</v>
      </c>
      <c r="C116" s="5">
        <f t="shared" si="15"/>
        <v>9.4999996200000183</v>
      </c>
      <c r="D116" s="14">
        <v>3.3384930000000002</v>
      </c>
      <c r="E116" s="14">
        <v>2.671411</v>
      </c>
      <c r="F116" s="14">
        <v>3.2274929999999999</v>
      </c>
      <c r="G116" s="14">
        <v>1.6807270000000001</v>
      </c>
      <c r="H116" s="15">
        <v>2.770521</v>
      </c>
      <c r="I116" s="15">
        <v>2.9866510000000002</v>
      </c>
      <c r="J116" s="15">
        <v>7.1919639999999996</v>
      </c>
      <c r="K116" s="15">
        <v>1.990326</v>
      </c>
      <c r="L116" s="16">
        <v>2.2008079999999999</v>
      </c>
      <c r="M116" s="16">
        <v>3.4224389999999998</v>
      </c>
      <c r="N116" s="16">
        <v>4.0567089999999997</v>
      </c>
      <c r="O116" s="16">
        <v>2.2411759999999998</v>
      </c>
      <c r="P116" s="17">
        <v>5.3377790000000003</v>
      </c>
      <c r="Q116" s="17">
        <v>5.2437589999999998</v>
      </c>
      <c r="R116" s="17">
        <v>2.48949</v>
      </c>
      <c r="S116" s="17">
        <v>6.1984769999999996</v>
      </c>
      <c r="AP116" s="34"/>
      <c r="AQ116" s="35"/>
      <c r="AR116" s="35"/>
      <c r="AS116" s="35"/>
    </row>
    <row r="117" spans="2:45" x14ac:dyDescent="0.2">
      <c r="B117" s="2">
        <v>43478.151099537034</v>
      </c>
      <c r="C117" s="5">
        <f t="shared" si="15"/>
        <v>9.5833329500000186</v>
      </c>
      <c r="D117" s="14">
        <v>3.3440720000000002</v>
      </c>
      <c r="E117" s="14">
        <v>2.673486</v>
      </c>
      <c r="F117" s="14">
        <v>3.229781</v>
      </c>
      <c r="G117" s="14">
        <v>1.6841600000000001</v>
      </c>
      <c r="H117" s="15">
        <v>2.770521</v>
      </c>
      <c r="I117" s="15">
        <v>2.9869370000000002</v>
      </c>
      <c r="J117" s="15">
        <v>7.1919639999999996</v>
      </c>
      <c r="K117" s="15">
        <v>1.990505</v>
      </c>
      <c r="L117" s="16">
        <v>2.2008079999999999</v>
      </c>
      <c r="M117" s="16">
        <v>3.4224389999999998</v>
      </c>
      <c r="N117" s="16">
        <v>4.0691550000000003</v>
      </c>
      <c r="O117" s="16">
        <v>2.2475420000000002</v>
      </c>
      <c r="P117" s="17">
        <v>5.3377790000000003</v>
      </c>
      <c r="Q117" s="17">
        <v>5.2703660000000001</v>
      </c>
      <c r="R117" s="17">
        <v>2.4922789999999999</v>
      </c>
      <c r="S117" s="17">
        <v>6.2006230000000002</v>
      </c>
      <c r="AP117" s="34"/>
      <c r="AQ117" s="35"/>
      <c r="AR117" s="35"/>
      <c r="AS117" s="35"/>
    </row>
    <row r="118" spans="2:45" x14ac:dyDescent="0.2">
      <c r="B118" s="2">
        <v>43478.15457175926</v>
      </c>
      <c r="C118" s="5">
        <f t="shared" si="15"/>
        <v>9.6666662800000189</v>
      </c>
      <c r="D118" s="14">
        <v>3.3496510000000002</v>
      </c>
      <c r="E118" s="14">
        <v>2.6755599999999999</v>
      </c>
      <c r="F118" s="14">
        <v>3.2320700000000002</v>
      </c>
      <c r="G118" s="14">
        <v>1.687594</v>
      </c>
      <c r="H118" s="15">
        <v>2.770521</v>
      </c>
      <c r="I118" s="15">
        <v>2.9872230000000002</v>
      </c>
      <c r="J118" s="15">
        <v>7.1919639999999996</v>
      </c>
      <c r="K118" s="15">
        <v>1.9906839999999999</v>
      </c>
      <c r="L118" s="16">
        <v>2.2008079999999999</v>
      </c>
      <c r="M118" s="16">
        <v>3.4224389999999998</v>
      </c>
      <c r="N118" s="16">
        <v>4.0815999999999999</v>
      </c>
      <c r="O118" s="16">
        <v>2.2539069999999999</v>
      </c>
      <c r="P118" s="17">
        <v>5.3377790000000003</v>
      </c>
      <c r="Q118" s="17">
        <v>5.2969739999999996</v>
      </c>
      <c r="R118" s="17">
        <v>2.495069</v>
      </c>
      <c r="S118" s="17">
        <v>6.2027679999999998</v>
      </c>
      <c r="AP118" s="34"/>
      <c r="AQ118" s="35"/>
      <c r="AR118" s="35"/>
      <c r="AS118" s="35"/>
    </row>
    <row r="119" spans="2:45" x14ac:dyDescent="0.2">
      <c r="B119" s="2">
        <v>43478.158043981479</v>
      </c>
      <c r="C119" s="5">
        <f t="shared" si="15"/>
        <v>9.7499996100000192</v>
      </c>
      <c r="D119" s="14">
        <v>3.3552300000000002</v>
      </c>
      <c r="E119" s="14">
        <v>2.6776339999999998</v>
      </c>
      <c r="F119" s="14">
        <v>3.234359</v>
      </c>
      <c r="G119" s="14">
        <v>1.6910270000000001</v>
      </c>
      <c r="H119" s="15">
        <v>2.770521</v>
      </c>
      <c r="I119" s="15">
        <v>2.9875090000000002</v>
      </c>
      <c r="J119" s="15">
        <v>7.1919639999999996</v>
      </c>
      <c r="K119" s="15">
        <v>1.990863</v>
      </c>
      <c r="L119" s="16">
        <v>2.2008079999999999</v>
      </c>
      <c r="M119" s="16">
        <v>3.4224389999999998</v>
      </c>
      <c r="N119" s="16">
        <v>4.0940459999999996</v>
      </c>
      <c r="O119" s="16">
        <v>2.2602730000000002</v>
      </c>
      <c r="P119" s="17">
        <v>5.3377790000000003</v>
      </c>
      <c r="Q119" s="17">
        <v>5.3235809999999999</v>
      </c>
      <c r="R119" s="17">
        <v>2.4978579999999999</v>
      </c>
      <c r="S119" s="17">
        <v>6.2042700000000002</v>
      </c>
      <c r="AP119" s="34"/>
      <c r="AQ119" s="35"/>
      <c r="AR119" s="35"/>
      <c r="AS119" s="35"/>
    </row>
    <row r="120" spans="2:45" x14ac:dyDescent="0.2">
      <c r="B120" s="2">
        <v>43478.161516203705</v>
      </c>
      <c r="C120" s="5">
        <f t="shared" si="15"/>
        <v>9.8333329400000196</v>
      </c>
      <c r="D120" s="14">
        <v>3.3608090000000002</v>
      </c>
      <c r="E120" s="14">
        <v>2.6797080000000002</v>
      </c>
      <c r="F120" s="14">
        <v>3.2366480000000002</v>
      </c>
      <c r="G120" s="14">
        <v>1.6944600000000001</v>
      </c>
      <c r="H120" s="15">
        <v>2.770521</v>
      </c>
      <c r="I120" s="15">
        <v>2.9877950000000002</v>
      </c>
      <c r="J120" s="15">
        <v>7.1919639999999996</v>
      </c>
      <c r="K120" s="15">
        <v>1.9909760000000001</v>
      </c>
      <c r="L120" s="16">
        <v>2.2008079999999999</v>
      </c>
      <c r="M120" s="16">
        <v>3.4224389999999998</v>
      </c>
      <c r="N120" s="16">
        <v>4.1064910000000001</v>
      </c>
      <c r="O120" s="16">
        <v>2.2666390000000001</v>
      </c>
      <c r="P120" s="17">
        <v>5.3377790000000003</v>
      </c>
      <c r="Q120" s="17">
        <v>5.3501890000000003</v>
      </c>
      <c r="R120" s="17">
        <v>2.500648</v>
      </c>
      <c r="S120" s="17">
        <v>6.2042700000000002</v>
      </c>
      <c r="AP120" s="34"/>
      <c r="AQ120" s="35"/>
      <c r="AR120" s="35"/>
      <c r="AS120" s="35"/>
    </row>
    <row r="121" spans="2:45" x14ac:dyDescent="0.2">
      <c r="B121" s="2">
        <v>43478.164988425924</v>
      </c>
      <c r="C121" s="5">
        <f t="shared" si="15"/>
        <v>9.9166662700000199</v>
      </c>
      <c r="D121" s="14">
        <v>3.3636170000000001</v>
      </c>
      <c r="E121" s="14">
        <v>2.6817820000000001</v>
      </c>
      <c r="F121" s="14">
        <v>3.238937</v>
      </c>
      <c r="G121" s="14">
        <v>1.6978930000000001</v>
      </c>
      <c r="H121" s="15">
        <v>2.770521</v>
      </c>
      <c r="I121" s="15">
        <v>2.9880810000000002</v>
      </c>
      <c r="J121" s="15">
        <v>7.1919639999999996</v>
      </c>
      <c r="K121" s="15">
        <v>2.0084439999999999</v>
      </c>
      <c r="L121" s="16">
        <v>2.2008079999999999</v>
      </c>
      <c r="M121" s="16">
        <v>3.4224389999999998</v>
      </c>
      <c r="N121" s="16">
        <v>4.1189369999999998</v>
      </c>
      <c r="O121" s="16">
        <v>2.2730049999999999</v>
      </c>
      <c r="P121" s="17">
        <v>5.3377790000000003</v>
      </c>
      <c r="Q121" s="17">
        <v>5.3767959999999997</v>
      </c>
      <c r="R121" s="17">
        <v>2.5034369999999999</v>
      </c>
      <c r="S121" s="17">
        <v>6.204599</v>
      </c>
      <c r="AP121" s="34"/>
      <c r="AQ121" s="35"/>
      <c r="AR121" s="35"/>
      <c r="AS121" s="35"/>
    </row>
    <row r="122" spans="2:45" x14ac:dyDescent="0.2">
      <c r="B122" s="2">
        <v>43478.16846064815</v>
      </c>
      <c r="C122" s="5">
        <f t="shared" si="15"/>
        <v>9.9999996000000202</v>
      </c>
      <c r="D122" s="14">
        <v>3.3646430000000001</v>
      </c>
      <c r="E122" s="14">
        <v>2.6838570000000002</v>
      </c>
      <c r="F122" s="14">
        <v>3.241225</v>
      </c>
      <c r="G122" s="14">
        <v>1.7013259999999999</v>
      </c>
      <c r="H122" s="15">
        <v>2.770521</v>
      </c>
      <c r="I122" s="15">
        <v>2.9883679999999999</v>
      </c>
      <c r="J122" s="15">
        <v>7.1919639999999996</v>
      </c>
      <c r="K122" s="15">
        <v>2.040416</v>
      </c>
      <c r="L122" s="16">
        <v>2.2008079999999999</v>
      </c>
      <c r="M122" s="16">
        <v>3.4224389999999998</v>
      </c>
      <c r="N122" s="16">
        <v>4.1283539999999999</v>
      </c>
      <c r="O122" s="16">
        <v>2.2793709999999998</v>
      </c>
      <c r="P122" s="17">
        <v>5.3377790000000003</v>
      </c>
      <c r="Q122" s="17">
        <v>5.4034040000000001</v>
      </c>
      <c r="R122" s="17">
        <v>2.506227</v>
      </c>
      <c r="S122" s="17">
        <v>6.2088910000000004</v>
      </c>
      <c r="V122" s="25">
        <v>10</v>
      </c>
      <c r="W122">
        <f>AVERAGE(D111:D122)</f>
        <v>3.34044125</v>
      </c>
      <c r="X122">
        <f t="shared" ref="X122:AL122" si="20">AVERAGE(E111:E122)</f>
        <v>2.6724484166666671</v>
      </c>
      <c r="Y122">
        <f t="shared" si="20"/>
        <v>3.2286369166666664</v>
      </c>
      <c r="Z122">
        <f t="shared" si="20"/>
        <v>1.6824436666666667</v>
      </c>
      <c r="AA122">
        <f t="shared" si="20"/>
        <v>2.7589397499999992</v>
      </c>
      <c r="AB122">
        <f t="shared" si="20"/>
        <v>2.9867940000000002</v>
      </c>
      <c r="AC122">
        <f t="shared" si="20"/>
        <v>7.1919639999999996</v>
      </c>
      <c r="AD122">
        <f t="shared" si="20"/>
        <v>1.99593025</v>
      </c>
      <c r="AE122">
        <f t="shared" si="20"/>
        <v>2.2008079999999994</v>
      </c>
      <c r="AF122">
        <f t="shared" si="20"/>
        <v>3.4224389999999993</v>
      </c>
      <c r="AG122">
        <f t="shared" si="20"/>
        <v>4.0626796666666669</v>
      </c>
      <c r="AH122">
        <f t="shared" si="20"/>
        <v>2.2443588333333335</v>
      </c>
      <c r="AI122">
        <f t="shared" si="20"/>
        <v>5.2987259166666663</v>
      </c>
      <c r="AJ122">
        <f t="shared" si="20"/>
        <v>5.2570625</v>
      </c>
      <c r="AK122">
        <f t="shared" si="20"/>
        <v>2.4908844999999995</v>
      </c>
      <c r="AL122">
        <f t="shared" si="20"/>
        <v>6.1986745833333323</v>
      </c>
      <c r="AO122" s="25">
        <v>10</v>
      </c>
      <c r="AP122" s="34">
        <f>AVERAGE(W122:Z122)</f>
        <v>2.7309925625</v>
      </c>
      <c r="AQ122" s="35">
        <f>AVERAGE(AA122:AD122)</f>
        <v>3.7334069999999997</v>
      </c>
      <c r="AR122" s="35">
        <f>AVERAGE(AE122:AH122)</f>
        <v>2.982571375</v>
      </c>
      <c r="AS122" s="35">
        <f>AVERAGE(AI122:AL122)</f>
        <v>4.8113368749999994</v>
      </c>
    </row>
    <row r="123" spans="2:45" x14ac:dyDescent="0.2">
      <c r="B123" s="2">
        <v>43478.171932870369</v>
      </c>
      <c r="C123" s="5">
        <f t="shared" si="15"/>
        <v>10.083332930000021</v>
      </c>
      <c r="D123" s="14">
        <v>3.3657159999999999</v>
      </c>
      <c r="E123" s="14">
        <v>2.6859310000000001</v>
      </c>
      <c r="F123" s="14">
        <v>3.2435139999999998</v>
      </c>
      <c r="G123" s="14">
        <v>1.7047600000000001</v>
      </c>
      <c r="H123" s="15">
        <v>2.7888950000000001</v>
      </c>
      <c r="I123" s="15">
        <v>2.9886539999999999</v>
      </c>
      <c r="J123" s="15">
        <v>7.1919639999999996</v>
      </c>
      <c r="K123" s="15">
        <v>2.0723880000000001</v>
      </c>
      <c r="L123" s="16">
        <v>2.2008079999999999</v>
      </c>
      <c r="M123" s="16">
        <v>3.4224389999999998</v>
      </c>
      <c r="N123" s="16">
        <v>4.1283539999999999</v>
      </c>
      <c r="O123" s="16">
        <v>2.285736</v>
      </c>
      <c r="P123" s="17">
        <v>5.3377790000000003</v>
      </c>
      <c r="Q123" s="17">
        <v>5.4300110000000004</v>
      </c>
      <c r="R123" s="17">
        <v>2.5090159999999999</v>
      </c>
      <c r="S123" s="17">
        <v>6.2103070000000002</v>
      </c>
      <c r="AP123" s="34"/>
      <c r="AQ123" s="35"/>
      <c r="AR123" s="35"/>
      <c r="AS123" s="35"/>
    </row>
    <row r="124" spans="2:45" x14ac:dyDescent="0.2">
      <c r="B124" s="2">
        <v>43478.175405092596</v>
      </c>
      <c r="C124" s="5">
        <f t="shared" si="15"/>
        <v>10.166666260000021</v>
      </c>
      <c r="D124" s="14">
        <v>3.3667889999999998</v>
      </c>
      <c r="E124" s="14">
        <v>2.68703</v>
      </c>
      <c r="F124" s="14">
        <v>3.245803</v>
      </c>
      <c r="G124" s="14">
        <v>1.7081930000000001</v>
      </c>
      <c r="H124" s="15">
        <v>2.8242289999999999</v>
      </c>
      <c r="I124" s="15">
        <v>2.9889399999999999</v>
      </c>
      <c r="J124" s="15">
        <v>7.1919639999999996</v>
      </c>
      <c r="K124" s="15">
        <v>2.1043599999999998</v>
      </c>
      <c r="L124" s="16">
        <v>2.2008079999999999</v>
      </c>
      <c r="M124" s="16">
        <v>3.4224389999999998</v>
      </c>
      <c r="N124" s="16">
        <v>4.1337409999999997</v>
      </c>
      <c r="O124" s="16">
        <v>2.2921230000000001</v>
      </c>
      <c r="P124" s="17">
        <v>5.3377790000000003</v>
      </c>
      <c r="Q124" s="17">
        <v>5.4566189999999999</v>
      </c>
      <c r="R124" s="17">
        <v>2.511806</v>
      </c>
      <c r="S124" s="17">
        <v>6.2131679999999996</v>
      </c>
      <c r="AP124" s="34"/>
      <c r="AQ124" s="35"/>
      <c r="AR124" s="35"/>
      <c r="AS124" s="35"/>
    </row>
    <row r="125" spans="2:45" x14ac:dyDescent="0.2">
      <c r="B125" s="2">
        <v>43478.178877314815</v>
      </c>
      <c r="C125" s="5">
        <f t="shared" si="15"/>
        <v>10.249999590000021</v>
      </c>
      <c r="D125" s="14">
        <v>3.3678620000000001</v>
      </c>
      <c r="E125" s="14">
        <v>2.6870349999999998</v>
      </c>
      <c r="F125" s="14">
        <v>3.2480920000000002</v>
      </c>
      <c r="G125" s="14">
        <v>1.7116260000000001</v>
      </c>
      <c r="H125" s="15">
        <v>2.8595619999999999</v>
      </c>
      <c r="I125" s="15">
        <v>2.9892259999999999</v>
      </c>
      <c r="J125" s="15">
        <v>7.1919639999999996</v>
      </c>
      <c r="K125" s="15">
        <v>2.1363319999999999</v>
      </c>
      <c r="L125" s="16">
        <v>2.2008079999999999</v>
      </c>
      <c r="M125" s="16">
        <v>3.4224389999999998</v>
      </c>
      <c r="N125" s="16">
        <v>4.1397490000000001</v>
      </c>
      <c r="O125" s="16">
        <v>2.2921230000000001</v>
      </c>
      <c r="P125" s="17">
        <v>5.3377790000000003</v>
      </c>
      <c r="Q125" s="17">
        <v>5.4832260000000002</v>
      </c>
      <c r="R125" s="17">
        <v>2.5145949999999999</v>
      </c>
      <c r="S125" s="17">
        <v>6.2160289999999998</v>
      </c>
      <c r="AP125" s="34"/>
      <c r="AQ125" s="35"/>
      <c r="AR125" s="35"/>
      <c r="AS125" s="35"/>
    </row>
    <row r="126" spans="2:45" x14ac:dyDescent="0.2">
      <c r="B126" s="2">
        <v>43478.182349537034</v>
      </c>
      <c r="C126" s="5">
        <f t="shared" si="15"/>
        <v>10.333332920000021</v>
      </c>
      <c r="D126" s="14">
        <v>3.368935</v>
      </c>
      <c r="E126" s="14">
        <v>2.6871779999999998</v>
      </c>
      <c r="F126" s="14">
        <v>3.250381</v>
      </c>
      <c r="G126" s="14">
        <v>1.7150589999999999</v>
      </c>
      <c r="H126" s="15">
        <v>2.8948960000000001</v>
      </c>
      <c r="I126" s="15">
        <v>2.9895119999999999</v>
      </c>
      <c r="J126" s="15">
        <v>7.1919639999999996</v>
      </c>
      <c r="K126" s="15">
        <v>2.1683029999999999</v>
      </c>
      <c r="L126" s="16">
        <v>2.2008079999999999</v>
      </c>
      <c r="M126" s="16">
        <v>3.4224389999999998</v>
      </c>
      <c r="N126" s="16">
        <v>4.1457569999999997</v>
      </c>
      <c r="O126" s="16">
        <v>2.2981259999999999</v>
      </c>
      <c r="P126" s="17">
        <v>5.3377790000000003</v>
      </c>
      <c r="Q126" s="17">
        <v>5.5098339999999997</v>
      </c>
      <c r="R126" s="17">
        <v>2.517385</v>
      </c>
      <c r="S126" s="17">
        <v>6.21889</v>
      </c>
      <c r="AP126" s="34"/>
      <c r="AQ126" s="35"/>
      <c r="AR126" s="35"/>
      <c r="AS126" s="35"/>
    </row>
    <row r="127" spans="2:45" x14ac:dyDescent="0.2">
      <c r="B127" s="2">
        <v>43478.18582175926</v>
      </c>
      <c r="C127" s="5">
        <f t="shared" si="15"/>
        <v>10.416666250000022</v>
      </c>
      <c r="D127" s="14">
        <v>3.3700079999999999</v>
      </c>
      <c r="E127" s="14">
        <v>2.6873209999999998</v>
      </c>
      <c r="F127" s="14">
        <v>3.2526700000000002</v>
      </c>
      <c r="G127" s="14">
        <v>1.718493</v>
      </c>
      <c r="H127" s="15">
        <v>2.9302290000000002</v>
      </c>
      <c r="I127" s="15">
        <v>2.989798</v>
      </c>
      <c r="J127" s="15">
        <v>7.1919639999999996</v>
      </c>
      <c r="K127" s="15">
        <v>2.200275</v>
      </c>
      <c r="L127" s="16">
        <v>2.2008079999999999</v>
      </c>
      <c r="M127" s="16">
        <v>3.4224389999999998</v>
      </c>
      <c r="N127" s="16">
        <v>4.1517650000000001</v>
      </c>
      <c r="O127" s="16">
        <v>2.3049200000000001</v>
      </c>
      <c r="P127" s="17">
        <v>5.3377790000000003</v>
      </c>
      <c r="Q127" s="17">
        <v>5.5364409999999999</v>
      </c>
      <c r="R127" s="17">
        <v>2.5201739999999999</v>
      </c>
      <c r="S127" s="17">
        <v>6.2217510000000003</v>
      </c>
      <c r="AP127" s="34"/>
      <c r="AQ127" s="35"/>
      <c r="AR127" s="35"/>
      <c r="AS127" s="35"/>
    </row>
    <row r="128" spans="2:45" x14ac:dyDescent="0.2">
      <c r="B128" s="2">
        <v>43478.189293981479</v>
      </c>
      <c r="C128" s="5">
        <f t="shared" si="15"/>
        <v>10.499999580000022</v>
      </c>
      <c r="D128" s="14">
        <v>3.3710800000000001</v>
      </c>
      <c r="E128" s="14">
        <v>2.6874639999999999</v>
      </c>
      <c r="F128" s="14">
        <v>3.2549579999999998</v>
      </c>
      <c r="G128" s="14">
        <v>1.7219260000000001</v>
      </c>
      <c r="H128" s="15">
        <v>2.9655629999999999</v>
      </c>
      <c r="I128" s="15">
        <v>2.990084</v>
      </c>
      <c r="J128" s="15">
        <v>7.1919639999999996</v>
      </c>
      <c r="K128" s="15">
        <v>2.2322470000000001</v>
      </c>
      <c r="L128" s="16">
        <v>2.2008079999999999</v>
      </c>
      <c r="M128" s="16">
        <v>3.4224389999999998</v>
      </c>
      <c r="N128" s="16">
        <v>4.1577729999999997</v>
      </c>
      <c r="O128" s="16">
        <v>2.311715</v>
      </c>
      <c r="P128" s="17">
        <v>5.3377790000000003</v>
      </c>
      <c r="Q128" s="17">
        <v>5.5630490000000004</v>
      </c>
      <c r="R128" s="17">
        <v>2.522964</v>
      </c>
      <c r="S128" s="17">
        <v>6.2237629999999999</v>
      </c>
      <c r="AP128" s="34"/>
      <c r="AQ128" s="35"/>
      <c r="AR128" s="35"/>
      <c r="AS128" s="35"/>
    </row>
    <row r="129" spans="2:45" x14ac:dyDescent="0.2">
      <c r="B129" s="2">
        <v>43478.192766203705</v>
      </c>
      <c r="C129" s="5">
        <f t="shared" si="15"/>
        <v>10.583332910000022</v>
      </c>
      <c r="D129" s="14">
        <v>3.372153</v>
      </c>
      <c r="E129" s="14">
        <v>2.6876069999999999</v>
      </c>
      <c r="F129" s="14">
        <v>3.257247</v>
      </c>
      <c r="G129" s="14">
        <v>1.7253590000000001</v>
      </c>
      <c r="H129" s="15">
        <v>3.0008970000000001</v>
      </c>
      <c r="I129" s="15">
        <v>2.99037</v>
      </c>
      <c r="J129" s="15">
        <v>7.1919639999999996</v>
      </c>
      <c r="K129" s="15">
        <v>2.2642190000000002</v>
      </c>
      <c r="L129" s="16">
        <v>2.2008079999999999</v>
      </c>
      <c r="M129" s="16">
        <v>3.4224389999999998</v>
      </c>
      <c r="N129" s="16">
        <v>4.1637820000000003</v>
      </c>
      <c r="O129" s="16">
        <v>2.3185099999999998</v>
      </c>
      <c r="P129" s="17">
        <v>5.3377790000000003</v>
      </c>
      <c r="Q129" s="17">
        <v>5.5896559999999997</v>
      </c>
      <c r="R129" s="17">
        <v>2.5257529999999999</v>
      </c>
      <c r="S129" s="17">
        <v>6.2237629999999999</v>
      </c>
      <c r="AP129" s="34"/>
      <c r="AQ129" s="35"/>
      <c r="AR129" s="35"/>
      <c r="AS129" s="35"/>
    </row>
    <row r="130" spans="2:45" x14ac:dyDescent="0.2">
      <c r="B130" s="2">
        <v>43478.196238425924</v>
      </c>
      <c r="C130" s="5">
        <f t="shared" si="15"/>
        <v>10.666666240000023</v>
      </c>
      <c r="D130" s="14">
        <v>3.3732259999999998</v>
      </c>
      <c r="E130" s="14">
        <v>2.6877499999999999</v>
      </c>
      <c r="F130" s="14">
        <v>3.2595360000000002</v>
      </c>
      <c r="G130" s="14">
        <v>1.7287920000000001</v>
      </c>
      <c r="H130" s="15">
        <v>3.0362300000000002</v>
      </c>
      <c r="I130" s="15">
        <v>2.990656</v>
      </c>
      <c r="J130" s="15">
        <v>7.1919639999999996</v>
      </c>
      <c r="K130" s="15">
        <v>2.2961909999999999</v>
      </c>
      <c r="L130" s="16">
        <v>2.2008079999999999</v>
      </c>
      <c r="M130" s="16">
        <v>3.4224389999999998</v>
      </c>
      <c r="N130" s="16">
        <v>4.1697899999999999</v>
      </c>
      <c r="O130" s="16">
        <v>2.3253050000000002</v>
      </c>
      <c r="P130" s="17">
        <v>5.3377790000000003</v>
      </c>
      <c r="Q130" s="17">
        <v>5.6162640000000001</v>
      </c>
      <c r="R130" s="17">
        <v>2.528543</v>
      </c>
      <c r="S130" s="17">
        <v>6.2237629999999999</v>
      </c>
      <c r="AP130" s="34"/>
      <c r="AQ130" s="35"/>
      <c r="AR130" s="35"/>
      <c r="AS130" s="35"/>
    </row>
    <row r="131" spans="2:45" x14ac:dyDescent="0.2">
      <c r="B131" s="2">
        <v>43478.19971064815</v>
      </c>
      <c r="C131" s="5">
        <f t="shared" si="15"/>
        <v>10.749999570000023</v>
      </c>
      <c r="D131" s="14">
        <v>3.3742990000000002</v>
      </c>
      <c r="E131" s="14">
        <v>2.6878929999999999</v>
      </c>
      <c r="F131" s="14">
        <v>3.261825</v>
      </c>
      <c r="G131" s="14">
        <v>1.732226</v>
      </c>
      <c r="H131" s="15">
        <v>3.071564</v>
      </c>
      <c r="I131" s="15">
        <v>2.990942</v>
      </c>
      <c r="J131" s="15">
        <v>7.1919639999999996</v>
      </c>
      <c r="K131" s="15">
        <v>2.328163</v>
      </c>
      <c r="L131" s="16">
        <v>2.2008079999999999</v>
      </c>
      <c r="M131" s="16">
        <v>3.4224389999999998</v>
      </c>
      <c r="N131" s="16">
        <v>4.1757980000000003</v>
      </c>
      <c r="O131" s="16">
        <v>2.3321000000000001</v>
      </c>
      <c r="P131" s="17">
        <v>5.3377790000000003</v>
      </c>
      <c r="Q131" s="17">
        <v>5.6428710000000004</v>
      </c>
      <c r="R131" s="17">
        <v>2.5313319999999999</v>
      </c>
      <c r="S131" s="17">
        <v>6.2237629999999999</v>
      </c>
      <c r="AP131" s="34"/>
      <c r="AQ131" s="35"/>
      <c r="AR131" s="35"/>
      <c r="AS131" s="35"/>
    </row>
    <row r="132" spans="2:45" x14ac:dyDescent="0.2">
      <c r="B132" s="2">
        <v>43478.203182870369</v>
      </c>
      <c r="C132" s="5">
        <f t="shared" ref="C132:C195" si="21">C131+0.08333333</f>
        <v>10.833332900000023</v>
      </c>
      <c r="D132" s="14">
        <v>3.375372</v>
      </c>
      <c r="E132" s="14">
        <v>2.6880359999999999</v>
      </c>
      <c r="F132" s="14">
        <v>3.2641140000000002</v>
      </c>
      <c r="G132" s="14">
        <v>1.7356590000000001</v>
      </c>
      <c r="H132" s="15">
        <v>3.1068980000000002</v>
      </c>
      <c r="I132" s="15">
        <v>2.9912290000000001</v>
      </c>
      <c r="J132" s="15">
        <v>7.1919639999999996</v>
      </c>
      <c r="K132" s="15">
        <v>2.3601350000000001</v>
      </c>
      <c r="L132" s="16">
        <v>2.2008079999999999</v>
      </c>
      <c r="M132" s="16">
        <v>3.4224389999999998</v>
      </c>
      <c r="N132" s="16">
        <v>4.1818059999999999</v>
      </c>
      <c r="O132" s="16">
        <v>2.3388949999999999</v>
      </c>
      <c r="P132" s="17">
        <v>5.3377790000000003</v>
      </c>
      <c r="Q132" s="17">
        <v>5.6694789999999999</v>
      </c>
      <c r="R132" s="17">
        <v>2.534122</v>
      </c>
      <c r="S132" s="17">
        <v>6.2272369999999997</v>
      </c>
      <c r="AP132" s="34"/>
      <c r="AQ132" s="35"/>
      <c r="AR132" s="35"/>
      <c r="AS132" s="35"/>
    </row>
    <row r="133" spans="2:45" x14ac:dyDescent="0.2">
      <c r="B133" s="2">
        <v>43478.206655092596</v>
      </c>
      <c r="C133" s="5">
        <f t="shared" si="21"/>
        <v>10.916666230000024</v>
      </c>
      <c r="D133" s="14">
        <v>3.3764449999999999</v>
      </c>
      <c r="E133" s="14">
        <v>2.6881789999999999</v>
      </c>
      <c r="F133" s="14">
        <v>3.2664019999999998</v>
      </c>
      <c r="G133" s="14">
        <v>1.7390920000000001</v>
      </c>
      <c r="H133" s="15">
        <v>3.1422310000000002</v>
      </c>
      <c r="I133" s="15">
        <v>2.9915150000000001</v>
      </c>
      <c r="J133" s="15">
        <v>7.1919639999999996</v>
      </c>
      <c r="K133" s="15">
        <v>2.3921070000000002</v>
      </c>
      <c r="L133" s="16">
        <v>2.2008079999999999</v>
      </c>
      <c r="M133" s="16">
        <v>3.4224389999999998</v>
      </c>
      <c r="N133" s="16">
        <v>4.1878140000000004</v>
      </c>
      <c r="O133" s="16">
        <v>2.3456899999999998</v>
      </c>
      <c r="P133" s="17">
        <v>5.3377790000000003</v>
      </c>
      <c r="Q133" s="17">
        <v>5.6960860000000002</v>
      </c>
      <c r="R133" s="17">
        <v>2.5369109999999999</v>
      </c>
      <c r="S133" s="17">
        <v>6.2339609999999999</v>
      </c>
      <c r="AP133" s="34"/>
      <c r="AQ133" s="35"/>
      <c r="AR133" s="35"/>
      <c r="AS133" s="35"/>
    </row>
    <row r="134" spans="2:45" x14ac:dyDescent="0.2">
      <c r="B134" s="2">
        <v>43478.210127314815</v>
      </c>
      <c r="C134" s="5">
        <f t="shared" si="21"/>
        <v>10.999999560000024</v>
      </c>
      <c r="D134" s="14">
        <v>3.3775179999999998</v>
      </c>
      <c r="E134" s="14">
        <v>2.6883219999999999</v>
      </c>
      <c r="F134" s="14">
        <v>3.268691</v>
      </c>
      <c r="G134" s="14">
        <v>1.7425250000000001</v>
      </c>
      <c r="H134" s="15">
        <v>3.177565</v>
      </c>
      <c r="I134" s="15">
        <v>2.9918010000000002</v>
      </c>
      <c r="J134" s="15">
        <v>7.1919639999999996</v>
      </c>
      <c r="K134" s="15">
        <v>2.4240789999999999</v>
      </c>
      <c r="L134" s="16">
        <v>2.2008079999999999</v>
      </c>
      <c r="M134" s="16">
        <v>3.4224389999999998</v>
      </c>
      <c r="N134" s="16">
        <v>4.1938219999999999</v>
      </c>
      <c r="O134" s="16">
        <v>2.3524850000000002</v>
      </c>
      <c r="P134" s="17">
        <v>5.3377790000000003</v>
      </c>
      <c r="Q134" s="17">
        <v>5.7226939999999997</v>
      </c>
      <c r="R134" s="17">
        <v>2.539701</v>
      </c>
      <c r="S134" s="17">
        <v>6.2406839999999999</v>
      </c>
      <c r="V134" s="25">
        <v>11</v>
      </c>
      <c r="W134">
        <f>AVERAGE(D123:D134)</f>
        <v>3.371616916666667</v>
      </c>
      <c r="X134">
        <f t="shared" ref="X134:AL134" si="22">AVERAGE(E123:E134)</f>
        <v>2.687478833333333</v>
      </c>
      <c r="Y134">
        <f t="shared" si="22"/>
        <v>3.2561027499999997</v>
      </c>
      <c r="Z134">
        <f t="shared" si="22"/>
        <v>1.7236425000000002</v>
      </c>
      <c r="AA134">
        <f t="shared" si="22"/>
        <v>2.9832299166666671</v>
      </c>
      <c r="AB134">
        <f t="shared" si="22"/>
        <v>2.9902272500000002</v>
      </c>
      <c r="AC134">
        <f t="shared" si="22"/>
        <v>7.1919639999999996</v>
      </c>
      <c r="AD134">
        <f t="shared" si="22"/>
        <v>2.2482332499999997</v>
      </c>
      <c r="AE134">
        <f t="shared" si="22"/>
        <v>2.2008079999999994</v>
      </c>
      <c r="AF134">
        <f t="shared" si="22"/>
        <v>3.4224389999999993</v>
      </c>
      <c r="AG134">
        <f t="shared" si="22"/>
        <v>4.1608292499999999</v>
      </c>
      <c r="AH134">
        <f t="shared" si="22"/>
        <v>2.3164773333333337</v>
      </c>
      <c r="AI134">
        <f t="shared" si="22"/>
        <v>5.3377789999999985</v>
      </c>
      <c r="AJ134">
        <f t="shared" si="22"/>
        <v>5.5763524999999996</v>
      </c>
      <c r="AK134">
        <f t="shared" si="22"/>
        <v>2.5243584999999999</v>
      </c>
      <c r="AL134">
        <f t="shared" si="22"/>
        <v>6.223089916666666</v>
      </c>
      <c r="AO134" s="25">
        <v>11</v>
      </c>
      <c r="AP134" s="34">
        <f>AVERAGE(W134:Z134)</f>
        <v>2.7597102499999999</v>
      </c>
      <c r="AQ134" s="35">
        <f>AVERAGE(AA134:AD134)</f>
        <v>3.8534136041666671</v>
      </c>
      <c r="AR134" s="35">
        <f>AVERAGE(AE134:AH134)</f>
        <v>3.0251383958333329</v>
      </c>
      <c r="AS134" s="35">
        <f>AVERAGE(AI134:AL134)</f>
        <v>4.915394979166666</v>
      </c>
    </row>
    <row r="135" spans="2:45" x14ac:dyDescent="0.2">
      <c r="B135" s="2">
        <v>43478.213599537034</v>
      </c>
      <c r="C135" s="5">
        <f t="shared" si="21"/>
        <v>11.083332890000024</v>
      </c>
      <c r="D135" s="14">
        <v>3.3785910000000001</v>
      </c>
      <c r="E135" s="14">
        <v>2.6884649999999999</v>
      </c>
      <c r="F135" s="14">
        <v>3.2709800000000002</v>
      </c>
      <c r="G135" s="14">
        <v>1.7459579999999999</v>
      </c>
      <c r="H135" s="15">
        <v>3.212898</v>
      </c>
      <c r="I135" s="15">
        <v>2.9920070000000001</v>
      </c>
      <c r="J135" s="15">
        <v>7.1919639999999996</v>
      </c>
      <c r="K135" s="15">
        <v>2.4572590000000001</v>
      </c>
      <c r="L135" s="16">
        <v>2.2008079999999999</v>
      </c>
      <c r="M135" s="16">
        <v>3.4224389999999998</v>
      </c>
      <c r="N135" s="16">
        <v>4.1998309999999996</v>
      </c>
      <c r="O135" s="16">
        <v>2.35928</v>
      </c>
      <c r="P135" s="17">
        <v>5.3377790000000003</v>
      </c>
      <c r="Q135" s="17">
        <v>5.749301</v>
      </c>
      <c r="R135" s="17">
        <v>2.5424899999999999</v>
      </c>
      <c r="S135" s="17">
        <v>6.2474069999999999</v>
      </c>
      <c r="AP135" s="34"/>
      <c r="AQ135" s="35"/>
      <c r="AR135" s="35"/>
      <c r="AS135" s="35"/>
    </row>
    <row r="136" spans="2:45" x14ac:dyDescent="0.2">
      <c r="B136" s="2">
        <v>43478.21707175926</v>
      </c>
      <c r="C136" s="5">
        <f t="shared" si="21"/>
        <v>11.166666220000025</v>
      </c>
      <c r="D136" s="14">
        <v>3.3796629999999999</v>
      </c>
      <c r="E136" s="14">
        <v>2.6884929999999998</v>
      </c>
      <c r="F136" s="14">
        <v>3.273269</v>
      </c>
      <c r="G136" s="14">
        <v>1.7493920000000001</v>
      </c>
      <c r="H136" s="15">
        <v>3.226613</v>
      </c>
      <c r="I136" s="15">
        <v>2.9940090000000001</v>
      </c>
      <c r="J136" s="15">
        <v>7.1919639999999996</v>
      </c>
      <c r="K136" s="15">
        <v>2.4573299999999998</v>
      </c>
      <c r="L136" s="16">
        <v>2.2008079999999999</v>
      </c>
      <c r="M136" s="16">
        <v>3.4224389999999998</v>
      </c>
      <c r="N136" s="16">
        <v>4.2058390000000001</v>
      </c>
      <c r="O136" s="16">
        <v>2.3660749999999999</v>
      </c>
      <c r="P136" s="17">
        <v>5.3495889999999999</v>
      </c>
      <c r="Q136" s="17">
        <v>5.7759090000000004</v>
      </c>
      <c r="R136" s="17">
        <v>2.54528</v>
      </c>
      <c r="S136" s="17">
        <v>6.2541310000000001</v>
      </c>
      <c r="AP136" s="34"/>
      <c r="AQ136" s="35"/>
      <c r="AR136" s="35"/>
      <c r="AS136" s="35"/>
    </row>
    <row r="137" spans="2:45" x14ac:dyDescent="0.2">
      <c r="B137" s="2">
        <v>43478.220543981479</v>
      </c>
      <c r="C137" s="5">
        <f t="shared" si="21"/>
        <v>11.249999550000025</v>
      </c>
      <c r="D137" s="14">
        <v>3.3807360000000002</v>
      </c>
      <c r="E137" s="14">
        <v>2.6884929999999998</v>
      </c>
      <c r="F137" s="14">
        <v>3.2755580000000002</v>
      </c>
      <c r="G137" s="14">
        <v>1.7528250000000001</v>
      </c>
      <c r="H137" s="15">
        <v>3.2271130000000001</v>
      </c>
      <c r="I137" s="15">
        <v>2.9960119999999999</v>
      </c>
      <c r="J137" s="15">
        <v>7.1919639999999996</v>
      </c>
      <c r="K137" s="15">
        <v>2.4573299999999998</v>
      </c>
      <c r="L137" s="16">
        <v>2.2008079999999999</v>
      </c>
      <c r="M137" s="16">
        <v>3.4224389999999998</v>
      </c>
      <c r="N137" s="16">
        <v>4.2118469999999997</v>
      </c>
      <c r="O137" s="16">
        <v>2.3728699999999998</v>
      </c>
      <c r="P137" s="17">
        <v>5.3633220000000001</v>
      </c>
      <c r="Q137" s="17">
        <v>5.7966629999999997</v>
      </c>
      <c r="R137" s="17">
        <v>2.5480689999999999</v>
      </c>
      <c r="S137" s="17">
        <v>6.2608540000000001</v>
      </c>
      <c r="AP137" s="34"/>
      <c r="AQ137" s="35"/>
      <c r="AR137" s="35"/>
      <c r="AS137" s="35"/>
    </row>
    <row r="138" spans="2:45" x14ac:dyDescent="0.2">
      <c r="B138" s="2">
        <v>43478.224016203705</v>
      </c>
      <c r="C138" s="5">
        <f t="shared" si="21"/>
        <v>11.333332880000025</v>
      </c>
      <c r="D138" s="14">
        <v>3.3818090000000001</v>
      </c>
      <c r="E138" s="14">
        <v>2.6884929999999998</v>
      </c>
      <c r="F138" s="14">
        <v>3.2778429999999998</v>
      </c>
      <c r="G138" s="14">
        <v>1.7562580000000001</v>
      </c>
      <c r="H138" s="15">
        <v>3.227614</v>
      </c>
      <c r="I138" s="15">
        <v>2.9980150000000001</v>
      </c>
      <c r="J138" s="15">
        <v>7.1997450000000001</v>
      </c>
      <c r="K138" s="15">
        <v>2.4573299999999998</v>
      </c>
      <c r="L138" s="16">
        <v>2.2008079999999999</v>
      </c>
      <c r="M138" s="16">
        <v>3.4224389999999998</v>
      </c>
      <c r="N138" s="16">
        <v>4.2178550000000001</v>
      </c>
      <c r="O138" s="16">
        <v>2.3796650000000001</v>
      </c>
      <c r="P138" s="17">
        <v>5.3770550000000004</v>
      </c>
      <c r="Q138" s="17">
        <v>5.7966629999999997</v>
      </c>
      <c r="R138" s="17">
        <v>2.5508579999999998</v>
      </c>
      <c r="S138" s="17">
        <v>6.2640609999999999</v>
      </c>
      <c r="AP138" s="34"/>
      <c r="AQ138" s="35"/>
      <c r="AR138" s="35"/>
      <c r="AS138" s="35"/>
    </row>
    <row r="139" spans="2:45" x14ac:dyDescent="0.2">
      <c r="B139" s="2">
        <v>43478.227488425924</v>
      </c>
      <c r="C139" s="5">
        <f t="shared" si="21"/>
        <v>11.416666210000026</v>
      </c>
      <c r="D139" s="14">
        <v>3.3828819999999999</v>
      </c>
      <c r="E139" s="14">
        <v>2.6884929999999998</v>
      </c>
      <c r="F139" s="14">
        <v>3.280135</v>
      </c>
      <c r="G139" s="14">
        <v>1.7596909999999999</v>
      </c>
      <c r="H139" s="15">
        <v>3.2281149999999998</v>
      </c>
      <c r="I139" s="15">
        <v>3.0000179999999999</v>
      </c>
      <c r="J139" s="15">
        <v>7.2207730000000003</v>
      </c>
      <c r="K139" s="15">
        <v>2.4573299999999998</v>
      </c>
      <c r="L139" s="16">
        <v>2.2008079999999999</v>
      </c>
      <c r="M139" s="16">
        <v>3.4224389999999998</v>
      </c>
      <c r="N139" s="16">
        <v>4.2238629999999997</v>
      </c>
      <c r="O139" s="16">
        <v>2.38646</v>
      </c>
      <c r="P139" s="17">
        <v>5.3907879999999997</v>
      </c>
      <c r="Q139" s="17">
        <v>5.7966629999999997</v>
      </c>
      <c r="R139" s="17">
        <v>2.5536479999999999</v>
      </c>
      <c r="S139" s="17">
        <v>6.2690679999999999</v>
      </c>
      <c r="AP139" s="34"/>
      <c r="AQ139" s="35"/>
      <c r="AR139" s="35"/>
      <c r="AS139" s="35"/>
    </row>
    <row r="140" spans="2:45" x14ac:dyDescent="0.2">
      <c r="B140" s="2">
        <v>43478.23096064815</v>
      </c>
      <c r="C140" s="5">
        <f t="shared" si="21"/>
        <v>11.499999540000026</v>
      </c>
      <c r="D140" s="14">
        <v>3.3839549999999998</v>
      </c>
      <c r="E140" s="14">
        <v>2.6884929999999998</v>
      </c>
      <c r="F140" s="14">
        <v>3.2824239999999998</v>
      </c>
      <c r="G140" s="14">
        <v>1.7631250000000001</v>
      </c>
      <c r="H140" s="15">
        <v>3.228615</v>
      </c>
      <c r="I140" s="15">
        <v>3.0020199999999999</v>
      </c>
      <c r="J140" s="15">
        <v>7.2418019999999999</v>
      </c>
      <c r="K140" s="15">
        <v>2.4573299999999998</v>
      </c>
      <c r="L140" s="16">
        <v>2.2008079999999999</v>
      </c>
      <c r="M140" s="16">
        <v>3.4224389999999998</v>
      </c>
      <c r="N140" s="16">
        <v>4.2298710000000002</v>
      </c>
      <c r="O140" s="16">
        <v>2.3932549999999999</v>
      </c>
      <c r="P140" s="17">
        <v>5.4045209999999999</v>
      </c>
      <c r="Q140" s="17">
        <v>5.7966629999999997</v>
      </c>
      <c r="R140" s="17">
        <v>2.5564369999999998</v>
      </c>
      <c r="S140" s="17">
        <v>6.2740749999999998</v>
      </c>
      <c r="AP140" s="34"/>
      <c r="AQ140" s="35"/>
      <c r="AR140" s="35"/>
      <c r="AS140" s="35"/>
    </row>
    <row r="141" spans="2:45" x14ac:dyDescent="0.2">
      <c r="B141" s="2">
        <v>43478.234432870369</v>
      </c>
      <c r="C141" s="5">
        <f t="shared" si="21"/>
        <v>11.583332870000026</v>
      </c>
      <c r="D141" s="14">
        <v>3.3850280000000001</v>
      </c>
      <c r="E141" s="14">
        <v>2.6884929999999998</v>
      </c>
      <c r="F141" s="14">
        <v>3.284713</v>
      </c>
      <c r="G141" s="14">
        <v>1.7665580000000001</v>
      </c>
      <c r="H141" s="15">
        <v>3.2291159999999999</v>
      </c>
      <c r="I141" s="15">
        <v>3.0040230000000001</v>
      </c>
      <c r="J141" s="15">
        <v>7.2628300000000001</v>
      </c>
      <c r="K141" s="15">
        <v>2.4573299999999998</v>
      </c>
      <c r="L141" s="16">
        <v>2.2008079999999999</v>
      </c>
      <c r="M141" s="16">
        <v>3.4224389999999998</v>
      </c>
      <c r="N141" s="16">
        <v>4.2358789999999997</v>
      </c>
      <c r="O141" s="16">
        <v>2.4000490000000001</v>
      </c>
      <c r="P141" s="17">
        <v>5.418253</v>
      </c>
      <c r="Q141" s="17">
        <v>5.8070139999999997</v>
      </c>
      <c r="R141" s="17">
        <v>2.5592920000000001</v>
      </c>
      <c r="S141" s="17">
        <v>6.2790819999999998</v>
      </c>
      <c r="AP141" s="34"/>
      <c r="AQ141" s="35"/>
      <c r="AR141" s="35"/>
      <c r="AS141" s="35"/>
    </row>
    <row r="142" spans="2:45" x14ac:dyDescent="0.2">
      <c r="B142" s="2">
        <v>43478.237905092596</v>
      </c>
      <c r="C142" s="5">
        <f t="shared" si="21"/>
        <v>11.666666200000027</v>
      </c>
      <c r="D142" s="14">
        <v>3.386101</v>
      </c>
      <c r="E142" s="14">
        <v>2.6884929999999998</v>
      </c>
      <c r="F142" s="14">
        <v>3.2870020000000002</v>
      </c>
      <c r="G142" s="14">
        <v>1.7699910000000001</v>
      </c>
      <c r="H142" s="15">
        <v>3.2296170000000002</v>
      </c>
      <c r="I142" s="15">
        <v>3.0060259999999999</v>
      </c>
      <c r="J142" s="15">
        <v>7.2838589999999996</v>
      </c>
      <c r="K142" s="15">
        <v>2.4573299999999998</v>
      </c>
      <c r="L142" s="16">
        <v>2.2008079999999999</v>
      </c>
      <c r="M142" s="16">
        <v>3.4224389999999998</v>
      </c>
      <c r="N142" s="16">
        <v>4.2418880000000003</v>
      </c>
      <c r="O142" s="16">
        <v>2.406844</v>
      </c>
      <c r="P142" s="17">
        <v>5.4319860000000002</v>
      </c>
      <c r="Q142" s="17">
        <v>5.8186010000000001</v>
      </c>
      <c r="R142" s="17">
        <v>2.5592920000000001</v>
      </c>
      <c r="S142" s="17">
        <v>6.2840889999999998</v>
      </c>
      <c r="AP142" s="34"/>
      <c r="AQ142" s="35"/>
      <c r="AR142" s="35"/>
      <c r="AS142" s="35"/>
    </row>
    <row r="143" spans="2:45" x14ac:dyDescent="0.2">
      <c r="B143" s="2">
        <v>43478.241377314815</v>
      </c>
      <c r="C143" s="5">
        <f t="shared" si="21"/>
        <v>11.749999530000027</v>
      </c>
      <c r="D143" s="14">
        <v>3.3871739999999999</v>
      </c>
      <c r="E143" s="14">
        <v>2.6884929999999998</v>
      </c>
      <c r="F143" s="14">
        <v>3.2883830000000001</v>
      </c>
      <c r="G143" s="14">
        <v>1.7734239999999999</v>
      </c>
      <c r="H143" s="15">
        <v>3.2301169999999999</v>
      </c>
      <c r="I143" s="15">
        <v>3.0080290000000001</v>
      </c>
      <c r="J143" s="15">
        <v>7.3048869999999999</v>
      </c>
      <c r="K143" s="15">
        <v>2.4573299999999998</v>
      </c>
      <c r="L143" s="16">
        <v>2.2008079999999999</v>
      </c>
      <c r="M143" s="16">
        <v>3.4224389999999998</v>
      </c>
      <c r="N143" s="16">
        <v>4.2478959999999999</v>
      </c>
      <c r="O143" s="16">
        <v>2.4136389999999999</v>
      </c>
      <c r="P143" s="17">
        <v>5.4457190000000004</v>
      </c>
      <c r="Q143" s="17">
        <v>5.8301879999999997</v>
      </c>
      <c r="R143" s="17">
        <v>2.5635720000000002</v>
      </c>
      <c r="S143" s="17">
        <v>6.2890949999999997</v>
      </c>
      <c r="AP143" s="34"/>
      <c r="AQ143" s="35"/>
      <c r="AR143" s="35"/>
      <c r="AS143" s="35"/>
    </row>
    <row r="144" spans="2:45" x14ac:dyDescent="0.2">
      <c r="B144" s="2">
        <v>43478.244849537034</v>
      </c>
      <c r="C144" s="5">
        <f t="shared" si="21"/>
        <v>11.833332860000027</v>
      </c>
      <c r="D144" s="14">
        <v>3.3882469999999998</v>
      </c>
      <c r="E144" s="14">
        <v>2.6884929999999998</v>
      </c>
      <c r="F144" s="14">
        <v>3.2883830000000001</v>
      </c>
      <c r="G144" s="14">
        <v>1.7768569999999999</v>
      </c>
      <c r="H144" s="15">
        <v>3.2306180000000002</v>
      </c>
      <c r="I144" s="15">
        <v>3.0100310000000001</v>
      </c>
      <c r="J144" s="15">
        <v>7.3259160000000003</v>
      </c>
      <c r="K144" s="15">
        <v>2.4573299999999998</v>
      </c>
      <c r="L144" s="16">
        <v>2.2008079999999999</v>
      </c>
      <c r="M144" s="16">
        <v>3.4224389999999998</v>
      </c>
      <c r="N144" s="16">
        <v>4.2539040000000004</v>
      </c>
      <c r="O144" s="16">
        <v>2.4204340000000002</v>
      </c>
      <c r="P144" s="17">
        <v>5.4594519999999997</v>
      </c>
      <c r="Q144" s="17">
        <v>5.8417750000000002</v>
      </c>
      <c r="R144" s="17">
        <v>2.5682930000000002</v>
      </c>
      <c r="S144" s="17">
        <v>6.2941019999999996</v>
      </c>
      <c r="AP144" s="34"/>
      <c r="AQ144" s="35"/>
      <c r="AR144" s="35"/>
      <c r="AS144" s="35"/>
    </row>
    <row r="145" spans="2:45" x14ac:dyDescent="0.2">
      <c r="B145" s="2">
        <v>43478.24832175926</v>
      </c>
      <c r="C145" s="5">
        <f t="shared" si="21"/>
        <v>11.916666190000027</v>
      </c>
      <c r="D145" s="14">
        <v>3.389319</v>
      </c>
      <c r="E145" s="14">
        <v>2.6884929999999998</v>
      </c>
      <c r="F145" s="14">
        <v>3.2883830000000001</v>
      </c>
      <c r="G145" s="14">
        <v>1.7802910000000001</v>
      </c>
      <c r="H145" s="15">
        <v>3.2311190000000001</v>
      </c>
      <c r="I145" s="15">
        <v>3.0120339999999999</v>
      </c>
      <c r="J145" s="15">
        <v>7.3469439999999997</v>
      </c>
      <c r="K145" s="15">
        <v>2.4573299999999998</v>
      </c>
      <c r="L145" s="16">
        <v>2.2008079999999999</v>
      </c>
      <c r="M145" s="16">
        <v>3.4224389999999998</v>
      </c>
      <c r="N145" s="16">
        <v>4.2599119999999999</v>
      </c>
      <c r="O145" s="16">
        <v>2.4272290000000001</v>
      </c>
      <c r="P145" s="17">
        <v>5.473185</v>
      </c>
      <c r="Q145" s="17">
        <v>5.8533629999999999</v>
      </c>
      <c r="R145" s="17">
        <v>2.5730140000000001</v>
      </c>
      <c r="S145" s="17">
        <v>6.2991089999999996</v>
      </c>
      <c r="AP145" s="34"/>
      <c r="AQ145" s="35"/>
      <c r="AR145" s="35"/>
      <c r="AS145" s="35"/>
    </row>
    <row r="146" spans="2:45" x14ac:dyDescent="0.2">
      <c r="B146" s="2">
        <v>43478.251793981479</v>
      </c>
      <c r="C146" s="5">
        <f t="shared" si="21"/>
        <v>11.999999520000028</v>
      </c>
      <c r="D146" s="14">
        <v>3.3903919999999999</v>
      </c>
      <c r="E146" s="14">
        <v>2.6884929999999998</v>
      </c>
      <c r="F146" s="14">
        <v>3.2883830000000001</v>
      </c>
      <c r="G146" s="14">
        <v>1.7837240000000001</v>
      </c>
      <c r="H146" s="15">
        <v>3.2316189999999998</v>
      </c>
      <c r="I146" s="15">
        <v>3.0140370000000001</v>
      </c>
      <c r="J146" s="15">
        <v>7.3593510000000002</v>
      </c>
      <c r="K146" s="15">
        <v>2.4573299999999998</v>
      </c>
      <c r="L146" s="16">
        <v>2.2008079999999999</v>
      </c>
      <c r="M146" s="16">
        <v>3.4224389999999998</v>
      </c>
      <c r="N146" s="16">
        <v>4.2659200000000004</v>
      </c>
      <c r="O146" s="16">
        <v>2.434024</v>
      </c>
      <c r="P146" s="17">
        <v>5.4869180000000002</v>
      </c>
      <c r="Q146" s="17">
        <v>5.8649500000000003</v>
      </c>
      <c r="R146" s="17">
        <v>2.577734</v>
      </c>
      <c r="S146" s="17">
        <v>6.3041159999999996</v>
      </c>
      <c r="V146" s="25">
        <v>12</v>
      </c>
      <c r="W146">
        <f>AVERAGE(D135:D146)</f>
        <v>3.3844914166666662</v>
      </c>
      <c r="X146">
        <f t="shared" ref="X146:AL146" si="23">AVERAGE(E135:E146)</f>
        <v>2.688490666666667</v>
      </c>
      <c r="Y146">
        <f t="shared" si="23"/>
        <v>3.2821213333333343</v>
      </c>
      <c r="Z146">
        <f t="shared" si="23"/>
        <v>1.7648411666666668</v>
      </c>
      <c r="AA146">
        <f t="shared" si="23"/>
        <v>3.2277645000000006</v>
      </c>
      <c r="AB146">
        <f t="shared" si="23"/>
        <v>3.0030217500000003</v>
      </c>
      <c r="AC146">
        <f t="shared" si="23"/>
        <v>7.2601665833333335</v>
      </c>
      <c r="AD146">
        <f t="shared" si="23"/>
        <v>2.4573240833333325</v>
      </c>
      <c r="AE146">
        <f t="shared" si="23"/>
        <v>2.2008079999999994</v>
      </c>
      <c r="AF146">
        <f t="shared" si="23"/>
        <v>3.4224389999999993</v>
      </c>
      <c r="AG146">
        <f t="shared" si="23"/>
        <v>4.2328754166666664</v>
      </c>
      <c r="AH146">
        <f t="shared" si="23"/>
        <v>2.396652</v>
      </c>
      <c r="AI146">
        <f t="shared" si="23"/>
        <v>5.4115472500000008</v>
      </c>
      <c r="AJ146">
        <f t="shared" si="23"/>
        <v>5.8106460833333342</v>
      </c>
      <c r="AK146">
        <f t="shared" si="23"/>
        <v>2.5581649166666662</v>
      </c>
      <c r="AL146">
        <f t="shared" si="23"/>
        <v>6.2765990833333332</v>
      </c>
      <c r="AO146" s="25">
        <v>12</v>
      </c>
      <c r="AP146" s="34">
        <f>AVERAGE(W146:Z146)</f>
        <v>2.7799861458333335</v>
      </c>
      <c r="AQ146" s="35">
        <f>AVERAGE(AA146:AD146)</f>
        <v>3.987069229166667</v>
      </c>
      <c r="AR146" s="35">
        <f>AVERAGE(AE146:AH146)</f>
        <v>3.0631936041666661</v>
      </c>
      <c r="AS146" s="35">
        <f>AVERAGE(AI146:AL146)</f>
        <v>5.0142393333333333</v>
      </c>
    </row>
    <row r="147" spans="2:45" x14ac:dyDescent="0.2">
      <c r="B147" s="2">
        <v>43478.255266203705</v>
      </c>
      <c r="C147" s="5">
        <f t="shared" si="21"/>
        <v>12.083332850000028</v>
      </c>
      <c r="D147" s="14">
        <v>3.3914650000000002</v>
      </c>
      <c r="E147" s="14">
        <v>2.6884929999999998</v>
      </c>
      <c r="F147" s="14">
        <v>3.2883830000000001</v>
      </c>
      <c r="G147" s="14">
        <v>1.7871570000000001</v>
      </c>
      <c r="H147" s="15">
        <v>3.2321200000000001</v>
      </c>
      <c r="I147" s="15">
        <v>3.0160390000000001</v>
      </c>
      <c r="J147" s="15">
        <v>7.3593510000000002</v>
      </c>
      <c r="K147" s="15">
        <v>2.4573299999999998</v>
      </c>
      <c r="L147" s="16">
        <v>2.2008079999999999</v>
      </c>
      <c r="M147" s="16">
        <v>3.4224389999999998</v>
      </c>
      <c r="N147" s="16">
        <v>4.2719279999999999</v>
      </c>
      <c r="O147" s="16">
        <v>2.4408189999999998</v>
      </c>
      <c r="P147" s="17">
        <v>5.5006510000000004</v>
      </c>
      <c r="Q147" s="17">
        <v>5.8765369999999999</v>
      </c>
      <c r="R147" s="17">
        <v>2.5824549999999999</v>
      </c>
      <c r="S147" s="17">
        <v>6.3091229999999996</v>
      </c>
      <c r="AP147" s="34"/>
      <c r="AQ147" s="35"/>
      <c r="AR147" s="35"/>
      <c r="AS147" s="35"/>
    </row>
    <row r="148" spans="2:45" x14ac:dyDescent="0.2">
      <c r="B148" s="2">
        <v>43478.258738425924</v>
      </c>
      <c r="C148" s="5">
        <f t="shared" si="21"/>
        <v>12.166666180000028</v>
      </c>
      <c r="D148" s="14">
        <v>3.3925380000000001</v>
      </c>
      <c r="E148" s="14">
        <v>2.6884929999999998</v>
      </c>
      <c r="F148" s="14">
        <v>3.2883830000000001</v>
      </c>
      <c r="G148" s="14">
        <v>1.7905899999999999</v>
      </c>
      <c r="H148" s="15">
        <v>3.232621</v>
      </c>
      <c r="I148" s="15">
        <v>3.0180419999999999</v>
      </c>
      <c r="J148" s="15">
        <v>7.3593510000000002</v>
      </c>
      <c r="K148" s="15">
        <v>2.4573299999999998</v>
      </c>
      <c r="L148" s="16">
        <v>2.2008079999999999</v>
      </c>
      <c r="M148" s="16">
        <v>3.4224389999999998</v>
      </c>
      <c r="N148" s="16">
        <v>4.2779360000000004</v>
      </c>
      <c r="O148" s="16">
        <v>2.4476140000000002</v>
      </c>
      <c r="P148" s="17">
        <v>5.5143839999999997</v>
      </c>
      <c r="Q148" s="17">
        <v>5.8881240000000004</v>
      </c>
      <c r="R148" s="17">
        <v>2.5871759999999999</v>
      </c>
      <c r="S148" s="17">
        <v>6.3141290000000003</v>
      </c>
      <c r="AP148" s="34"/>
      <c r="AQ148" s="35"/>
      <c r="AR148" s="35"/>
      <c r="AS148" s="35"/>
    </row>
    <row r="149" spans="2:45" x14ac:dyDescent="0.2">
      <c r="B149" s="2">
        <v>43478.26221064815</v>
      </c>
      <c r="C149" s="5">
        <f t="shared" si="21"/>
        <v>12.249999510000029</v>
      </c>
      <c r="D149" s="14">
        <v>3.3936109999999999</v>
      </c>
      <c r="E149" s="14">
        <v>2.6884929999999998</v>
      </c>
      <c r="F149" s="14">
        <v>3.2883830000000001</v>
      </c>
      <c r="G149" s="14">
        <v>1.7940240000000001</v>
      </c>
      <c r="H149" s="15">
        <v>3.2331210000000001</v>
      </c>
      <c r="I149" s="15">
        <v>3.0200450000000001</v>
      </c>
      <c r="J149" s="15">
        <v>7.3593510000000002</v>
      </c>
      <c r="K149" s="15">
        <v>2.4573299999999998</v>
      </c>
      <c r="L149" s="16">
        <v>2.2008079999999999</v>
      </c>
      <c r="M149" s="16">
        <v>3.4224389999999998</v>
      </c>
      <c r="N149" s="16">
        <v>4.2839450000000001</v>
      </c>
      <c r="O149" s="16">
        <v>2.4544090000000001</v>
      </c>
      <c r="P149" s="17">
        <v>5.5281169999999999</v>
      </c>
      <c r="Q149" s="17">
        <v>5.8997109999999999</v>
      </c>
      <c r="R149" s="17">
        <v>2.5918960000000002</v>
      </c>
      <c r="S149" s="17">
        <v>6.3191360000000003</v>
      </c>
      <c r="AP149" s="34"/>
      <c r="AQ149" s="35"/>
      <c r="AR149" s="35"/>
      <c r="AS149" s="35"/>
    </row>
    <row r="150" spans="2:45" x14ac:dyDescent="0.2">
      <c r="B150" s="2">
        <v>43478.265682870369</v>
      </c>
      <c r="C150" s="5">
        <f t="shared" si="21"/>
        <v>12.333332840000029</v>
      </c>
      <c r="D150" s="14">
        <v>3.3946839999999998</v>
      </c>
      <c r="E150" s="14">
        <v>2.6884929999999998</v>
      </c>
      <c r="F150" s="14">
        <v>3.2883830000000001</v>
      </c>
      <c r="G150" s="14">
        <v>1.7974570000000001</v>
      </c>
      <c r="H150" s="15">
        <v>3.233622</v>
      </c>
      <c r="I150" s="15">
        <v>3.0220479999999998</v>
      </c>
      <c r="J150" s="15">
        <v>7.3593510000000002</v>
      </c>
      <c r="K150" s="15">
        <v>2.4573299999999998</v>
      </c>
      <c r="L150" s="16">
        <v>2.2008079999999999</v>
      </c>
      <c r="M150" s="16">
        <v>3.4224389999999998</v>
      </c>
      <c r="N150" s="16">
        <v>4.2899529999999997</v>
      </c>
      <c r="O150" s="16">
        <v>2.4612039999999999</v>
      </c>
      <c r="P150" s="17">
        <v>5.5418500000000002</v>
      </c>
      <c r="Q150" s="17">
        <v>5.9009470000000004</v>
      </c>
      <c r="R150" s="17">
        <v>2.5966170000000002</v>
      </c>
      <c r="S150" s="17">
        <v>6.3241430000000003</v>
      </c>
      <c r="AP150" s="34"/>
      <c r="AQ150" s="35"/>
      <c r="AR150" s="35"/>
      <c r="AS150" s="35"/>
    </row>
    <row r="151" spans="2:45" x14ac:dyDescent="0.2">
      <c r="B151" s="2">
        <v>43478.269155092596</v>
      </c>
      <c r="C151" s="5">
        <f t="shared" si="21"/>
        <v>12.416666170000029</v>
      </c>
      <c r="D151" s="14">
        <v>3.3957570000000001</v>
      </c>
      <c r="E151" s="14">
        <v>2.6884929999999998</v>
      </c>
      <c r="F151" s="14">
        <v>3.2883830000000001</v>
      </c>
      <c r="G151" s="14">
        <v>1.8008900000000001</v>
      </c>
      <c r="H151" s="15">
        <v>3.2341229999999999</v>
      </c>
      <c r="I151" s="15">
        <v>3.0240499999999999</v>
      </c>
      <c r="J151" s="15">
        <v>7.3593510000000002</v>
      </c>
      <c r="K151" s="15">
        <v>2.4573299999999998</v>
      </c>
      <c r="L151" s="16">
        <v>2.2008079999999999</v>
      </c>
      <c r="M151" s="16">
        <v>3.4224389999999998</v>
      </c>
      <c r="N151" s="16">
        <v>4.2959610000000001</v>
      </c>
      <c r="O151" s="16">
        <v>2.4679989999999998</v>
      </c>
      <c r="P151" s="17">
        <v>5.5502269999999996</v>
      </c>
      <c r="Q151" s="17">
        <v>5.9026829999999997</v>
      </c>
      <c r="R151" s="17">
        <v>2.6013380000000002</v>
      </c>
      <c r="S151" s="17">
        <v>6.3291500000000003</v>
      </c>
      <c r="AP151" s="34"/>
      <c r="AQ151" s="35"/>
      <c r="AR151" s="35"/>
      <c r="AS151" s="35"/>
    </row>
    <row r="152" spans="2:45" x14ac:dyDescent="0.2">
      <c r="B152" s="2">
        <v>43478.272627314815</v>
      </c>
      <c r="C152" s="5">
        <f t="shared" si="21"/>
        <v>12.49999950000003</v>
      </c>
      <c r="D152" s="14">
        <v>3.39683</v>
      </c>
      <c r="E152" s="14">
        <v>2.6884929999999998</v>
      </c>
      <c r="F152" s="14">
        <v>3.2883830000000001</v>
      </c>
      <c r="G152" s="14">
        <v>1.8043229999999999</v>
      </c>
      <c r="H152" s="15">
        <v>3.234623</v>
      </c>
      <c r="I152" s="15">
        <v>3.0260530000000001</v>
      </c>
      <c r="J152" s="15">
        <v>7.3593510000000002</v>
      </c>
      <c r="K152" s="15">
        <v>2.4573299999999998</v>
      </c>
      <c r="L152" s="16">
        <v>2.2008079999999999</v>
      </c>
      <c r="M152" s="16">
        <v>3.4224389999999998</v>
      </c>
      <c r="N152" s="16">
        <v>4.3019689999999997</v>
      </c>
      <c r="O152" s="16">
        <v>2.4747940000000002</v>
      </c>
      <c r="P152" s="17">
        <v>5.5502269999999996</v>
      </c>
      <c r="Q152" s="17">
        <v>5.9101210000000002</v>
      </c>
      <c r="R152" s="17">
        <v>2.606058</v>
      </c>
      <c r="S152" s="17">
        <v>6.3341570000000003</v>
      </c>
      <c r="AP152" s="34"/>
      <c r="AQ152" s="35"/>
      <c r="AR152" s="35"/>
      <c r="AS152" s="35"/>
    </row>
    <row r="153" spans="2:45" x14ac:dyDescent="0.2">
      <c r="B153" s="2">
        <v>43478.276099537034</v>
      </c>
      <c r="C153" s="5">
        <f t="shared" si="21"/>
        <v>12.58333283000003</v>
      </c>
      <c r="D153" s="14">
        <v>3.3979020000000002</v>
      </c>
      <c r="E153" s="14">
        <v>2.6884929999999998</v>
      </c>
      <c r="F153" s="14">
        <v>3.2883830000000001</v>
      </c>
      <c r="G153" s="14">
        <v>1.8077570000000001</v>
      </c>
      <c r="H153" s="15">
        <v>3.2351239999999999</v>
      </c>
      <c r="I153" s="15">
        <v>3.0280559999999999</v>
      </c>
      <c r="J153" s="15">
        <v>7.3593510000000002</v>
      </c>
      <c r="K153" s="15">
        <v>2.4573299999999998</v>
      </c>
      <c r="L153" s="16">
        <v>2.2008079999999999</v>
      </c>
      <c r="M153" s="16">
        <v>3.4224389999999998</v>
      </c>
      <c r="N153" s="16">
        <v>4.3079770000000002</v>
      </c>
      <c r="O153" s="16">
        <v>2.481589</v>
      </c>
      <c r="P153" s="17">
        <v>5.5502269999999996</v>
      </c>
      <c r="Q153" s="17">
        <v>5.9175599999999999</v>
      </c>
      <c r="R153" s="17">
        <v>2.610779</v>
      </c>
      <c r="S153" s="17">
        <v>6.3372270000000004</v>
      </c>
      <c r="AP153" s="34"/>
      <c r="AQ153" s="35"/>
      <c r="AR153" s="35"/>
      <c r="AS153" s="35"/>
    </row>
    <row r="154" spans="2:45" x14ac:dyDescent="0.2">
      <c r="B154" s="2">
        <v>43478.27957175926</v>
      </c>
      <c r="C154" s="5">
        <f t="shared" si="21"/>
        <v>12.66666616000003</v>
      </c>
      <c r="D154" s="14">
        <v>3.3989750000000001</v>
      </c>
      <c r="E154" s="14">
        <v>2.6884929999999998</v>
      </c>
      <c r="F154" s="14">
        <v>3.2895310000000002</v>
      </c>
      <c r="G154" s="14">
        <v>1.8111900000000001</v>
      </c>
      <c r="H154" s="15">
        <v>3.2356250000000002</v>
      </c>
      <c r="I154" s="15">
        <v>3.0300579999999999</v>
      </c>
      <c r="J154" s="15">
        <v>7.3593510000000002</v>
      </c>
      <c r="K154" s="15">
        <v>2.4573299999999998</v>
      </c>
      <c r="L154" s="16">
        <v>2.2008079999999999</v>
      </c>
      <c r="M154" s="16">
        <v>3.4224389999999998</v>
      </c>
      <c r="N154" s="16">
        <v>4.3139849999999997</v>
      </c>
      <c r="O154" s="16">
        <v>2.4883839999999999</v>
      </c>
      <c r="P154" s="17">
        <v>5.5502269999999996</v>
      </c>
      <c r="Q154" s="17">
        <v>5.9204119999999998</v>
      </c>
      <c r="R154" s="17">
        <v>2.6154999999999999</v>
      </c>
      <c r="S154" s="17">
        <v>6.3372270000000004</v>
      </c>
      <c r="AP154" s="34"/>
      <c r="AQ154" s="35"/>
      <c r="AR154" s="35"/>
      <c r="AS154" s="35"/>
    </row>
    <row r="155" spans="2:45" x14ac:dyDescent="0.2">
      <c r="B155" s="2">
        <v>43478.283043981479</v>
      </c>
      <c r="C155" s="5">
        <f t="shared" si="21"/>
        <v>12.749999490000031</v>
      </c>
      <c r="D155" s="14">
        <v>3.400048</v>
      </c>
      <c r="E155" s="14">
        <v>2.6884929999999998</v>
      </c>
      <c r="F155" s="14">
        <v>3.2954669999999999</v>
      </c>
      <c r="G155" s="14">
        <v>1.8146230000000001</v>
      </c>
      <c r="H155" s="15">
        <v>3.2361249999999999</v>
      </c>
      <c r="I155" s="15">
        <v>3.0320610000000001</v>
      </c>
      <c r="J155" s="15">
        <v>7.3593510000000002</v>
      </c>
      <c r="K155" s="15">
        <v>2.4573299999999998</v>
      </c>
      <c r="L155" s="16">
        <v>2.2008079999999999</v>
      </c>
      <c r="M155" s="16">
        <v>3.4224389999999998</v>
      </c>
      <c r="N155" s="16">
        <v>4.3199930000000002</v>
      </c>
      <c r="O155" s="16">
        <v>2.4951669999999999</v>
      </c>
      <c r="P155" s="17">
        <v>5.5502269999999996</v>
      </c>
      <c r="Q155" s="17">
        <v>5.9204119999999998</v>
      </c>
      <c r="R155" s="17">
        <v>2.6202130000000001</v>
      </c>
      <c r="S155" s="17">
        <v>6.3484429999999996</v>
      </c>
      <c r="AP155" s="34"/>
      <c r="AQ155" s="35"/>
      <c r="AR155" s="35"/>
      <c r="AS155" s="35"/>
    </row>
    <row r="156" spans="2:45" x14ac:dyDescent="0.2">
      <c r="B156" s="2">
        <v>43478.286516203705</v>
      </c>
      <c r="C156" s="5">
        <f t="shared" si="21"/>
        <v>12.833332820000031</v>
      </c>
      <c r="D156" s="14">
        <v>3.4011209999999998</v>
      </c>
      <c r="E156" s="14">
        <v>2.6884929999999998</v>
      </c>
      <c r="F156" s="14">
        <v>3.3014039999999998</v>
      </c>
      <c r="G156" s="14">
        <v>1.8180559999999999</v>
      </c>
      <c r="H156" s="15">
        <v>3.2366259999999998</v>
      </c>
      <c r="I156" s="15">
        <v>3.0340639999999999</v>
      </c>
      <c r="J156" s="15">
        <v>7.3593510000000002</v>
      </c>
      <c r="K156" s="15">
        <v>2.4573299999999998</v>
      </c>
      <c r="L156" s="16">
        <v>2.2008079999999999</v>
      </c>
      <c r="M156" s="16">
        <v>3.4224389999999998</v>
      </c>
      <c r="N156" s="16">
        <v>4.3260019999999999</v>
      </c>
      <c r="O156" s="16">
        <v>2.501973</v>
      </c>
      <c r="P156" s="17">
        <v>5.5502269999999996</v>
      </c>
      <c r="Q156" s="17">
        <v>5.9204119999999998</v>
      </c>
      <c r="R156" s="17">
        <v>2.6249410000000002</v>
      </c>
      <c r="S156" s="17">
        <v>6.3724749999999997</v>
      </c>
      <c r="AP156" s="34"/>
      <c r="AQ156" s="35"/>
      <c r="AR156" s="35"/>
      <c r="AS156" s="35"/>
    </row>
    <row r="157" spans="2:45" x14ac:dyDescent="0.2">
      <c r="B157" s="2">
        <v>43478.289988425924</v>
      </c>
      <c r="C157" s="5">
        <f t="shared" si="21"/>
        <v>12.916666150000031</v>
      </c>
      <c r="D157" s="14">
        <v>3.4021940000000002</v>
      </c>
      <c r="E157" s="14">
        <v>2.6884929999999998</v>
      </c>
      <c r="F157" s="14">
        <v>3.3073399999999999</v>
      </c>
      <c r="G157" s="14">
        <v>1.8214889999999999</v>
      </c>
      <c r="H157" s="15">
        <v>3.2371270000000001</v>
      </c>
      <c r="I157" s="15">
        <v>3.0360670000000001</v>
      </c>
      <c r="J157" s="15">
        <v>7.3593510000000002</v>
      </c>
      <c r="K157" s="15">
        <v>2.4573299999999998</v>
      </c>
      <c r="L157" s="16">
        <v>2.2008079999999999</v>
      </c>
      <c r="M157" s="16">
        <v>3.4224389999999998</v>
      </c>
      <c r="N157" s="16">
        <v>4.3320100000000004</v>
      </c>
      <c r="O157" s="16">
        <v>2.5087679999999999</v>
      </c>
      <c r="P157" s="17">
        <v>5.5502269999999996</v>
      </c>
      <c r="Q157" s="17">
        <v>5.9204119999999998</v>
      </c>
      <c r="R157" s="17">
        <v>2.6296620000000002</v>
      </c>
      <c r="S157" s="17">
        <v>6.3965079999999999</v>
      </c>
      <c r="AP157" s="34"/>
      <c r="AQ157" s="35"/>
      <c r="AR157" s="35"/>
      <c r="AS157" s="35"/>
    </row>
    <row r="158" spans="2:45" x14ac:dyDescent="0.2">
      <c r="B158" s="2">
        <v>43478.29346064815</v>
      </c>
      <c r="C158" s="5">
        <f t="shared" si="21"/>
        <v>12.999999480000032</v>
      </c>
      <c r="D158" s="14">
        <v>3.403267</v>
      </c>
      <c r="E158" s="14">
        <v>2.6884929999999998</v>
      </c>
      <c r="F158" s="14">
        <v>3.3132769999999998</v>
      </c>
      <c r="G158" s="14">
        <v>1.8249230000000001</v>
      </c>
      <c r="H158" s="15">
        <v>3.237628</v>
      </c>
      <c r="I158" s="15">
        <v>3.0380690000000001</v>
      </c>
      <c r="J158" s="15">
        <v>7.3593510000000002</v>
      </c>
      <c r="K158" s="15">
        <v>2.4573299999999998</v>
      </c>
      <c r="L158" s="16">
        <v>2.2008079999999999</v>
      </c>
      <c r="M158" s="16">
        <v>3.4224389999999998</v>
      </c>
      <c r="N158" s="16">
        <v>4.3380179999999999</v>
      </c>
      <c r="O158" s="16">
        <v>2.5155630000000002</v>
      </c>
      <c r="P158" s="17">
        <v>5.5502269999999996</v>
      </c>
      <c r="Q158" s="17">
        <v>5.9204119999999998</v>
      </c>
      <c r="R158" s="17">
        <v>2.634382</v>
      </c>
      <c r="S158" s="17">
        <v>6.4205399999999999</v>
      </c>
      <c r="V158" s="25">
        <v>13</v>
      </c>
      <c r="W158">
        <f>AVERAGE(D147:D158)</f>
        <v>3.3973659999999999</v>
      </c>
      <c r="X158">
        <f t="shared" ref="X158:AL158" si="24">AVERAGE(E147:E158)</f>
        <v>2.6884930000000007</v>
      </c>
      <c r="Y158">
        <f t="shared" si="24"/>
        <v>3.2938083333333332</v>
      </c>
      <c r="Z158">
        <f t="shared" si="24"/>
        <v>1.806039916666667</v>
      </c>
      <c r="AA158">
        <f t="shared" si="24"/>
        <v>3.2348737500000002</v>
      </c>
      <c r="AB158">
        <f t="shared" si="24"/>
        <v>3.0270543333333335</v>
      </c>
      <c r="AC158">
        <f t="shared" si="24"/>
        <v>7.3593510000000029</v>
      </c>
      <c r="AD158">
        <f t="shared" si="24"/>
        <v>2.4573299999999993</v>
      </c>
      <c r="AE158">
        <f t="shared" si="24"/>
        <v>2.2008079999999994</v>
      </c>
      <c r="AF158">
        <f t="shared" si="24"/>
        <v>3.4224389999999993</v>
      </c>
      <c r="AG158">
        <f t="shared" si="24"/>
        <v>4.3049730833333326</v>
      </c>
      <c r="AH158">
        <f t="shared" si="24"/>
        <v>2.4781902499999995</v>
      </c>
      <c r="AI158">
        <f t="shared" si="24"/>
        <v>5.5405681666666666</v>
      </c>
      <c r="AJ158">
        <f t="shared" si="24"/>
        <v>5.9081452500000005</v>
      </c>
      <c r="AK158">
        <f t="shared" si="24"/>
        <v>2.608418083333333</v>
      </c>
      <c r="AL158">
        <f t="shared" si="24"/>
        <v>6.3451881666666665</v>
      </c>
      <c r="AO158" s="25">
        <v>13</v>
      </c>
      <c r="AP158" s="34">
        <f>AVERAGE(W158:Z158)</f>
        <v>2.7964268125</v>
      </c>
      <c r="AQ158" s="35">
        <f>AVERAGE(AA158:AD158)</f>
        <v>4.0196522708333342</v>
      </c>
      <c r="AR158" s="35">
        <f>AVERAGE(AE158:AH158)</f>
        <v>3.1016025833333329</v>
      </c>
      <c r="AS158" s="35">
        <f>AVERAGE(AI158:AL158)</f>
        <v>5.1005799166666668</v>
      </c>
    </row>
    <row r="159" spans="2:45" x14ac:dyDescent="0.2">
      <c r="B159" s="2">
        <v>43478.296932870369</v>
      </c>
      <c r="C159" s="5">
        <f t="shared" si="21"/>
        <v>13.083332810000032</v>
      </c>
      <c r="D159" s="14">
        <v>3.4043399999999999</v>
      </c>
      <c r="E159" s="14">
        <v>2.6884929999999998</v>
      </c>
      <c r="F159" s="14">
        <v>3.3192140000000001</v>
      </c>
      <c r="G159" s="14">
        <v>1.8283560000000001</v>
      </c>
      <c r="H159" s="15">
        <v>3.2381280000000001</v>
      </c>
      <c r="I159" s="15">
        <v>3.0400719999999999</v>
      </c>
      <c r="J159" s="15">
        <v>7.3593510000000002</v>
      </c>
      <c r="K159" s="15">
        <v>2.4573299999999998</v>
      </c>
      <c r="L159" s="16">
        <v>2.2008079999999999</v>
      </c>
      <c r="M159" s="16">
        <v>3.4224389999999998</v>
      </c>
      <c r="N159" s="16">
        <v>4.3440260000000004</v>
      </c>
      <c r="O159" s="16">
        <v>2.5223580000000001</v>
      </c>
      <c r="P159" s="17">
        <v>5.5502269999999996</v>
      </c>
      <c r="Q159" s="17">
        <v>5.9255259999999996</v>
      </c>
      <c r="R159" s="17">
        <v>2.639103</v>
      </c>
      <c r="S159" s="17">
        <v>6.4445730000000001</v>
      </c>
      <c r="AP159" s="34"/>
      <c r="AQ159" s="35"/>
      <c r="AR159" s="35"/>
      <c r="AS159" s="35"/>
    </row>
    <row r="160" spans="2:45" x14ac:dyDescent="0.2">
      <c r="B160" s="2">
        <v>43478.300405092596</v>
      </c>
      <c r="C160" s="5">
        <f t="shared" si="21"/>
        <v>13.166666140000032</v>
      </c>
      <c r="D160" s="14">
        <v>3.4054129999999998</v>
      </c>
      <c r="E160" s="14">
        <v>2.6884929999999998</v>
      </c>
      <c r="F160" s="14">
        <v>3.3251499999999998</v>
      </c>
      <c r="G160" s="14">
        <v>1.8317889999999999</v>
      </c>
      <c r="H160" s="15">
        <v>3.238629</v>
      </c>
      <c r="I160" s="15">
        <v>3.0420750000000001</v>
      </c>
      <c r="J160" s="15">
        <v>7.3618569999999997</v>
      </c>
      <c r="K160" s="15">
        <v>2.4573299999999998</v>
      </c>
      <c r="L160" s="16">
        <v>2.2008079999999999</v>
      </c>
      <c r="M160" s="16">
        <v>3.4224389999999998</v>
      </c>
      <c r="N160" s="16">
        <v>4.350034</v>
      </c>
      <c r="O160" s="16">
        <v>2.529153</v>
      </c>
      <c r="P160" s="17">
        <v>5.5502269999999996</v>
      </c>
      <c r="Q160" s="17">
        <v>5.9343950000000003</v>
      </c>
      <c r="R160" s="17">
        <v>2.643824</v>
      </c>
      <c r="S160" s="17">
        <v>6.4686060000000003</v>
      </c>
      <c r="AP160" s="34"/>
      <c r="AQ160" s="35"/>
      <c r="AR160" s="35"/>
      <c r="AS160" s="35"/>
    </row>
    <row r="161" spans="2:45" x14ac:dyDescent="0.2">
      <c r="B161" s="2">
        <v>43478.303877314815</v>
      </c>
      <c r="C161" s="5">
        <f t="shared" si="21"/>
        <v>13.249999470000033</v>
      </c>
      <c r="D161" s="14">
        <v>3.406031</v>
      </c>
      <c r="E161" s="14">
        <v>2.6884929999999998</v>
      </c>
      <c r="F161" s="14">
        <v>3.3310870000000001</v>
      </c>
      <c r="G161" s="14">
        <v>1.8352219999999999</v>
      </c>
      <c r="H161" s="15">
        <v>3.2391299999999998</v>
      </c>
      <c r="I161" s="15">
        <v>3.0440770000000001</v>
      </c>
      <c r="J161" s="15">
        <v>7.3721569999999996</v>
      </c>
      <c r="K161" s="15">
        <v>2.4724780000000002</v>
      </c>
      <c r="L161" s="16">
        <v>2.2008079999999999</v>
      </c>
      <c r="M161" s="16">
        <v>3.4224389999999998</v>
      </c>
      <c r="N161" s="16">
        <v>4.3560420000000004</v>
      </c>
      <c r="O161" s="16">
        <v>2.5359479999999999</v>
      </c>
      <c r="P161" s="17">
        <v>5.5502269999999996</v>
      </c>
      <c r="Q161" s="17">
        <v>5.9432640000000001</v>
      </c>
      <c r="R161" s="17">
        <v>2.6485449999999999</v>
      </c>
      <c r="S161" s="17">
        <v>6.4926380000000004</v>
      </c>
      <c r="AP161" s="34"/>
      <c r="AQ161" s="35"/>
      <c r="AR161" s="35"/>
      <c r="AS161" s="35"/>
    </row>
    <row r="162" spans="2:45" x14ac:dyDescent="0.2">
      <c r="B162" s="2">
        <v>43478.307349537034</v>
      </c>
      <c r="C162" s="5">
        <f t="shared" si="21"/>
        <v>13.333332800000033</v>
      </c>
      <c r="D162" s="14">
        <v>3.4061650000000001</v>
      </c>
      <c r="E162" s="14">
        <v>2.6884929999999998</v>
      </c>
      <c r="F162" s="14">
        <v>3.3370229999999999</v>
      </c>
      <c r="G162" s="14">
        <v>1.837958</v>
      </c>
      <c r="H162" s="15">
        <v>3.23963</v>
      </c>
      <c r="I162" s="15">
        <v>3.0460799999999999</v>
      </c>
      <c r="J162" s="15">
        <v>7.3824569999999996</v>
      </c>
      <c r="K162" s="15">
        <v>2.4982989999999998</v>
      </c>
      <c r="L162" s="16">
        <v>2.2008079999999999</v>
      </c>
      <c r="M162" s="16">
        <v>3.4224389999999998</v>
      </c>
      <c r="N162" s="16">
        <v>4.3620510000000001</v>
      </c>
      <c r="O162" s="16">
        <v>2.5427430000000002</v>
      </c>
      <c r="P162" s="17">
        <v>5.5502269999999996</v>
      </c>
      <c r="Q162" s="17">
        <v>5.952134</v>
      </c>
      <c r="R162" s="17">
        <v>2.6532650000000002</v>
      </c>
      <c r="S162" s="17">
        <v>6.5166709999999997</v>
      </c>
      <c r="AP162" s="34"/>
      <c r="AQ162" s="35"/>
      <c r="AR162" s="35"/>
      <c r="AS162" s="35"/>
    </row>
    <row r="163" spans="2:45" x14ac:dyDescent="0.2">
      <c r="B163" s="2">
        <v>43478.31082175926</v>
      </c>
      <c r="C163" s="5">
        <f t="shared" si="21"/>
        <v>13.416666130000033</v>
      </c>
      <c r="D163" s="14">
        <v>3.4073090000000001</v>
      </c>
      <c r="E163" s="14">
        <v>2.6884929999999998</v>
      </c>
      <c r="F163" s="14">
        <v>3.3429600000000002</v>
      </c>
      <c r="G163" s="14">
        <v>1.837958</v>
      </c>
      <c r="H163" s="15">
        <v>3.2401309999999999</v>
      </c>
      <c r="I163" s="15">
        <v>3.0480830000000001</v>
      </c>
      <c r="J163" s="15">
        <v>7.3927560000000003</v>
      </c>
      <c r="K163" s="15">
        <v>2.5241189999999998</v>
      </c>
      <c r="L163" s="16">
        <v>2.2008079999999999</v>
      </c>
      <c r="M163" s="16">
        <v>3.4224389999999998</v>
      </c>
      <c r="N163" s="16">
        <v>4.3680589999999997</v>
      </c>
      <c r="O163" s="16">
        <v>2.5495380000000001</v>
      </c>
      <c r="P163" s="17">
        <v>5.5502269999999996</v>
      </c>
      <c r="Q163" s="17">
        <v>5.9610029999999998</v>
      </c>
      <c r="R163" s="17">
        <v>2.6579860000000002</v>
      </c>
      <c r="S163" s="17">
        <v>6.5407029999999997</v>
      </c>
      <c r="AP163" s="34"/>
      <c r="AQ163" s="35"/>
      <c r="AR163" s="35"/>
      <c r="AS163" s="35"/>
    </row>
    <row r="164" spans="2:45" x14ac:dyDescent="0.2">
      <c r="B164" s="2">
        <v>43478.314293981479</v>
      </c>
      <c r="C164" s="5">
        <f t="shared" si="21"/>
        <v>13.499999460000033</v>
      </c>
      <c r="D164" s="14">
        <v>3.4084539999999999</v>
      </c>
      <c r="E164" s="14">
        <v>2.6884929999999998</v>
      </c>
      <c r="F164" s="14">
        <v>3.348897</v>
      </c>
      <c r="G164" s="14">
        <v>1.837958</v>
      </c>
      <c r="H164" s="15">
        <v>3.2406320000000002</v>
      </c>
      <c r="I164" s="15">
        <v>3.0500859999999999</v>
      </c>
      <c r="J164" s="15">
        <v>7.4030560000000003</v>
      </c>
      <c r="K164" s="15">
        <v>2.5499399999999999</v>
      </c>
      <c r="L164" s="16">
        <v>2.2008079999999999</v>
      </c>
      <c r="M164" s="16">
        <v>3.4278870000000001</v>
      </c>
      <c r="N164" s="16">
        <v>4.3740670000000001</v>
      </c>
      <c r="O164" s="16">
        <v>2.556333</v>
      </c>
      <c r="P164" s="17">
        <v>5.5502269999999996</v>
      </c>
      <c r="Q164" s="17">
        <v>5.9698719999999996</v>
      </c>
      <c r="R164" s="17">
        <v>2.6627070000000002</v>
      </c>
      <c r="S164" s="17">
        <v>6.5647359999999999</v>
      </c>
      <c r="AP164" s="34"/>
      <c r="AQ164" s="35"/>
      <c r="AR164" s="35"/>
      <c r="AS164" s="35"/>
    </row>
    <row r="165" spans="2:45" x14ac:dyDescent="0.2">
      <c r="B165" s="2">
        <v>43478.317766203705</v>
      </c>
      <c r="C165" s="5">
        <f t="shared" si="21"/>
        <v>13.583332790000034</v>
      </c>
      <c r="D165" s="14">
        <v>3.4095979999999999</v>
      </c>
      <c r="E165" s="14">
        <v>2.6884929999999998</v>
      </c>
      <c r="F165" s="14">
        <v>3.3548330000000002</v>
      </c>
      <c r="G165" s="14">
        <v>1.837958</v>
      </c>
      <c r="H165" s="15">
        <v>3.2411319999999999</v>
      </c>
      <c r="I165" s="15">
        <v>3.0520879999999999</v>
      </c>
      <c r="J165" s="15">
        <v>7.4133560000000003</v>
      </c>
      <c r="K165" s="15">
        <v>2.575761</v>
      </c>
      <c r="L165" s="16">
        <v>2.2008079999999999</v>
      </c>
      <c r="M165" s="16">
        <v>3.4416199999999999</v>
      </c>
      <c r="N165" s="16">
        <v>4.3800749999999997</v>
      </c>
      <c r="O165" s="16">
        <v>2.5631279999999999</v>
      </c>
      <c r="P165" s="17">
        <v>5.5502269999999996</v>
      </c>
      <c r="Q165" s="17">
        <v>5.9787410000000003</v>
      </c>
      <c r="R165" s="17">
        <v>2.667427</v>
      </c>
      <c r="S165" s="17">
        <v>6.588768</v>
      </c>
      <c r="AP165" s="34"/>
      <c r="AQ165" s="35"/>
      <c r="AR165" s="35"/>
      <c r="AS165" s="35"/>
    </row>
    <row r="166" spans="2:45" x14ac:dyDescent="0.2">
      <c r="B166" s="2">
        <v>43478.321238425924</v>
      </c>
      <c r="C166" s="5">
        <f t="shared" si="21"/>
        <v>13.666666120000034</v>
      </c>
      <c r="D166" s="14">
        <v>3.4107430000000001</v>
      </c>
      <c r="E166" s="14">
        <v>2.6884929999999998</v>
      </c>
      <c r="F166" s="14">
        <v>3.36077</v>
      </c>
      <c r="G166" s="14">
        <v>1.837958</v>
      </c>
      <c r="H166" s="15">
        <v>3.2416330000000002</v>
      </c>
      <c r="I166" s="15">
        <v>3.0540910000000001</v>
      </c>
      <c r="J166" s="15">
        <v>7.4236560000000003</v>
      </c>
      <c r="K166" s="15">
        <v>2.6015820000000001</v>
      </c>
      <c r="L166" s="16">
        <v>2.2008079999999999</v>
      </c>
      <c r="M166" s="16">
        <v>3.4553530000000001</v>
      </c>
      <c r="N166" s="16">
        <v>4.3860830000000002</v>
      </c>
      <c r="O166" s="16">
        <v>2.5699109999999998</v>
      </c>
      <c r="P166" s="17">
        <v>5.5502269999999996</v>
      </c>
      <c r="Q166" s="17">
        <v>5.9876100000000001</v>
      </c>
      <c r="R166" s="17">
        <v>2.6721400000000002</v>
      </c>
      <c r="S166" s="17">
        <v>6.6128010000000002</v>
      </c>
      <c r="AP166" s="34"/>
      <c r="AQ166" s="35"/>
      <c r="AR166" s="35"/>
      <c r="AS166" s="35"/>
    </row>
    <row r="167" spans="2:45" x14ac:dyDescent="0.2">
      <c r="B167" s="2">
        <v>43478.32471064815</v>
      </c>
      <c r="C167" s="5">
        <f t="shared" si="21"/>
        <v>13.749999450000034</v>
      </c>
      <c r="D167" s="14">
        <v>3.4118870000000001</v>
      </c>
      <c r="E167" s="14">
        <v>2.6884929999999998</v>
      </c>
      <c r="F167" s="14">
        <v>3.3667069999999999</v>
      </c>
      <c r="G167" s="14">
        <v>1.837958</v>
      </c>
      <c r="H167" s="15">
        <v>3.2421340000000001</v>
      </c>
      <c r="I167" s="15">
        <v>3.0560939999999999</v>
      </c>
      <c r="J167" s="15">
        <v>7.4339550000000001</v>
      </c>
      <c r="K167" s="15">
        <v>2.627402</v>
      </c>
      <c r="L167" s="16">
        <v>2.2008079999999999</v>
      </c>
      <c r="M167" s="16">
        <v>3.4690850000000002</v>
      </c>
      <c r="N167" s="16">
        <v>4.3920909999999997</v>
      </c>
      <c r="O167" s="16">
        <v>2.5767180000000001</v>
      </c>
      <c r="P167" s="17">
        <v>5.5502269999999996</v>
      </c>
      <c r="Q167" s="17">
        <v>5.99648</v>
      </c>
      <c r="R167" s="17">
        <v>2.6768689999999999</v>
      </c>
      <c r="S167" s="17">
        <v>6.6368340000000003</v>
      </c>
      <c r="AP167" s="34"/>
      <c r="AQ167" s="35"/>
      <c r="AR167" s="35"/>
      <c r="AS167" s="35"/>
    </row>
    <row r="168" spans="2:45" x14ac:dyDescent="0.2">
      <c r="B168" s="2">
        <v>43478.328182870369</v>
      </c>
      <c r="C168" s="5">
        <f t="shared" si="21"/>
        <v>13.833332780000035</v>
      </c>
      <c r="D168" s="14">
        <v>3.4130310000000001</v>
      </c>
      <c r="E168" s="14">
        <v>2.6884929999999998</v>
      </c>
      <c r="F168" s="14">
        <v>3.3726430000000001</v>
      </c>
      <c r="G168" s="14">
        <v>1.837958</v>
      </c>
      <c r="H168" s="15">
        <v>3.2426339999999998</v>
      </c>
      <c r="I168" s="15">
        <v>3.0580959999999999</v>
      </c>
      <c r="J168" s="15">
        <v>7.4442550000000001</v>
      </c>
      <c r="K168" s="15">
        <v>2.6532230000000001</v>
      </c>
      <c r="L168" s="16">
        <v>2.2008079999999999</v>
      </c>
      <c r="M168" s="16">
        <v>3.482818</v>
      </c>
      <c r="N168" s="16">
        <v>4.3969180000000003</v>
      </c>
      <c r="O168" s="16">
        <v>2.5835129999999999</v>
      </c>
      <c r="P168" s="17">
        <v>5.5502269999999996</v>
      </c>
      <c r="Q168" s="17">
        <v>6.0053489999999998</v>
      </c>
      <c r="R168" s="17">
        <v>2.6815889999999998</v>
      </c>
      <c r="S168" s="17">
        <v>6.6608660000000004</v>
      </c>
      <c r="AP168" s="34"/>
      <c r="AQ168" s="35"/>
      <c r="AR168" s="35"/>
      <c r="AS168" s="35"/>
    </row>
    <row r="169" spans="2:45" x14ac:dyDescent="0.2">
      <c r="B169" s="2">
        <v>43478.331655092596</v>
      </c>
      <c r="C169" s="5">
        <f t="shared" si="21"/>
        <v>13.916666110000035</v>
      </c>
      <c r="D169" s="14">
        <v>3.4141759999999999</v>
      </c>
      <c r="E169" s="14">
        <v>2.6884929999999998</v>
      </c>
      <c r="F169" s="14">
        <v>3.3785799999999999</v>
      </c>
      <c r="G169" s="14">
        <v>1.837958</v>
      </c>
      <c r="H169" s="15">
        <v>3.2431350000000001</v>
      </c>
      <c r="I169" s="15">
        <v>3.0600990000000001</v>
      </c>
      <c r="J169" s="15">
        <v>7.454555</v>
      </c>
      <c r="K169" s="15">
        <v>2.6790440000000002</v>
      </c>
      <c r="L169" s="16">
        <v>2.2008079999999999</v>
      </c>
      <c r="M169" s="16">
        <v>3.4965510000000002</v>
      </c>
      <c r="N169" s="16">
        <v>4.3969180000000003</v>
      </c>
      <c r="O169" s="16">
        <v>2.5903070000000001</v>
      </c>
      <c r="P169" s="17">
        <v>5.5502269999999996</v>
      </c>
      <c r="Q169" s="17">
        <v>6.0079330000000004</v>
      </c>
      <c r="R169" s="17">
        <v>2.6863100000000002</v>
      </c>
      <c r="S169" s="17">
        <v>6.6848989999999997</v>
      </c>
      <c r="AP169" s="34"/>
      <c r="AQ169" s="35"/>
      <c r="AR169" s="35"/>
      <c r="AS169" s="35"/>
    </row>
    <row r="170" spans="2:45" x14ac:dyDescent="0.2">
      <c r="B170" s="2">
        <v>43478.335127314815</v>
      </c>
      <c r="C170" s="5">
        <f t="shared" si="21"/>
        <v>13.999999440000035</v>
      </c>
      <c r="D170" s="14">
        <v>3.4153199999999999</v>
      </c>
      <c r="E170" s="14">
        <v>2.6884929999999998</v>
      </c>
      <c r="F170" s="14">
        <v>3.3845160000000001</v>
      </c>
      <c r="G170" s="14">
        <v>1.837958</v>
      </c>
      <c r="H170" s="15">
        <v>3.243636</v>
      </c>
      <c r="I170" s="15">
        <v>3.0621019999999999</v>
      </c>
      <c r="J170" s="15">
        <v>7.4648539999999999</v>
      </c>
      <c r="K170" s="15">
        <v>2.7048649999999999</v>
      </c>
      <c r="L170" s="16">
        <v>2.2008079999999999</v>
      </c>
      <c r="M170" s="16">
        <v>3.510284</v>
      </c>
      <c r="N170" s="16">
        <v>4.3969180000000003</v>
      </c>
      <c r="O170" s="16">
        <v>2.597102</v>
      </c>
      <c r="P170" s="17">
        <v>5.5502269999999996</v>
      </c>
      <c r="Q170" s="17">
        <v>6.0100790000000002</v>
      </c>
      <c r="R170" s="17">
        <v>2.6910310000000002</v>
      </c>
      <c r="S170" s="17">
        <v>6.7089309999999998</v>
      </c>
      <c r="V170" s="25">
        <v>14</v>
      </c>
      <c r="W170">
        <f>AVERAGE(D159:D170)</f>
        <v>3.4093722500000001</v>
      </c>
      <c r="X170">
        <f t="shared" ref="X170:AL170" si="25">AVERAGE(E159:E170)</f>
        <v>2.6884930000000007</v>
      </c>
      <c r="Y170">
        <f t="shared" si="25"/>
        <v>3.3518649999999997</v>
      </c>
      <c r="Z170">
        <f t="shared" si="25"/>
        <v>1.8364157500000002</v>
      </c>
      <c r="AA170">
        <f t="shared" si="25"/>
        <v>3.2408820000000005</v>
      </c>
      <c r="AB170">
        <f t="shared" si="25"/>
        <v>3.0510869166666672</v>
      </c>
      <c r="AC170">
        <f t="shared" si="25"/>
        <v>7.4088554166666674</v>
      </c>
      <c r="AD170">
        <f t="shared" si="25"/>
        <v>2.5667810833333333</v>
      </c>
      <c r="AE170">
        <f t="shared" si="25"/>
        <v>2.2008079999999994</v>
      </c>
      <c r="AF170">
        <f t="shared" si="25"/>
        <v>3.4496494166666665</v>
      </c>
      <c r="AG170">
        <f t="shared" si="25"/>
        <v>4.3752734999999996</v>
      </c>
      <c r="AH170">
        <f t="shared" si="25"/>
        <v>2.5597293333333333</v>
      </c>
      <c r="AI170">
        <f t="shared" si="25"/>
        <v>5.5502269999999996</v>
      </c>
      <c r="AJ170">
        <f t="shared" si="25"/>
        <v>5.9726988333333333</v>
      </c>
      <c r="AK170">
        <f t="shared" si="25"/>
        <v>2.6650663333333333</v>
      </c>
      <c r="AL170">
        <f t="shared" si="25"/>
        <v>6.5767521666666653</v>
      </c>
      <c r="AO170" s="25">
        <v>14</v>
      </c>
      <c r="AP170" s="34">
        <f>AVERAGE(W170:Z170)</f>
        <v>2.8215365000000001</v>
      </c>
      <c r="AQ170" s="35">
        <f>AVERAGE(AA170:AD170)</f>
        <v>4.0669013541666672</v>
      </c>
      <c r="AR170" s="35">
        <f>AVERAGE(AE170:AH170)</f>
        <v>3.1463650624999997</v>
      </c>
      <c r="AS170" s="35">
        <f>AVERAGE(AI170:AL170)</f>
        <v>5.1911860833333332</v>
      </c>
    </row>
    <row r="171" spans="2:45" x14ac:dyDescent="0.2">
      <c r="B171" s="2">
        <v>43478.338599537034</v>
      </c>
      <c r="C171" s="5">
        <f t="shared" si="21"/>
        <v>14.083332770000036</v>
      </c>
      <c r="D171" s="14">
        <v>3.4164650000000001</v>
      </c>
      <c r="E171" s="14">
        <v>2.6884929999999998</v>
      </c>
      <c r="F171" s="14">
        <v>3.3904529999999999</v>
      </c>
      <c r="G171" s="14">
        <v>1.837958</v>
      </c>
      <c r="H171" s="15">
        <v>3.2441360000000001</v>
      </c>
      <c r="I171" s="15">
        <v>3.0641050000000001</v>
      </c>
      <c r="J171" s="15">
        <v>7.4751539999999999</v>
      </c>
      <c r="K171" s="15">
        <v>2.7306849999999998</v>
      </c>
      <c r="L171" s="16">
        <v>2.2008079999999999</v>
      </c>
      <c r="M171" s="16">
        <v>3.5240170000000002</v>
      </c>
      <c r="N171" s="16">
        <v>4.3969180000000003</v>
      </c>
      <c r="O171" s="16">
        <v>2.6038969999999999</v>
      </c>
      <c r="P171" s="17">
        <v>5.5502269999999996</v>
      </c>
      <c r="Q171" s="17">
        <v>6.0122249999999999</v>
      </c>
      <c r="R171" s="17">
        <v>2.695751</v>
      </c>
      <c r="S171" s="17">
        <v>6.7329639999999999</v>
      </c>
      <c r="AP171" s="34"/>
      <c r="AQ171" s="35"/>
      <c r="AR171" s="35"/>
      <c r="AS171" s="35"/>
    </row>
    <row r="172" spans="2:45" x14ac:dyDescent="0.2">
      <c r="B172" s="2">
        <v>43478.34207175926</v>
      </c>
      <c r="C172" s="5">
        <f t="shared" si="21"/>
        <v>14.166666100000036</v>
      </c>
      <c r="D172" s="14">
        <v>3.4176090000000001</v>
      </c>
      <c r="E172" s="14">
        <v>2.6884929999999998</v>
      </c>
      <c r="F172" s="14">
        <v>3.3963899999999998</v>
      </c>
      <c r="G172" s="14">
        <v>1.837958</v>
      </c>
      <c r="H172" s="15">
        <v>3.244637</v>
      </c>
      <c r="I172" s="15">
        <v>3.0661070000000001</v>
      </c>
      <c r="J172" s="15">
        <v>7.4854539999999998</v>
      </c>
      <c r="K172" s="15">
        <v>2.7565059999999999</v>
      </c>
      <c r="L172" s="16">
        <v>2.2008079999999999</v>
      </c>
      <c r="M172" s="16">
        <v>3.53775</v>
      </c>
      <c r="N172" s="16">
        <v>4.3969180000000003</v>
      </c>
      <c r="O172" s="16">
        <v>2.6106919999999998</v>
      </c>
      <c r="P172" s="17">
        <v>5.5502269999999996</v>
      </c>
      <c r="Q172" s="17">
        <v>6.0143700000000004</v>
      </c>
      <c r="R172" s="17">
        <v>2.700472</v>
      </c>
      <c r="S172" s="17">
        <v>6.7569970000000001</v>
      </c>
      <c r="AP172" s="34"/>
      <c r="AQ172" s="35"/>
      <c r="AR172" s="35"/>
      <c r="AS172" s="35"/>
    </row>
    <row r="173" spans="2:45" x14ac:dyDescent="0.2">
      <c r="B173" s="2">
        <v>43478.345543981479</v>
      </c>
      <c r="C173" s="5">
        <f t="shared" si="21"/>
        <v>14.249999430000036</v>
      </c>
      <c r="D173" s="14">
        <v>3.4187530000000002</v>
      </c>
      <c r="E173" s="14">
        <v>2.6884929999999998</v>
      </c>
      <c r="F173" s="14">
        <v>3.402326</v>
      </c>
      <c r="G173" s="14">
        <v>1.837958</v>
      </c>
      <c r="H173" s="15">
        <v>3.2451379999999999</v>
      </c>
      <c r="I173" s="15">
        <v>3.0681099999999999</v>
      </c>
      <c r="J173" s="15">
        <v>7.4957529999999997</v>
      </c>
      <c r="K173" s="15">
        <v>2.782327</v>
      </c>
      <c r="L173" s="16">
        <v>2.2008079999999999</v>
      </c>
      <c r="M173" s="16">
        <v>3.5514830000000002</v>
      </c>
      <c r="N173" s="16">
        <v>4.3969180000000003</v>
      </c>
      <c r="O173" s="16">
        <v>2.6174870000000001</v>
      </c>
      <c r="P173" s="17">
        <v>5.5502269999999996</v>
      </c>
      <c r="Q173" s="17">
        <v>6.0165160000000002</v>
      </c>
      <c r="R173" s="17">
        <v>2.705193</v>
      </c>
      <c r="S173" s="17">
        <v>6.7810290000000002</v>
      </c>
      <c r="AP173" s="34"/>
      <c r="AQ173" s="35"/>
      <c r="AR173" s="35"/>
      <c r="AS173" s="35"/>
    </row>
    <row r="174" spans="2:45" x14ac:dyDescent="0.2">
      <c r="B174" s="2">
        <v>43478.349016203705</v>
      </c>
      <c r="C174" s="5">
        <f t="shared" si="21"/>
        <v>14.333332760000037</v>
      </c>
      <c r="D174" s="14">
        <v>3.4198979999999999</v>
      </c>
      <c r="E174" s="14">
        <v>2.6884929999999998</v>
      </c>
      <c r="F174" s="14">
        <v>3.4082629999999998</v>
      </c>
      <c r="G174" s="14">
        <v>1.837958</v>
      </c>
      <c r="H174" s="15">
        <v>3.245638</v>
      </c>
      <c r="I174" s="15">
        <v>3.0701130000000001</v>
      </c>
      <c r="J174" s="15">
        <v>7.5060529999999996</v>
      </c>
      <c r="K174" s="15">
        <v>2.8081469999999999</v>
      </c>
      <c r="L174" s="16">
        <v>2.2008079999999999</v>
      </c>
      <c r="M174" s="16">
        <v>3.5652159999999999</v>
      </c>
      <c r="N174" s="16">
        <v>4.3969180000000003</v>
      </c>
      <c r="O174" s="16">
        <v>2.624282</v>
      </c>
      <c r="P174" s="17">
        <v>5.5502269999999996</v>
      </c>
      <c r="Q174" s="17">
        <v>6.018662</v>
      </c>
      <c r="R174" s="17">
        <v>2.7099129999999998</v>
      </c>
      <c r="S174" s="17">
        <v>6.8050620000000004</v>
      </c>
      <c r="AP174" s="34"/>
      <c r="AQ174" s="35"/>
      <c r="AR174" s="35"/>
      <c r="AS174" s="35"/>
    </row>
    <row r="175" spans="2:45" x14ac:dyDescent="0.2">
      <c r="B175" s="2">
        <v>43478.352488425924</v>
      </c>
      <c r="C175" s="5">
        <f t="shared" si="21"/>
        <v>14.416666090000037</v>
      </c>
      <c r="D175" s="14">
        <v>3.4206650000000001</v>
      </c>
      <c r="E175" s="14">
        <v>2.6998000000000002</v>
      </c>
      <c r="F175" s="14">
        <v>3.4142000000000001</v>
      </c>
      <c r="G175" s="14">
        <v>1.837958</v>
      </c>
      <c r="H175" s="15">
        <v>3.2461389999999999</v>
      </c>
      <c r="I175" s="15">
        <v>3.0721150000000002</v>
      </c>
      <c r="J175" s="15">
        <v>7.5163529999999996</v>
      </c>
      <c r="K175" s="15">
        <v>2.833968</v>
      </c>
      <c r="L175" s="16">
        <v>2.2008079999999999</v>
      </c>
      <c r="M175" s="16">
        <v>3.5789490000000002</v>
      </c>
      <c r="N175" s="16">
        <v>4.3969180000000003</v>
      </c>
      <c r="O175" s="16">
        <v>2.6310769999999999</v>
      </c>
      <c r="P175" s="17">
        <v>5.5502269999999996</v>
      </c>
      <c r="Q175" s="17">
        <v>6.0208079999999997</v>
      </c>
      <c r="R175" s="17">
        <v>2.7146340000000002</v>
      </c>
      <c r="S175" s="17">
        <v>6.8290940000000004</v>
      </c>
      <c r="AP175" s="34"/>
      <c r="AQ175" s="35"/>
      <c r="AR175" s="35"/>
      <c r="AS175" s="35"/>
    </row>
    <row r="176" spans="2:45" x14ac:dyDescent="0.2">
      <c r="B176" s="2">
        <v>43478.35596064815</v>
      </c>
      <c r="C176" s="5">
        <f t="shared" si="21"/>
        <v>14.499999420000037</v>
      </c>
      <c r="D176" s="14">
        <v>3.4206650000000001</v>
      </c>
      <c r="E176" s="14">
        <v>2.770467</v>
      </c>
      <c r="F176" s="14">
        <v>3.4201359999999998</v>
      </c>
      <c r="G176" s="14">
        <v>1.837958</v>
      </c>
      <c r="H176" s="15">
        <v>3.2466400000000002</v>
      </c>
      <c r="I176" s="15">
        <v>3.0741179999999999</v>
      </c>
      <c r="J176" s="15">
        <v>7.5266520000000003</v>
      </c>
      <c r="K176" s="15">
        <v>2.8597890000000001</v>
      </c>
      <c r="L176" s="16">
        <v>2.2008079999999999</v>
      </c>
      <c r="M176" s="16">
        <v>3.5926819999999999</v>
      </c>
      <c r="N176" s="16">
        <v>4.3969180000000003</v>
      </c>
      <c r="O176" s="16">
        <v>2.6378720000000002</v>
      </c>
      <c r="P176" s="17">
        <v>5.5502269999999996</v>
      </c>
      <c r="Q176" s="17">
        <v>6.0229540000000004</v>
      </c>
      <c r="R176" s="17">
        <v>2.7193550000000002</v>
      </c>
      <c r="S176" s="17">
        <v>6.8531269999999997</v>
      </c>
      <c r="AP176" s="34"/>
      <c r="AQ176" s="35"/>
      <c r="AR176" s="35"/>
      <c r="AS176" s="35"/>
    </row>
    <row r="177" spans="2:45" x14ac:dyDescent="0.2">
      <c r="B177" s="2">
        <v>43478.359432870369</v>
      </c>
      <c r="C177" s="5">
        <f t="shared" si="21"/>
        <v>14.583332750000038</v>
      </c>
      <c r="D177" s="14">
        <v>3.420944</v>
      </c>
      <c r="E177" s="14">
        <v>2.8411339999999998</v>
      </c>
      <c r="F177" s="14">
        <v>3.4260730000000001</v>
      </c>
      <c r="G177" s="14">
        <v>1.837958</v>
      </c>
      <c r="H177" s="15">
        <v>3.2471399999999999</v>
      </c>
      <c r="I177" s="15">
        <v>3.0761210000000001</v>
      </c>
      <c r="J177" s="15">
        <v>7.5369520000000003</v>
      </c>
      <c r="K177" s="15">
        <v>2.8856099999999998</v>
      </c>
      <c r="L177" s="16">
        <v>2.2008079999999999</v>
      </c>
      <c r="M177" s="16">
        <v>3.6064150000000001</v>
      </c>
      <c r="N177" s="16">
        <v>4.3969180000000003</v>
      </c>
      <c r="O177" s="16">
        <v>2.6446670000000001</v>
      </c>
      <c r="P177" s="17">
        <v>5.5502269999999996</v>
      </c>
      <c r="Q177" s="17">
        <v>6.025099</v>
      </c>
      <c r="R177" s="17">
        <v>2.7240760000000002</v>
      </c>
      <c r="S177" s="17">
        <v>6.8771599999999999</v>
      </c>
      <c r="AP177" s="34"/>
      <c r="AQ177" s="35"/>
      <c r="AR177" s="35"/>
      <c r="AS177" s="35"/>
    </row>
    <row r="178" spans="2:45" x14ac:dyDescent="0.2">
      <c r="B178" s="2">
        <v>43478.362905092596</v>
      </c>
      <c r="C178" s="5">
        <f t="shared" si="21"/>
        <v>14.666666080000038</v>
      </c>
      <c r="D178" s="14">
        <v>3.42123</v>
      </c>
      <c r="E178" s="14">
        <v>2.9118010000000001</v>
      </c>
      <c r="F178" s="14">
        <v>3.4320089999999999</v>
      </c>
      <c r="G178" s="14">
        <v>1.837958</v>
      </c>
      <c r="H178" s="15">
        <v>3.2476409999999998</v>
      </c>
      <c r="I178" s="15">
        <v>3.0781239999999999</v>
      </c>
      <c r="J178" s="15">
        <v>7.5472520000000003</v>
      </c>
      <c r="K178" s="15">
        <v>2.8968850000000002</v>
      </c>
      <c r="L178" s="16">
        <v>2.2008079999999999</v>
      </c>
      <c r="M178" s="16">
        <v>3.6201469999999998</v>
      </c>
      <c r="N178" s="16">
        <v>4.3969180000000003</v>
      </c>
      <c r="O178" s="16">
        <v>2.651462</v>
      </c>
      <c r="P178" s="17">
        <v>5.5502269999999996</v>
      </c>
      <c r="Q178" s="17">
        <v>6.0272449999999997</v>
      </c>
      <c r="R178" s="17">
        <v>2.728796</v>
      </c>
      <c r="S178" s="17">
        <v>6.901192</v>
      </c>
      <c r="AP178" s="34"/>
      <c r="AQ178" s="35"/>
      <c r="AR178" s="35"/>
      <c r="AS178" s="35"/>
    </row>
    <row r="179" spans="2:45" x14ac:dyDescent="0.2">
      <c r="B179" s="2">
        <v>43478.366377314815</v>
      </c>
      <c r="C179" s="5">
        <f t="shared" si="21"/>
        <v>14.749999410000038</v>
      </c>
      <c r="D179" s="14">
        <v>3.421516</v>
      </c>
      <c r="E179" s="14">
        <v>2.982469</v>
      </c>
      <c r="F179" s="14">
        <v>3.4379460000000002</v>
      </c>
      <c r="G179" s="14">
        <v>1.837958</v>
      </c>
      <c r="H179" s="15">
        <v>3.2481420000000001</v>
      </c>
      <c r="I179" s="15">
        <v>3.0801259999999999</v>
      </c>
      <c r="J179" s="15">
        <v>7.5575510000000001</v>
      </c>
      <c r="K179" s="15">
        <v>2.8968850000000002</v>
      </c>
      <c r="L179" s="16">
        <v>2.2008079999999999</v>
      </c>
      <c r="M179" s="16">
        <v>3.63388</v>
      </c>
      <c r="N179" s="16">
        <v>4.3969180000000003</v>
      </c>
      <c r="O179" s="16">
        <v>2.6582569999999999</v>
      </c>
      <c r="P179" s="17">
        <v>5.5502269999999996</v>
      </c>
      <c r="Q179" s="17">
        <v>6.0293910000000004</v>
      </c>
      <c r="R179" s="17">
        <v>2.733517</v>
      </c>
      <c r="S179" s="17">
        <v>6.9252250000000002</v>
      </c>
      <c r="AP179" s="34"/>
      <c r="AQ179" s="35"/>
      <c r="AR179" s="35"/>
      <c r="AS179" s="35"/>
    </row>
    <row r="180" spans="2:45" x14ac:dyDescent="0.2">
      <c r="B180" s="2">
        <v>43478.369849537034</v>
      </c>
      <c r="C180" s="5">
        <f t="shared" si="21"/>
        <v>14.833332740000039</v>
      </c>
      <c r="D180" s="14">
        <v>3.421802</v>
      </c>
      <c r="E180" s="14">
        <v>3.0531359999999999</v>
      </c>
      <c r="F180" s="14">
        <v>3.443883</v>
      </c>
      <c r="G180" s="14">
        <v>1.837958</v>
      </c>
      <c r="H180" s="15">
        <v>3.2486419999999998</v>
      </c>
      <c r="I180" s="15">
        <v>3.0821290000000001</v>
      </c>
      <c r="J180" s="15">
        <v>7.5678510000000001</v>
      </c>
      <c r="K180" s="15">
        <v>2.8968850000000002</v>
      </c>
      <c r="L180" s="16">
        <v>2.2008079999999999</v>
      </c>
      <c r="M180" s="16">
        <v>3.6476130000000002</v>
      </c>
      <c r="N180" s="16">
        <v>4.3969180000000003</v>
      </c>
      <c r="O180" s="16">
        <v>2.6650520000000002</v>
      </c>
      <c r="P180" s="17">
        <v>5.5502269999999996</v>
      </c>
      <c r="Q180" s="17">
        <v>6.0315370000000001</v>
      </c>
      <c r="R180" s="17">
        <v>2.7382379999999999</v>
      </c>
      <c r="S180" s="17">
        <v>6.9492570000000002</v>
      </c>
      <c r="AP180" s="34"/>
      <c r="AQ180" s="35"/>
      <c r="AR180" s="35"/>
      <c r="AS180" s="35"/>
    </row>
    <row r="181" spans="2:45" x14ac:dyDescent="0.2">
      <c r="B181" s="2">
        <v>43478.37332175926</v>
      </c>
      <c r="C181" s="5">
        <f t="shared" si="21"/>
        <v>14.916666070000039</v>
      </c>
      <c r="D181" s="14">
        <v>3.422088</v>
      </c>
      <c r="E181" s="14">
        <v>3.1238030000000001</v>
      </c>
      <c r="F181" s="14">
        <v>3.4498190000000002</v>
      </c>
      <c r="G181" s="14">
        <v>1.837958</v>
      </c>
      <c r="H181" s="15">
        <v>3.2491430000000001</v>
      </c>
      <c r="I181" s="15">
        <v>3.0841319999999999</v>
      </c>
      <c r="J181" s="15">
        <v>7.5781510000000001</v>
      </c>
      <c r="K181" s="15">
        <v>2.896954</v>
      </c>
      <c r="L181" s="16">
        <v>2.2008079999999999</v>
      </c>
      <c r="M181" s="16">
        <v>3.661346</v>
      </c>
      <c r="N181" s="16">
        <v>4.3969180000000003</v>
      </c>
      <c r="O181" s="16">
        <v>2.6718470000000001</v>
      </c>
      <c r="P181" s="17">
        <v>5.5502269999999996</v>
      </c>
      <c r="Q181" s="17">
        <v>6.0336819999999998</v>
      </c>
      <c r="R181" s="17">
        <v>2.7429579999999998</v>
      </c>
      <c r="S181" s="17">
        <v>6.9732900000000004</v>
      </c>
      <c r="AP181" s="34"/>
      <c r="AQ181" s="35"/>
      <c r="AR181" s="35"/>
      <c r="AS181" s="35"/>
    </row>
    <row r="182" spans="2:45" x14ac:dyDescent="0.2">
      <c r="B182" s="2">
        <v>43478.376793981479</v>
      </c>
      <c r="C182" s="5">
        <f t="shared" si="21"/>
        <v>14.999999400000039</v>
      </c>
      <c r="D182" s="14">
        <v>3.422374</v>
      </c>
      <c r="E182" s="14">
        <v>3.1944699999999999</v>
      </c>
      <c r="F182" s="14">
        <v>3.455756</v>
      </c>
      <c r="G182" s="14">
        <v>1.837958</v>
      </c>
      <c r="H182" s="15">
        <v>3.249644</v>
      </c>
      <c r="I182" s="15">
        <v>3.0861339999999999</v>
      </c>
      <c r="J182" s="15">
        <v>7.5884499999999999</v>
      </c>
      <c r="K182" s="15">
        <v>2.8970259999999999</v>
      </c>
      <c r="L182" s="16">
        <v>2.2008079999999999</v>
      </c>
      <c r="M182" s="16">
        <v>3.6750790000000002</v>
      </c>
      <c r="N182" s="16">
        <v>4.3969180000000003</v>
      </c>
      <c r="O182" s="16">
        <v>2.678642</v>
      </c>
      <c r="P182" s="17">
        <v>5.5502269999999996</v>
      </c>
      <c r="Q182" s="17">
        <v>6.0358280000000004</v>
      </c>
      <c r="R182" s="17">
        <v>2.7476790000000002</v>
      </c>
      <c r="S182" s="17">
        <v>6.9973229999999997</v>
      </c>
      <c r="V182" s="25">
        <v>15</v>
      </c>
      <c r="W182">
        <f>AVERAGE(D171:D182)</f>
        <v>3.4203340833333336</v>
      </c>
      <c r="X182">
        <f t="shared" ref="X182:AL182" si="26">AVERAGE(E171:E182)</f>
        <v>2.8609209999999998</v>
      </c>
      <c r="Y182">
        <f t="shared" si="26"/>
        <v>3.4231044999999996</v>
      </c>
      <c r="Z182">
        <f t="shared" si="26"/>
        <v>1.8379580000000002</v>
      </c>
      <c r="AA182">
        <f t="shared" si="26"/>
        <v>3.2468900000000005</v>
      </c>
      <c r="AB182">
        <f t="shared" si="26"/>
        <v>3.0751194999999996</v>
      </c>
      <c r="AC182">
        <f t="shared" si="26"/>
        <v>7.5318021666666679</v>
      </c>
      <c r="AD182">
        <f t="shared" si="26"/>
        <v>2.845138916666667</v>
      </c>
      <c r="AE182">
        <f t="shared" si="26"/>
        <v>2.2008079999999994</v>
      </c>
      <c r="AF182">
        <f t="shared" si="26"/>
        <v>3.599548083333334</v>
      </c>
      <c r="AG182">
        <f t="shared" si="26"/>
        <v>4.3969180000000003</v>
      </c>
      <c r="AH182">
        <f t="shared" si="26"/>
        <v>2.6412694999999995</v>
      </c>
      <c r="AI182">
        <f t="shared" si="26"/>
        <v>5.5502269999999996</v>
      </c>
      <c r="AJ182">
        <f t="shared" si="26"/>
        <v>6.0240264166666657</v>
      </c>
      <c r="AK182">
        <f t="shared" si="26"/>
        <v>2.7217151666666664</v>
      </c>
      <c r="AL182">
        <f t="shared" si="26"/>
        <v>6.8651433333333332</v>
      </c>
      <c r="AO182" s="25">
        <v>15</v>
      </c>
      <c r="AP182" s="34">
        <f>AVERAGE(W182:Z182)</f>
        <v>2.8855793958333331</v>
      </c>
      <c r="AQ182" s="35">
        <f>AVERAGE(AA182:AD182)</f>
        <v>4.1747376458333338</v>
      </c>
      <c r="AR182" s="35">
        <f>AVERAGE(AE182:AH182)</f>
        <v>3.2096358958333333</v>
      </c>
      <c r="AS182" s="35">
        <f>AVERAGE(AI182:AL182)</f>
        <v>5.2902779791666656</v>
      </c>
    </row>
    <row r="183" spans="2:45" x14ac:dyDescent="0.2">
      <c r="B183" s="2">
        <v>43478.380266203705</v>
      </c>
      <c r="C183" s="5">
        <f t="shared" si="21"/>
        <v>15.083332730000039</v>
      </c>
      <c r="D183" s="14">
        <v>3.4226610000000002</v>
      </c>
      <c r="E183" s="14">
        <v>3.2651379999999999</v>
      </c>
      <c r="F183" s="14">
        <v>3.4616929999999999</v>
      </c>
      <c r="G183" s="14">
        <v>1.837958</v>
      </c>
      <c r="H183" s="15">
        <v>3.2501440000000001</v>
      </c>
      <c r="I183" s="15">
        <v>3.0881370000000001</v>
      </c>
      <c r="J183" s="15">
        <v>7.5987499999999999</v>
      </c>
      <c r="K183" s="15">
        <v>2.897097</v>
      </c>
      <c r="L183" s="16">
        <v>2.2008079999999999</v>
      </c>
      <c r="M183" s="16">
        <v>3.688812</v>
      </c>
      <c r="N183" s="16">
        <v>4.3969180000000003</v>
      </c>
      <c r="O183" s="16">
        <v>2.6854360000000002</v>
      </c>
      <c r="P183" s="17">
        <v>5.5502269999999996</v>
      </c>
      <c r="Q183" s="17">
        <v>6.0379740000000002</v>
      </c>
      <c r="R183" s="17">
        <v>2.7524000000000002</v>
      </c>
      <c r="S183" s="17">
        <v>7.0213549999999998</v>
      </c>
      <c r="AP183" s="34"/>
      <c r="AQ183" s="35"/>
      <c r="AR183" s="35"/>
      <c r="AS183" s="35"/>
    </row>
    <row r="184" spans="2:45" x14ac:dyDescent="0.2">
      <c r="B184" s="2">
        <v>43478.383738425924</v>
      </c>
      <c r="C184" s="5">
        <f t="shared" si="21"/>
        <v>15.16666606000004</v>
      </c>
      <c r="D184" s="14">
        <v>3.4229470000000002</v>
      </c>
      <c r="E184" s="14">
        <v>3.3240270000000001</v>
      </c>
      <c r="F184" s="14">
        <v>3.4676290000000001</v>
      </c>
      <c r="G184" s="14">
        <v>1.837958</v>
      </c>
      <c r="H184" s="15">
        <v>3.2506029999999999</v>
      </c>
      <c r="I184" s="15">
        <v>3.0901399999999999</v>
      </c>
      <c r="J184" s="15">
        <v>7.6090499999999999</v>
      </c>
      <c r="K184" s="15">
        <v>2.8971689999999999</v>
      </c>
      <c r="L184" s="16">
        <v>2.2008079999999999</v>
      </c>
      <c r="M184" s="16">
        <v>3.7025450000000002</v>
      </c>
      <c r="N184" s="16">
        <v>4.3969180000000003</v>
      </c>
      <c r="O184" s="16">
        <v>2.692231</v>
      </c>
      <c r="P184" s="17">
        <v>5.5502269999999996</v>
      </c>
      <c r="Q184" s="17">
        <v>6.0401199999999999</v>
      </c>
      <c r="R184" s="17">
        <v>2.75712</v>
      </c>
      <c r="S184" s="17">
        <v>7.045388</v>
      </c>
      <c r="AP184" s="34"/>
      <c r="AQ184" s="35"/>
      <c r="AR184" s="35"/>
      <c r="AS184" s="35"/>
    </row>
    <row r="185" spans="2:45" x14ac:dyDescent="0.2">
      <c r="B185" s="2">
        <v>43478.38721064815</v>
      </c>
      <c r="C185" s="5">
        <f t="shared" si="21"/>
        <v>15.24999939000004</v>
      </c>
      <c r="D185" s="14">
        <v>3.4232330000000002</v>
      </c>
      <c r="E185" s="14">
        <v>3.3295159999999999</v>
      </c>
      <c r="F185" s="14">
        <v>3.4735659999999999</v>
      </c>
      <c r="G185" s="14">
        <v>1.837958</v>
      </c>
      <c r="H185" s="15">
        <v>3.2506080000000002</v>
      </c>
      <c r="I185" s="15">
        <v>3.0921430000000001</v>
      </c>
      <c r="J185" s="15">
        <v>7.6193489999999997</v>
      </c>
      <c r="K185" s="15">
        <v>2.89724</v>
      </c>
      <c r="L185" s="16">
        <v>2.2008079999999999</v>
      </c>
      <c r="M185" s="16">
        <v>3.716278</v>
      </c>
      <c r="N185" s="16">
        <v>4.3969180000000003</v>
      </c>
      <c r="O185" s="16">
        <v>2.6990259999999999</v>
      </c>
      <c r="P185" s="17">
        <v>5.5502269999999996</v>
      </c>
      <c r="Q185" s="17">
        <v>6.0422650000000004</v>
      </c>
      <c r="R185" s="17">
        <v>2.761841</v>
      </c>
      <c r="S185" s="17">
        <v>7.06942</v>
      </c>
      <c r="AP185" s="34"/>
      <c r="AQ185" s="35"/>
      <c r="AR185" s="35"/>
      <c r="AS185" s="35"/>
    </row>
    <row r="186" spans="2:45" x14ac:dyDescent="0.2">
      <c r="B186" s="2">
        <v>43478.390682870369</v>
      </c>
      <c r="C186" s="5">
        <f t="shared" si="21"/>
        <v>15.33333272000004</v>
      </c>
      <c r="D186" s="14">
        <v>3.4235190000000002</v>
      </c>
      <c r="E186" s="14">
        <v>3.3410319999999998</v>
      </c>
      <c r="F186" s="14">
        <v>3.4795020000000001</v>
      </c>
      <c r="G186" s="14">
        <v>1.837958</v>
      </c>
      <c r="H186" s="15">
        <v>3.254203</v>
      </c>
      <c r="I186" s="15">
        <v>3.0941450000000001</v>
      </c>
      <c r="J186" s="15">
        <v>7.6296489999999997</v>
      </c>
      <c r="K186" s="15">
        <v>2.8973119999999999</v>
      </c>
      <c r="L186" s="16">
        <v>2.2008079999999999</v>
      </c>
      <c r="M186" s="16">
        <v>3.7300110000000002</v>
      </c>
      <c r="N186" s="16">
        <v>4.3969180000000003</v>
      </c>
      <c r="O186" s="16">
        <v>2.7058209999999998</v>
      </c>
      <c r="P186" s="17">
        <v>5.5502269999999996</v>
      </c>
      <c r="Q186" s="17">
        <v>6.0444110000000002</v>
      </c>
      <c r="R186" s="17">
        <v>2.766562</v>
      </c>
      <c r="S186" s="17">
        <v>7.0934530000000002</v>
      </c>
      <c r="AP186" s="34"/>
      <c r="AQ186" s="35"/>
      <c r="AR186" s="35"/>
      <c r="AS186" s="35"/>
    </row>
    <row r="187" spans="2:45" x14ac:dyDescent="0.2">
      <c r="B187" s="2">
        <v>43478.394155092596</v>
      </c>
      <c r="C187" s="5">
        <f t="shared" si="21"/>
        <v>15.416666050000041</v>
      </c>
      <c r="D187" s="14">
        <v>3.4238050000000002</v>
      </c>
      <c r="E187" s="14">
        <v>3.3525469999999999</v>
      </c>
      <c r="F187" s="14">
        <v>3.485439</v>
      </c>
      <c r="G187" s="14">
        <v>1.837958</v>
      </c>
      <c r="H187" s="15">
        <v>3.2567200000000001</v>
      </c>
      <c r="I187" s="15">
        <v>3.0961479999999999</v>
      </c>
      <c r="J187" s="15">
        <v>7.6399489999999997</v>
      </c>
      <c r="K187" s="15">
        <v>2.897383</v>
      </c>
      <c r="L187" s="16">
        <v>2.2008079999999999</v>
      </c>
      <c r="M187" s="16">
        <v>3.743744</v>
      </c>
      <c r="N187" s="16">
        <v>4.3969180000000003</v>
      </c>
      <c r="O187" s="16">
        <v>2.7126160000000001</v>
      </c>
      <c r="P187" s="17">
        <v>5.5502269999999996</v>
      </c>
      <c r="Q187" s="17">
        <v>6.046557</v>
      </c>
      <c r="R187" s="17">
        <v>2.7712819999999998</v>
      </c>
      <c r="S187" s="17">
        <v>7.1174860000000004</v>
      </c>
      <c r="AP187" s="34"/>
      <c r="AQ187" s="35"/>
      <c r="AR187" s="35"/>
      <c r="AS187" s="35"/>
    </row>
    <row r="188" spans="2:45" x14ac:dyDescent="0.2">
      <c r="B188" s="2">
        <v>43478.397627314815</v>
      </c>
      <c r="C188" s="5">
        <f t="shared" si="21"/>
        <v>15.499999380000041</v>
      </c>
      <c r="D188" s="14">
        <v>3.4240910000000002</v>
      </c>
      <c r="E188" s="14">
        <v>3.3640629999999998</v>
      </c>
      <c r="F188" s="14">
        <v>3.4913759999999998</v>
      </c>
      <c r="G188" s="14">
        <v>1.837958</v>
      </c>
      <c r="H188" s="15">
        <v>3.2567200000000001</v>
      </c>
      <c r="I188" s="15">
        <v>3.0981510000000001</v>
      </c>
      <c r="J188" s="15">
        <v>7.6502489999999996</v>
      </c>
      <c r="K188" s="15">
        <v>2.8974549999999999</v>
      </c>
      <c r="L188" s="16">
        <v>2.2008079999999999</v>
      </c>
      <c r="M188" s="16">
        <v>3.7574770000000002</v>
      </c>
      <c r="N188" s="16">
        <v>4.3969180000000003</v>
      </c>
      <c r="O188" s="16">
        <v>2.719411</v>
      </c>
      <c r="P188" s="17">
        <v>5.5502269999999996</v>
      </c>
      <c r="Q188" s="17">
        <v>6.0487029999999997</v>
      </c>
      <c r="R188" s="17">
        <v>2.7760030000000002</v>
      </c>
      <c r="S188" s="17">
        <v>7.1415179999999996</v>
      </c>
      <c r="AP188" s="34"/>
      <c r="AQ188" s="35"/>
      <c r="AR188" s="35"/>
      <c r="AS188" s="35"/>
    </row>
    <row r="189" spans="2:45" x14ac:dyDescent="0.2">
      <c r="B189" s="2">
        <v>43478.401099537034</v>
      </c>
      <c r="C189" s="5">
        <f t="shared" si="21"/>
        <v>15.583332710000041</v>
      </c>
      <c r="D189" s="14">
        <v>3.4243769999999998</v>
      </c>
      <c r="E189" s="14">
        <v>3.3755790000000001</v>
      </c>
      <c r="F189" s="14">
        <v>3.497312</v>
      </c>
      <c r="G189" s="14">
        <v>1.837958</v>
      </c>
      <c r="H189" s="15">
        <v>3.2567200000000001</v>
      </c>
      <c r="I189" s="15">
        <v>3.1001530000000002</v>
      </c>
      <c r="J189" s="15">
        <v>7.6605480000000004</v>
      </c>
      <c r="K189" s="15">
        <v>2.897526</v>
      </c>
      <c r="L189" s="16">
        <v>2.2008079999999999</v>
      </c>
      <c r="M189" s="16">
        <v>3.7712089999999998</v>
      </c>
      <c r="N189" s="16">
        <v>4.3969180000000003</v>
      </c>
      <c r="O189" s="16">
        <v>2.7262059999999999</v>
      </c>
      <c r="P189" s="17">
        <v>5.5502269999999996</v>
      </c>
      <c r="Q189" s="17">
        <v>6.0502409999999998</v>
      </c>
      <c r="R189" s="17">
        <v>2.7807240000000002</v>
      </c>
      <c r="S189" s="17">
        <v>7.1655509999999998</v>
      </c>
      <c r="AP189" s="34"/>
      <c r="AQ189" s="35"/>
      <c r="AR189" s="35"/>
      <c r="AS189" s="35"/>
    </row>
    <row r="190" spans="2:45" x14ac:dyDescent="0.2">
      <c r="B190" s="2">
        <v>43478.40457175926</v>
      </c>
      <c r="C190" s="5">
        <f t="shared" si="21"/>
        <v>15.666666040000042</v>
      </c>
      <c r="D190" s="14">
        <v>3.4246629999999998</v>
      </c>
      <c r="E190" s="14">
        <v>3.3870939999999998</v>
      </c>
      <c r="F190" s="14">
        <v>3.5032489999999998</v>
      </c>
      <c r="G190" s="14">
        <v>1.837958</v>
      </c>
      <c r="H190" s="15">
        <v>3.2567200000000001</v>
      </c>
      <c r="I190" s="15">
        <v>3.1007880000000001</v>
      </c>
      <c r="J190" s="15">
        <v>7.6708480000000003</v>
      </c>
      <c r="K190" s="15">
        <v>2.8975979999999999</v>
      </c>
      <c r="L190" s="16">
        <v>2.2008079999999999</v>
      </c>
      <c r="M190" s="16">
        <v>3.784942</v>
      </c>
      <c r="N190" s="16">
        <v>4.3969180000000003</v>
      </c>
      <c r="O190" s="16">
        <v>2.7330009999999998</v>
      </c>
      <c r="P190" s="17">
        <v>5.5502269999999996</v>
      </c>
      <c r="Q190" s="17">
        <v>6.0502409999999998</v>
      </c>
      <c r="R190" s="17">
        <v>2.785444</v>
      </c>
      <c r="S190" s="17">
        <v>7.1895829999999998</v>
      </c>
      <c r="AP190" s="34"/>
      <c r="AQ190" s="35"/>
      <c r="AR190" s="35"/>
      <c r="AS190" s="35"/>
    </row>
    <row r="191" spans="2:45" x14ac:dyDescent="0.2">
      <c r="B191" s="2">
        <v>43478.408043981479</v>
      </c>
      <c r="C191" s="5">
        <f t="shared" si="21"/>
        <v>15.749999370000042</v>
      </c>
      <c r="D191" s="14">
        <v>3.4249489999999998</v>
      </c>
      <c r="E191" s="14">
        <v>3.3986100000000001</v>
      </c>
      <c r="F191" s="14">
        <v>3.5091860000000001</v>
      </c>
      <c r="G191" s="14">
        <v>1.837958</v>
      </c>
      <c r="H191" s="15">
        <v>3.2567200000000001</v>
      </c>
      <c r="I191" s="15">
        <v>3.101569</v>
      </c>
      <c r="J191" s="15">
        <v>7.6811480000000003</v>
      </c>
      <c r="K191" s="15">
        <v>2.8976690000000001</v>
      </c>
      <c r="L191" s="16">
        <v>2.2008079999999999</v>
      </c>
      <c r="M191" s="16">
        <v>3.7986749999999998</v>
      </c>
      <c r="N191" s="16">
        <v>4.3969180000000003</v>
      </c>
      <c r="O191" s="16">
        <v>2.7397960000000001</v>
      </c>
      <c r="P191" s="17">
        <v>5.5502269999999996</v>
      </c>
      <c r="Q191" s="17">
        <v>6.0513839999999997</v>
      </c>
      <c r="R191" s="17">
        <v>2.790165</v>
      </c>
      <c r="S191" s="17">
        <v>7.213616</v>
      </c>
      <c r="AP191" s="34"/>
      <c r="AQ191" s="35"/>
      <c r="AR191" s="35"/>
      <c r="AS191" s="35"/>
    </row>
    <row r="192" spans="2:45" x14ac:dyDescent="0.2">
      <c r="B192" s="2">
        <v>43478.411516203705</v>
      </c>
      <c r="C192" s="5">
        <f t="shared" si="21"/>
        <v>15.833332700000042</v>
      </c>
      <c r="D192" s="14">
        <v>3.4252359999999999</v>
      </c>
      <c r="E192" s="14">
        <v>3.4101249999999999</v>
      </c>
      <c r="F192" s="14">
        <v>3.5151219999999999</v>
      </c>
      <c r="G192" s="14">
        <v>1.837958</v>
      </c>
      <c r="H192" s="15">
        <v>3.2567200000000001</v>
      </c>
      <c r="I192" s="15">
        <v>3.1025700000000001</v>
      </c>
      <c r="J192" s="15">
        <v>7.6914470000000001</v>
      </c>
      <c r="K192" s="15">
        <v>2.8977409999999999</v>
      </c>
      <c r="L192" s="16">
        <v>2.2008079999999999</v>
      </c>
      <c r="M192" s="16">
        <v>3.8003689999999999</v>
      </c>
      <c r="N192" s="16">
        <v>4.3969180000000003</v>
      </c>
      <c r="O192" s="16">
        <v>2.746591</v>
      </c>
      <c r="P192" s="17">
        <v>5.5502269999999996</v>
      </c>
      <c r="Q192" s="17">
        <v>6.0529580000000003</v>
      </c>
      <c r="R192" s="17">
        <v>2.794886</v>
      </c>
      <c r="S192" s="17">
        <v>7.2167950000000003</v>
      </c>
      <c r="AP192" s="34"/>
      <c r="AQ192" s="35"/>
      <c r="AR192" s="35"/>
      <c r="AS192" s="35"/>
    </row>
    <row r="193" spans="2:45" x14ac:dyDescent="0.2">
      <c r="B193" s="2">
        <v>43478.414988425924</v>
      </c>
      <c r="C193" s="5">
        <f t="shared" si="21"/>
        <v>15.916666030000043</v>
      </c>
      <c r="D193" s="14">
        <v>3.4254540000000002</v>
      </c>
      <c r="E193" s="14">
        <v>3.4216410000000002</v>
      </c>
      <c r="F193" s="14">
        <v>3.5210590000000002</v>
      </c>
      <c r="G193" s="14">
        <v>1.837958</v>
      </c>
      <c r="H193" s="15">
        <v>3.2567200000000001</v>
      </c>
      <c r="I193" s="15">
        <v>3.1035710000000001</v>
      </c>
      <c r="J193" s="15">
        <v>7.697902</v>
      </c>
      <c r="K193" s="15">
        <v>2.8978120000000001</v>
      </c>
      <c r="L193" s="16">
        <v>2.2008079999999999</v>
      </c>
      <c r="M193" s="16">
        <v>3.8003689999999999</v>
      </c>
      <c r="N193" s="16">
        <v>4.3969180000000003</v>
      </c>
      <c r="O193" s="16">
        <v>2.7533859999999999</v>
      </c>
      <c r="P193" s="17">
        <v>5.5502269999999996</v>
      </c>
      <c r="Q193" s="17">
        <v>6.0545309999999999</v>
      </c>
      <c r="R193" s="17">
        <v>2.799607</v>
      </c>
      <c r="S193" s="17">
        <v>7.2173679999999996</v>
      </c>
      <c r="AP193" s="34"/>
      <c r="AQ193" s="35"/>
      <c r="AR193" s="35"/>
      <c r="AS193" s="35"/>
    </row>
    <row r="194" spans="2:45" x14ac:dyDescent="0.2">
      <c r="B194" s="2">
        <v>43478.41846064815</v>
      </c>
      <c r="C194" s="5">
        <f t="shared" si="21"/>
        <v>15.999999360000043</v>
      </c>
      <c r="D194" s="14">
        <v>3.4254540000000002</v>
      </c>
      <c r="E194" s="14">
        <v>3.433157</v>
      </c>
      <c r="F194" s="14">
        <v>3.5269949999999999</v>
      </c>
      <c r="G194" s="14">
        <v>1.837958</v>
      </c>
      <c r="H194" s="15">
        <v>3.2567200000000001</v>
      </c>
      <c r="I194" s="15">
        <v>3.1045729999999998</v>
      </c>
      <c r="J194" s="15">
        <v>7.7032059999999998</v>
      </c>
      <c r="K194" s="15">
        <v>2.8978839999999999</v>
      </c>
      <c r="L194" s="16">
        <v>2.2008079999999999</v>
      </c>
      <c r="M194" s="16">
        <v>3.8003689999999999</v>
      </c>
      <c r="N194" s="16">
        <v>4.3969180000000003</v>
      </c>
      <c r="O194" s="16">
        <v>2.7601810000000002</v>
      </c>
      <c r="P194" s="17">
        <v>5.5502269999999996</v>
      </c>
      <c r="Q194" s="17">
        <v>6.0561049999999996</v>
      </c>
      <c r="R194" s="17">
        <v>2.8043269999999998</v>
      </c>
      <c r="S194" s="17">
        <v>7.2179399999999996</v>
      </c>
      <c r="V194" s="25">
        <v>16</v>
      </c>
      <c r="W194">
        <f>AVERAGE(D183:D194)</f>
        <v>3.4241990833333333</v>
      </c>
      <c r="X194">
        <f t="shared" ref="X194:AL194" si="27">AVERAGE(E183:E194)</f>
        <v>3.3668774166666675</v>
      </c>
      <c r="Y194">
        <f t="shared" si="27"/>
        <v>3.4943439999999999</v>
      </c>
      <c r="Z194">
        <f t="shared" si="27"/>
        <v>1.8379580000000002</v>
      </c>
      <c r="AA194">
        <f t="shared" si="27"/>
        <v>3.2549431666666675</v>
      </c>
      <c r="AB194">
        <f t="shared" si="27"/>
        <v>3.097674</v>
      </c>
      <c r="AC194">
        <f t="shared" si="27"/>
        <v>7.654341249999999</v>
      </c>
      <c r="AD194">
        <f t="shared" si="27"/>
        <v>2.8974904999999995</v>
      </c>
      <c r="AE194">
        <f t="shared" si="27"/>
        <v>2.2008079999999994</v>
      </c>
      <c r="AF194">
        <f t="shared" si="27"/>
        <v>3.7579000000000007</v>
      </c>
      <c r="AG194">
        <f t="shared" si="27"/>
        <v>4.3969180000000003</v>
      </c>
      <c r="AH194">
        <f t="shared" si="27"/>
        <v>2.7228084999999997</v>
      </c>
      <c r="AI194">
        <f t="shared" si="27"/>
        <v>5.5502269999999996</v>
      </c>
      <c r="AJ194">
        <f t="shared" si="27"/>
        <v>6.0479574999999999</v>
      </c>
      <c r="AK194">
        <f t="shared" si="27"/>
        <v>2.7783634166666666</v>
      </c>
      <c r="AL194">
        <f t="shared" si="27"/>
        <v>7.1424560833333324</v>
      </c>
      <c r="AO194" s="25">
        <v>16</v>
      </c>
      <c r="AP194" s="34">
        <f>AVERAGE(W194:Z194)</f>
        <v>3.0308446250000003</v>
      </c>
      <c r="AQ194" s="35">
        <f>AVERAGE(AA194:AD194)</f>
        <v>4.2261122291666666</v>
      </c>
      <c r="AR194" s="35">
        <f>AVERAGE(AE194:AH194)</f>
        <v>3.269608625</v>
      </c>
      <c r="AS194" s="35">
        <f>AVERAGE(AI194:AL194)</f>
        <v>5.3797509999999988</v>
      </c>
    </row>
    <row r="195" spans="2:45" x14ac:dyDescent="0.2">
      <c r="B195" s="2">
        <v>43478.421932870369</v>
      </c>
      <c r="C195" s="5">
        <f t="shared" si="21"/>
        <v>16.083332690000042</v>
      </c>
      <c r="D195" s="14">
        <v>3.4254540000000002</v>
      </c>
      <c r="E195" s="14">
        <v>3.4446720000000002</v>
      </c>
      <c r="F195" s="14">
        <v>3.5329320000000002</v>
      </c>
      <c r="G195" s="14">
        <v>1.837958</v>
      </c>
      <c r="H195" s="15">
        <v>3.2567200000000001</v>
      </c>
      <c r="I195" s="15">
        <v>3.1055739999999998</v>
      </c>
      <c r="J195" s="15">
        <v>7.7179399999999996</v>
      </c>
      <c r="K195" s="15">
        <v>2.8979550000000001</v>
      </c>
      <c r="L195" s="16">
        <v>2.2008079999999999</v>
      </c>
      <c r="M195" s="16">
        <v>3.8003689999999999</v>
      </c>
      <c r="N195" s="16">
        <v>4.3969180000000003</v>
      </c>
      <c r="O195" s="16">
        <v>2.7669760000000001</v>
      </c>
      <c r="P195" s="17">
        <v>5.5502269999999996</v>
      </c>
      <c r="Q195" s="17">
        <v>6.0576780000000001</v>
      </c>
      <c r="R195" s="17">
        <v>2.8090480000000002</v>
      </c>
      <c r="S195" s="17">
        <v>7.2185119999999996</v>
      </c>
      <c r="AP195" s="34"/>
      <c r="AQ195" s="35"/>
      <c r="AR195" s="35"/>
      <c r="AS195" s="35"/>
    </row>
    <row r="196" spans="2:45" x14ac:dyDescent="0.2">
      <c r="B196" s="2">
        <v>43478.425405092596</v>
      </c>
      <c r="C196" s="5">
        <f t="shared" ref="C196:C259" si="28">C195+0.08333333</f>
        <v>16.16666602000004</v>
      </c>
      <c r="D196" s="14">
        <v>3.4254540000000002</v>
      </c>
      <c r="E196" s="14">
        <v>3.456188</v>
      </c>
      <c r="F196" s="14">
        <v>3.538869</v>
      </c>
      <c r="G196" s="14">
        <v>1.837958</v>
      </c>
      <c r="H196" s="15">
        <v>3.2567200000000001</v>
      </c>
      <c r="I196" s="15">
        <v>3.1065749999999999</v>
      </c>
      <c r="J196" s="15">
        <v>7.7326750000000004</v>
      </c>
      <c r="K196" s="15">
        <v>2.8980269999999999</v>
      </c>
      <c r="L196" s="16">
        <v>2.212485</v>
      </c>
      <c r="M196" s="16">
        <v>3.8262179999999999</v>
      </c>
      <c r="N196" s="16">
        <v>4.3969180000000003</v>
      </c>
      <c r="O196" s="16">
        <v>2.773771</v>
      </c>
      <c r="P196" s="17">
        <v>5.5502269999999996</v>
      </c>
      <c r="Q196" s="17">
        <v>6.0592519999999999</v>
      </c>
      <c r="R196" s="17">
        <v>2.8123369999999999</v>
      </c>
      <c r="S196" s="17">
        <v>7.2190839999999996</v>
      </c>
      <c r="AP196" s="34"/>
      <c r="AQ196" s="35"/>
      <c r="AR196" s="35"/>
      <c r="AS196" s="35"/>
    </row>
    <row r="197" spans="2:45" x14ac:dyDescent="0.2">
      <c r="B197" s="2">
        <v>43478.428877314815</v>
      </c>
      <c r="C197" s="5">
        <f t="shared" si="28"/>
        <v>16.249999350000039</v>
      </c>
      <c r="D197" s="14">
        <v>3.4254540000000002</v>
      </c>
      <c r="E197" s="14">
        <v>3.4677039999999999</v>
      </c>
      <c r="F197" s="14">
        <v>3.5448050000000002</v>
      </c>
      <c r="G197" s="14">
        <v>1.837958</v>
      </c>
      <c r="H197" s="15">
        <v>3.2567200000000001</v>
      </c>
      <c r="I197" s="15">
        <v>3.107577</v>
      </c>
      <c r="J197" s="15">
        <v>7.7474090000000002</v>
      </c>
      <c r="K197" s="15">
        <v>2.8980980000000001</v>
      </c>
      <c r="L197" s="16">
        <v>2.2689910000000002</v>
      </c>
      <c r="M197" s="16">
        <v>3.869062</v>
      </c>
      <c r="N197" s="16">
        <v>4.3969180000000003</v>
      </c>
      <c r="O197" s="16">
        <v>2.7805659999999999</v>
      </c>
      <c r="P197" s="17">
        <v>5.5502269999999996</v>
      </c>
      <c r="Q197" s="17">
        <v>6.0608250000000004</v>
      </c>
      <c r="R197" s="17">
        <v>2.8123369999999999</v>
      </c>
      <c r="S197" s="17">
        <v>7.2196559999999996</v>
      </c>
      <c r="AP197" s="34"/>
      <c r="AQ197" s="35"/>
      <c r="AR197" s="35"/>
      <c r="AS197" s="35"/>
    </row>
    <row r="198" spans="2:45" x14ac:dyDescent="0.2">
      <c r="B198" s="2">
        <v>43478.432349537034</v>
      </c>
      <c r="C198" s="5">
        <f t="shared" si="28"/>
        <v>16.333332680000037</v>
      </c>
      <c r="D198" s="14">
        <v>3.4254540000000002</v>
      </c>
      <c r="E198" s="14">
        <v>3.4792190000000001</v>
      </c>
      <c r="F198" s="14">
        <v>3.5507420000000001</v>
      </c>
      <c r="G198" s="14">
        <v>1.837958</v>
      </c>
      <c r="H198" s="15">
        <v>3.2567200000000001</v>
      </c>
      <c r="I198" s="15">
        <v>3.1085780000000001</v>
      </c>
      <c r="J198" s="15">
        <v>7.762143</v>
      </c>
      <c r="K198" s="15">
        <v>2.8981699999999999</v>
      </c>
      <c r="L198" s="16">
        <v>2.3254959999999998</v>
      </c>
      <c r="M198" s="16">
        <v>3.9119060000000001</v>
      </c>
      <c r="N198" s="16">
        <v>4.3969180000000003</v>
      </c>
      <c r="O198" s="16">
        <v>2.7873600000000001</v>
      </c>
      <c r="P198" s="17">
        <v>5.5502269999999996</v>
      </c>
      <c r="Q198" s="17">
        <v>6.0623990000000001</v>
      </c>
      <c r="R198" s="17">
        <v>2.8123369999999999</v>
      </c>
      <c r="S198" s="17">
        <v>7.2202289999999998</v>
      </c>
      <c r="AP198" s="34"/>
      <c r="AQ198" s="35"/>
      <c r="AR198" s="35"/>
      <c r="AS198" s="35"/>
    </row>
    <row r="199" spans="2:45" x14ac:dyDescent="0.2">
      <c r="B199" s="2">
        <v>43478.43582175926</v>
      </c>
      <c r="C199" s="5">
        <f t="shared" si="28"/>
        <v>16.416666010000036</v>
      </c>
      <c r="D199" s="14">
        <v>3.425494</v>
      </c>
      <c r="E199" s="14">
        <v>3.4907349999999999</v>
      </c>
      <c r="F199" s="14">
        <v>3.5566789999999999</v>
      </c>
      <c r="G199" s="14">
        <v>1.837958</v>
      </c>
      <c r="H199" s="15">
        <v>3.2567200000000001</v>
      </c>
      <c r="I199" s="15">
        <v>3.1095799999999998</v>
      </c>
      <c r="J199" s="15">
        <v>7.7768769999999998</v>
      </c>
      <c r="K199" s="15">
        <v>2.8982420000000002</v>
      </c>
      <c r="L199" s="16">
        <v>2.3820009999999998</v>
      </c>
      <c r="M199" s="16">
        <v>3.9547500000000002</v>
      </c>
      <c r="N199" s="16">
        <v>4.3969180000000003</v>
      </c>
      <c r="O199" s="16">
        <v>2.7941549999999999</v>
      </c>
      <c r="P199" s="17">
        <v>5.5502269999999996</v>
      </c>
      <c r="Q199" s="17">
        <v>6.0639719999999997</v>
      </c>
      <c r="R199" s="17">
        <v>2.8123369999999999</v>
      </c>
      <c r="S199" s="17">
        <v>7.2208009999999998</v>
      </c>
      <c r="AP199" s="34"/>
      <c r="AQ199" s="35"/>
      <c r="AR199" s="35"/>
      <c r="AS199" s="35"/>
    </row>
    <row r="200" spans="2:45" x14ac:dyDescent="0.2">
      <c r="B200" s="2">
        <v>43478.439293981479</v>
      </c>
      <c r="C200" s="5">
        <f t="shared" si="28"/>
        <v>16.499999340000034</v>
      </c>
      <c r="D200" s="14">
        <v>3.4264950000000001</v>
      </c>
      <c r="E200" s="14">
        <v>3.5022500000000001</v>
      </c>
      <c r="F200" s="14">
        <v>3.5626150000000001</v>
      </c>
      <c r="G200" s="14">
        <v>1.837958</v>
      </c>
      <c r="H200" s="15">
        <v>3.2567200000000001</v>
      </c>
      <c r="I200" s="15">
        <v>3.1105809999999998</v>
      </c>
      <c r="J200" s="15">
        <v>7.7916119999999998</v>
      </c>
      <c r="K200" s="15">
        <v>2.8983129999999999</v>
      </c>
      <c r="L200" s="16">
        <v>2.4385059999999998</v>
      </c>
      <c r="M200" s="16">
        <v>3.9997349999999998</v>
      </c>
      <c r="N200" s="16">
        <v>4.3969180000000003</v>
      </c>
      <c r="O200" s="16">
        <v>2.8009499999999998</v>
      </c>
      <c r="P200" s="17">
        <v>5.5502269999999996</v>
      </c>
      <c r="Q200" s="17">
        <v>6.0655460000000003</v>
      </c>
      <c r="R200" s="17">
        <v>2.8123369999999999</v>
      </c>
      <c r="S200" s="17">
        <v>7.2213729999999998</v>
      </c>
      <c r="AP200" s="34"/>
      <c r="AQ200" s="35"/>
      <c r="AR200" s="35"/>
      <c r="AS200" s="35"/>
    </row>
    <row r="201" spans="2:45" x14ac:dyDescent="0.2">
      <c r="B201" s="2">
        <v>43478.442766203705</v>
      </c>
      <c r="C201" s="5">
        <f t="shared" si="28"/>
        <v>16.583332670000033</v>
      </c>
      <c r="D201" s="14">
        <v>3.4274969999999998</v>
      </c>
      <c r="E201" s="14">
        <v>3.5137659999999999</v>
      </c>
      <c r="F201" s="14">
        <v>3.5685519999999999</v>
      </c>
      <c r="G201" s="14">
        <v>1.837958</v>
      </c>
      <c r="H201" s="15">
        <v>3.2567200000000001</v>
      </c>
      <c r="I201" s="15">
        <v>3.1115819999999998</v>
      </c>
      <c r="J201" s="15">
        <v>7.8063459999999996</v>
      </c>
      <c r="K201" s="15">
        <v>2.8983850000000002</v>
      </c>
      <c r="L201" s="16">
        <v>2.4950109999999999</v>
      </c>
      <c r="M201" s="16">
        <v>4.0403700000000002</v>
      </c>
      <c r="N201" s="16">
        <v>4.3969180000000003</v>
      </c>
      <c r="O201" s="16">
        <v>2.8077450000000002</v>
      </c>
      <c r="P201" s="17">
        <v>5.5502269999999996</v>
      </c>
      <c r="Q201" s="17">
        <v>6.0671200000000001</v>
      </c>
      <c r="R201" s="17">
        <v>2.8123369999999999</v>
      </c>
      <c r="S201" s="17">
        <v>7.2219449999999998</v>
      </c>
      <c r="AP201" s="34"/>
      <c r="AQ201" s="35"/>
      <c r="AR201" s="35"/>
      <c r="AS201" s="35"/>
    </row>
    <row r="202" spans="2:45" x14ac:dyDescent="0.2">
      <c r="B202" s="2">
        <v>43478.446238425924</v>
      </c>
      <c r="C202" s="5">
        <f t="shared" si="28"/>
        <v>16.666666000000031</v>
      </c>
      <c r="D202" s="14">
        <v>3.4284979999999998</v>
      </c>
      <c r="E202" s="14">
        <v>3.5252819999999998</v>
      </c>
      <c r="F202" s="14">
        <v>3.5744880000000001</v>
      </c>
      <c r="G202" s="14">
        <v>1.837958</v>
      </c>
      <c r="H202" s="15">
        <v>3.2567200000000001</v>
      </c>
      <c r="I202" s="15">
        <v>3.112584</v>
      </c>
      <c r="J202" s="15">
        <v>7.8210800000000003</v>
      </c>
      <c r="K202" s="15">
        <v>2.8984559999999999</v>
      </c>
      <c r="L202" s="16">
        <v>2.551517</v>
      </c>
      <c r="M202" s="16">
        <v>4.0831419999999996</v>
      </c>
      <c r="N202" s="16">
        <v>4.3969180000000003</v>
      </c>
      <c r="O202" s="16">
        <v>2.81454</v>
      </c>
      <c r="P202" s="17">
        <v>5.5502269999999996</v>
      </c>
      <c r="Q202" s="17">
        <v>6.0686929999999997</v>
      </c>
      <c r="R202" s="17">
        <v>2.8123369999999999</v>
      </c>
      <c r="S202" s="17">
        <v>7.2225169999999999</v>
      </c>
      <c r="AP202" s="34"/>
      <c r="AQ202" s="35"/>
      <c r="AR202" s="35"/>
      <c r="AS202" s="35"/>
    </row>
    <row r="203" spans="2:45" x14ac:dyDescent="0.2">
      <c r="B203" s="2">
        <v>43478.44971064815</v>
      </c>
      <c r="C203" s="5">
        <f t="shared" si="28"/>
        <v>16.74999933000003</v>
      </c>
      <c r="D203" s="14">
        <v>3.429052</v>
      </c>
      <c r="E203" s="14">
        <v>3.536797</v>
      </c>
      <c r="F203" s="14">
        <v>3.580425</v>
      </c>
      <c r="G203" s="14">
        <v>1.837958</v>
      </c>
      <c r="H203" s="15">
        <v>3.2567200000000001</v>
      </c>
      <c r="I203" s="15">
        <v>3.113585</v>
      </c>
      <c r="J203" s="15">
        <v>7.8358140000000001</v>
      </c>
      <c r="K203" s="15">
        <v>2.8985280000000002</v>
      </c>
      <c r="L203" s="16">
        <v>2.6080220000000001</v>
      </c>
      <c r="M203" s="16">
        <v>4.1246309999999999</v>
      </c>
      <c r="N203" s="16">
        <v>4.3969180000000003</v>
      </c>
      <c r="O203" s="16">
        <v>2.8213349999999999</v>
      </c>
      <c r="P203" s="17">
        <v>5.5502269999999996</v>
      </c>
      <c r="Q203" s="17">
        <v>6.0702670000000003</v>
      </c>
      <c r="R203" s="17">
        <v>2.8123369999999999</v>
      </c>
      <c r="S203" s="17">
        <v>7.22309</v>
      </c>
      <c r="AP203" s="34"/>
      <c r="AQ203" s="35"/>
      <c r="AR203" s="35"/>
      <c r="AS203" s="35"/>
    </row>
    <row r="204" spans="2:45" x14ac:dyDescent="0.2">
      <c r="B204" s="2">
        <v>43478.453182870369</v>
      </c>
      <c r="C204" s="5">
        <f t="shared" si="28"/>
        <v>16.833332660000028</v>
      </c>
      <c r="D204" s="14">
        <v>3.429052</v>
      </c>
      <c r="E204" s="14">
        <v>3.5483129999999998</v>
      </c>
      <c r="F204" s="14">
        <v>3.5813950000000001</v>
      </c>
      <c r="G204" s="14">
        <v>1.837958</v>
      </c>
      <c r="H204" s="15">
        <v>3.2567200000000001</v>
      </c>
      <c r="I204" s="15">
        <v>3.1145860000000001</v>
      </c>
      <c r="J204" s="15">
        <v>7.850549</v>
      </c>
      <c r="K204" s="15">
        <v>2.8985989999999999</v>
      </c>
      <c r="L204" s="16">
        <v>2.6645270000000001</v>
      </c>
      <c r="M204" s="16">
        <v>4.1246309999999999</v>
      </c>
      <c r="N204" s="16">
        <v>4.3969180000000003</v>
      </c>
      <c r="O204" s="16">
        <v>2.8281299999999998</v>
      </c>
      <c r="P204" s="17">
        <v>5.5502269999999996</v>
      </c>
      <c r="Q204" s="17">
        <v>6.0718399999999999</v>
      </c>
      <c r="R204" s="17">
        <v>2.8123369999999999</v>
      </c>
      <c r="S204" s="17">
        <v>7.223662</v>
      </c>
      <c r="AP204" s="34"/>
      <c r="AQ204" s="35"/>
      <c r="AR204" s="35"/>
      <c r="AS204" s="35"/>
    </row>
    <row r="205" spans="2:45" x14ac:dyDescent="0.2">
      <c r="B205" s="2">
        <v>43478.456655092596</v>
      </c>
      <c r="C205" s="5">
        <f t="shared" si="28"/>
        <v>16.916665990000027</v>
      </c>
      <c r="D205" s="14">
        <v>3.429052</v>
      </c>
      <c r="E205" s="14">
        <v>3.5598290000000001</v>
      </c>
      <c r="F205" s="14">
        <v>3.5813950000000001</v>
      </c>
      <c r="G205" s="14">
        <v>1.837958</v>
      </c>
      <c r="H205" s="15">
        <v>3.2567200000000001</v>
      </c>
      <c r="I205" s="15">
        <v>3.1150039999999999</v>
      </c>
      <c r="J205" s="15">
        <v>7.8652829999999998</v>
      </c>
      <c r="K205" s="15">
        <v>2.8986710000000002</v>
      </c>
      <c r="L205" s="16">
        <v>2.7210320000000001</v>
      </c>
      <c r="M205" s="16">
        <v>4.1246309999999999</v>
      </c>
      <c r="N205" s="16">
        <v>4.3969180000000003</v>
      </c>
      <c r="O205" s="16">
        <v>2.8349250000000001</v>
      </c>
      <c r="P205" s="17">
        <v>5.5502269999999996</v>
      </c>
      <c r="Q205" s="17">
        <v>6.0734139999999996</v>
      </c>
      <c r="R205" s="17">
        <v>2.8123369999999999</v>
      </c>
      <c r="S205" s="17">
        <v>7.224234</v>
      </c>
      <c r="AP205" s="34"/>
      <c r="AQ205" s="35"/>
      <c r="AR205" s="35"/>
      <c r="AS205" s="35"/>
    </row>
    <row r="206" spans="2:45" x14ac:dyDescent="0.2">
      <c r="B206" s="2">
        <v>43478.460127314815</v>
      </c>
      <c r="C206" s="5">
        <f t="shared" si="28"/>
        <v>16.999999320000025</v>
      </c>
      <c r="D206" s="14">
        <v>3.4358789999999999</v>
      </c>
      <c r="E206" s="14">
        <v>3.5713439999999999</v>
      </c>
      <c r="F206" s="14">
        <v>3.5813950000000001</v>
      </c>
      <c r="G206" s="14">
        <v>1.837958</v>
      </c>
      <c r="H206" s="15">
        <v>3.2567200000000001</v>
      </c>
      <c r="I206" s="15">
        <v>3.1171570000000002</v>
      </c>
      <c r="J206" s="15">
        <v>7.8800169999999996</v>
      </c>
      <c r="K206" s="15">
        <v>2.8987419999999999</v>
      </c>
      <c r="L206" s="16">
        <v>2.7775370000000001</v>
      </c>
      <c r="M206" s="16">
        <v>4.1246309999999999</v>
      </c>
      <c r="N206" s="16">
        <v>4.3969180000000003</v>
      </c>
      <c r="O206" s="16">
        <v>2.8417089999999998</v>
      </c>
      <c r="P206" s="17">
        <v>5.5502269999999996</v>
      </c>
      <c r="Q206" s="17">
        <v>6.0749870000000001</v>
      </c>
      <c r="R206" s="17">
        <v>2.8123369999999999</v>
      </c>
      <c r="S206" s="17">
        <v>7.2248060000000001</v>
      </c>
      <c r="V206" s="25">
        <v>17</v>
      </c>
      <c r="W206">
        <f>AVERAGE(D195:D206)</f>
        <v>3.4277362500000002</v>
      </c>
      <c r="X206">
        <f t="shared" ref="X206:AL206" si="29">AVERAGE(E195:E206)</f>
        <v>3.5080082499999996</v>
      </c>
      <c r="Y206">
        <f t="shared" si="29"/>
        <v>3.5628576666666665</v>
      </c>
      <c r="Z206">
        <f t="shared" si="29"/>
        <v>1.8379580000000002</v>
      </c>
      <c r="AA206">
        <f t="shared" si="29"/>
        <v>3.2567200000000009</v>
      </c>
      <c r="AB206">
        <f t="shared" si="29"/>
        <v>3.1110802500000001</v>
      </c>
      <c r="AC206">
        <f t="shared" si="29"/>
        <v>7.7989787499999998</v>
      </c>
      <c r="AD206">
        <f t="shared" si="29"/>
        <v>2.8983488333333334</v>
      </c>
      <c r="AE206">
        <f t="shared" si="29"/>
        <v>2.4704944166666669</v>
      </c>
      <c r="AF206">
        <f t="shared" si="29"/>
        <v>3.9986730000000001</v>
      </c>
      <c r="AG206">
        <f t="shared" si="29"/>
        <v>4.3969180000000003</v>
      </c>
      <c r="AH206">
        <f t="shared" si="29"/>
        <v>2.8043468333333337</v>
      </c>
      <c r="AI206">
        <f t="shared" si="29"/>
        <v>5.5502269999999996</v>
      </c>
      <c r="AJ206">
        <f t="shared" si="29"/>
        <v>6.0663327500000008</v>
      </c>
      <c r="AK206">
        <f t="shared" si="29"/>
        <v>2.8120629166666666</v>
      </c>
      <c r="AL206">
        <f t="shared" si="29"/>
        <v>7.221659083333333</v>
      </c>
      <c r="AO206" s="25">
        <v>17</v>
      </c>
      <c r="AP206" s="34">
        <f>AVERAGE(W206:Z206)</f>
        <v>3.0841400416666667</v>
      </c>
      <c r="AQ206" s="35">
        <f>AVERAGE(AA206:AD206)</f>
        <v>4.2662819583333338</v>
      </c>
      <c r="AR206" s="35">
        <f>AVERAGE(AE206:AH206)</f>
        <v>3.4176080625000003</v>
      </c>
      <c r="AS206" s="35">
        <f>AVERAGE(AI206:AL206)</f>
        <v>5.4125704375000003</v>
      </c>
    </row>
    <row r="207" spans="2:45" x14ac:dyDescent="0.2">
      <c r="B207" s="2">
        <v>43478.463599537034</v>
      </c>
      <c r="C207" s="5">
        <f t="shared" si="28"/>
        <v>17.083332650000024</v>
      </c>
      <c r="D207" s="14">
        <v>3.4536889999999998</v>
      </c>
      <c r="E207" s="14">
        <v>3.5828600000000002</v>
      </c>
      <c r="F207" s="14">
        <v>3.5813950000000001</v>
      </c>
      <c r="G207" s="14">
        <v>1.837958</v>
      </c>
      <c r="H207" s="15">
        <v>3.2567200000000001</v>
      </c>
      <c r="I207" s="15">
        <v>3.1196600000000001</v>
      </c>
      <c r="J207" s="15">
        <v>7.8947520000000004</v>
      </c>
      <c r="K207" s="15">
        <v>2.8988139999999998</v>
      </c>
      <c r="L207" s="16">
        <v>2.8340429999999999</v>
      </c>
      <c r="M207" s="16">
        <v>4.1246309999999999</v>
      </c>
      <c r="N207" s="16">
        <v>4.3969180000000003</v>
      </c>
      <c r="O207" s="16">
        <v>2.8485149999999999</v>
      </c>
      <c r="P207" s="17">
        <v>5.5502269999999996</v>
      </c>
      <c r="Q207" s="17">
        <v>6.0760420000000002</v>
      </c>
      <c r="R207" s="17">
        <v>2.8123369999999999</v>
      </c>
      <c r="S207" s="17">
        <v>7.2253790000000002</v>
      </c>
      <c r="AP207" s="34"/>
      <c r="AQ207" s="35"/>
      <c r="AR207" s="35"/>
      <c r="AS207" s="35"/>
    </row>
    <row r="208" spans="2:45" x14ac:dyDescent="0.2">
      <c r="B208" s="2">
        <v>43478.46707175926</v>
      </c>
      <c r="C208" s="5">
        <f t="shared" si="28"/>
        <v>17.166665980000023</v>
      </c>
      <c r="D208" s="14">
        <v>3.4714990000000001</v>
      </c>
      <c r="E208" s="14">
        <v>3.5943749999999999</v>
      </c>
      <c r="F208" s="14">
        <v>3.5816569999999999</v>
      </c>
      <c r="G208" s="14">
        <v>1.837958</v>
      </c>
      <c r="H208" s="15">
        <v>3.2567200000000001</v>
      </c>
      <c r="I208" s="15">
        <v>3.122163</v>
      </c>
      <c r="J208" s="15">
        <v>7.9094860000000002</v>
      </c>
      <c r="K208" s="15">
        <v>2.8988849999999999</v>
      </c>
      <c r="L208" s="16">
        <v>2.8877220000000001</v>
      </c>
      <c r="M208" s="16">
        <v>4.1311580000000001</v>
      </c>
      <c r="N208" s="16">
        <v>4.3969180000000003</v>
      </c>
      <c r="O208" s="16">
        <v>2.8553099999999998</v>
      </c>
      <c r="P208" s="17">
        <v>5.5502269999999996</v>
      </c>
      <c r="Q208" s="17">
        <v>6.0787649999999998</v>
      </c>
      <c r="R208" s="17">
        <v>2.8123369999999999</v>
      </c>
      <c r="S208" s="17">
        <v>7.2259510000000002</v>
      </c>
      <c r="AP208" s="34"/>
      <c r="AQ208" s="35"/>
      <c r="AR208" s="35"/>
      <c r="AS208" s="35"/>
    </row>
    <row r="209" spans="2:45" x14ac:dyDescent="0.2">
      <c r="B209" s="2">
        <v>43478.470543981479</v>
      </c>
      <c r="C209" s="5">
        <f t="shared" si="28"/>
        <v>17.249999310000021</v>
      </c>
      <c r="D209" s="14">
        <v>3.489309</v>
      </c>
      <c r="E209" s="14">
        <v>3.6058910000000002</v>
      </c>
      <c r="F209" s="14">
        <v>3.585591</v>
      </c>
      <c r="G209" s="14">
        <v>1.837958</v>
      </c>
      <c r="H209" s="15">
        <v>3.2567200000000001</v>
      </c>
      <c r="I209" s="15">
        <v>3.1246670000000001</v>
      </c>
      <c r="J209" s="15">
        <v>7.92422</v>
      </c>
      <c r="K209" s="15">
        <v>2.8989569999999998</v>
      </c>
      <c r="L209" s="16">
        <v>2.8877220000000001</v>
      </c>
      <c r="M209" s="16">
        <v>4.1477519999999997</v>
      </c>
      <c r="N209" s="16">
        <v>4.3969180000000003</v>
      </c>
      <c r="O209" s="16">
        <v>2.8621050000000001</v>
      </c>
      <c r="P209" s="17">
        <v>5.5502269999999996</v>
      </c>
      <c r="Q209" s="17">
        <v>6.0860609999999999</v>
      </c>
      <c r="R209" s="17">
        <v>2.8123369999999999</v>
      </c>
      <c r="S209" s="17">
        <v>7.2265230000000003</v>
      </c>
      <c r="AP209" s="34"/>
      <c r="AQ209" s="35"/>
      <c r="AR209" s="35"/>
      <c r="AS209" s="35"/>
    </row>
    <row r="210" spans="2:45" x14ac:dyDescent="0.2">
      <c r="B210" s="2">
        <v>43478.474016203705</v>
      </c>
      <c r="C210" s="5">
        <f t="shared" si="28"/>
        <v>17.33333264000002</v>
      </c>
      <c r="D210" s="14">
        <v>3.5071189999999999</v>
      </c>
      <c r="E210" s="14">
        <v>3.617407</v>
      </c>
      <c r="F210" s="14">
        <v>3.5895250000000001</v>
      </c>
      <c r="G210" s="14">
        <v>1.837958</v>
      </c>
      <c r="H210" s="15">
        <v>3.2567200000000001</v>
      </c>
      <c r="I210" s="15">
        <v>3.12717</v>
      </c>
      <c r="J210" s="15">
        <v>7.9389539999999998</v>
      </c>
      <c r="K210" s="15">
        <v>2.8990279999999999</v>
      </c>
      <c r="L210" s="16">
        <v>2.8890359999999999</v>
      </c>
      <c r="M210" s="16">
        <v>4.1643460000000001</v>
      </c>
      <c r="N210" s="16">
        <v>4.3969180000000003</v>
      </c>
      <c r="O210" s="16">
        <v>2.8689</v>
      </c>
      <c r="P210" s="17">
        <v>5.5502269999999996</v>
      </c>
      <c r="Q210" s="17">
        <v>6.0898300000000001</v>
      </c>
      <c r="R210" s="17">
        <v>2.8123369999999999</v>
      </c>
      <c r="S210" s="17">
        <v>7.2270950000000003</v>
      </c>
      <c r="AP210" s="34"/>
      <c r="AQ210" s="35"/>
      <c r="AR210" s="35"/>
      <c r="AS210" s="35"/>
    </row>
    <row r="211" spans="2:45" x14ac:dyDescent="0.2">
      <c r="B211" s="2">
        <v>43478.477488425924</v>
      </c>
      <c r="C211" s="5">
        <f t="shared" si="28"/>
        <v>17.416665970000018</v>
      </c>
      <c r="D211" s="14">
        <v>3.5249290000000002</v>
      </c>
      <c r="E211" s="14">
        <v>3.6289220000000002</v>
      </c>
      <c r="F211" s="14">
        <v>3.5934590000000002</v>
      </c>
      <c r="G211" s="14">
        <v>1.837958</v>
      </c>
      <c r="H211" s="15">
        <v>3.2567200000000001</v>
      </c>
      <c r="I211" s="15">
        <v>3.1296729999999999</v>
      </c>
      <c r="J211" s="15">
        <v>7.9536889999999998</v>
      </c>
      <c r="K211" s="15">
        <v>2.8990999999999998</v>
      </c>
      <c r="L211" s="16">
        <v>2.8909669999999998</v>
      </c>
      <c r="M211" s="16">
        <v>4.1809399999999997</v>
      </c>
      <c r="N211" s="16">
        <v>4.3969180000000003</v>
      </c>
      <c r="O211" s="16">
        <v>2.8756949999999999</v>
      </c>
      <c r="P211" s="17">
        <v>5.5502269999999996</v>
      </c>
      <c r="Q211" s="17">
        <v>6.0914679999999999</v>
      </c>
      <c r="R211" s="17">
        <v>2.8123369999999999</v>
      </c>
      <c r="S211" s="17">
        <v>7.2276670000000003</v>
      </c>
      <c r="AP211" s="34"/>
      <c r="AQ211" s="35"/>
      <c r="AR211" s="35"/>
      <c r="AS211" s="35"/>
    </row>
    <row r="212" spans="2:45" x14ac:dyDescent="0.2">
      <c r="B212" s="2">
        <v>43478.48096064815</v>
      </c>
      <c r="C212" s="5">
        <f t="shared" si="28"/>
        <v>17.499999300000017</v>
      </c>
      <c r="D212" s="14">
        <v>3.5427379999999999</v>
      </c>
      <c r="E212" s="14">
        <v>3.6404380000000001</v>
      </c>
      <c r="F212" s="14">
        <v>3.5973929999999998</v>
      </c>
      <c r="G212" s="14">
        <v>1.837958</v>
      </c>
      <c r="H212" s="15">
        <v>3.2567200000000001</v>
      </c>
      <c r="I212" s="15">
        <v>3.132177</v>
      </c>
      <c r="J212" s="15">
        <v>7.9684229999999996</v>
      </c>
      <c r="K212" s="15">
        <v>2.8991709999999999</v>
      </c>
      <c r="L212" s="16">
        <v>2.8928980000000002</v>
      </c>
      <c r="M212" s="16">
        <v>4.1975340000000001</v>
      </c>
      <c r="N212" s="16">
        <v>4.3969180000000003</v>
      </c>
      <c r="O212" s="16">
        <v>2.8824890000000001</v>
      </c>
      <c r="P212" s="17">
        <v>5.5502269999999996</v>
      </c>
      <c r="Q212" s="17">
        <v>6.0938999999999997</v>
      </c>
      <c r="R212" s="17">
        <v>2.8123369999999999</v>
      </c>
      <c r="S212" s="17">
        <v>7.2282400000000004</v>
      </c>
      <c r="AP212" s="34"/>
      <c r="AQ212" s="35"/>
      <c r="AR212" s="35"/>
      <c r="AS212" s="35"/>
    </row>
    <row r="213" spans="2:45" x14ac:dyDescent="0.2">
      <c r="B213" s="2">
        <v>43478.484432870369</v>
      </c>
      <c r="C213" s="5">
        <f t="shared" si="28"/>
        <v>17.583332630000015</v>
      </c>
      <c r="D213" s="14">
        <v>3.5605479999999998</v>
      </c>
      <c r="E213" s="14">
        <v>3.6519529999999998</v>
      </c>
      <c r="F213" s="14">
        <v>3.6013259999999998</v>
      </c>
      <c r="G213" s="14">
        <v>1.837958</v>
      </c>
      <c r="H213" s="15">
        <v>3.2567200000000001</v>
      </c>
      <c r="I213" s="15">
        <v>3.1346799999999999</v>
      </c>
      <c r="J213" s="15">
        <v>7.9831570000000003</v>
      </c>
      <c r="K213" s="15">
        <v>2.8992429999999998</v>
      </c>
      <c r="L213" s="16">
        <v>2.8948290000000001</v>
      </c>
      <c r="M213" s="16">
        <v>4.2141279999999997</v>
      </c>
      <c r="N213" s="16">
        <v>4.3969180000000003</v>
      </c>
      <c r="O213" s="16">
        <v>2.889284</v>
      </c>
      <c r="P213" s="17">
        <v>5.5502269999999996</v>
      </c>
      <c r="Q213" s="17">
        <v>6.0963320000000003</v>
      </c>
      <c r="R213" s="17">
        <v>2.8123369999999999</v>
      </c>
      <c r="S213" s="17">
        <v>7.2288119999999996</v>
      </c>
      <c r="AP213" s="34"/>
      <c r="AQ213" s="35"/>
      <c r="AR213" s="35"/>
      <c r="AS213" s="35"/>
    </row>
    <row r="214" spans="2:45" x14ac:dyDescent="0.2">
      <c r="B214" s="2">
        <v>43478.487905092596</v>
      </c>
      <c r="C214" s="5">
        <f t="shared" si="28"/>
        <v>17.666665960000014</v>
      </c>
      <c r="D214" s="14">
        <v>3.5783580000000001</v>
      </c>
      <c r="E214" s="14">
        <v>3.6634690000000001</v>
      </c>
      <c r="F214" s="14">
        <v>3.6052599999999999</v>
      </c>
      <c r="G214" s="14">
        <v>1.837958</v>
      </c>
      <c r="H214" s="15">
        <v>3.2567200000000001</v>
      </c>
      <c r="I214" s="15">
        <v>3.137184</v>
      </c>
      <c r="J214" s="15">
        <v>7.9978910000000001</v>
      </c>
      <c r="K214" s="15">
        <v>2.8993139999999999</v>
      </c>
      <c r="L214" s="16">
        <v>2.89676</v>
      </c>
      <c r="M214" s="16">
        <v>4.230721</v>
      </c>
      <c r="N214" s="16">
        <v>4.3969180000000003</v>
      </c>
      <c r="O214" s="16">
        <v>2.8960789999999998</v>
      </c>
      <c r="P214" s="17">
        <v>5.5502269999999996</v>
      </c>
      <c r="Q214" s="17">
        <v>6.0987629999999999</v>
      </c>
      <c r="R214" s="17">
        <v>2.8123369999999999</v>
      </c>
      <c r="S214" s="17">
        <v>7.2293839999999996</v>
      </c>
      <c r="AP214" s="34"/>
      <c r="AQ214" s="35"/>
      <c r="AR214" s="35"/>
      <c r="AS214" s="35"/>
    </row>
    <row r="215" spans="2:45" x14ac:dyDescent="0.2">
      <c r="B215" s="2">
        <v>43478.491377314815</v>
      </c>
      <c r="C215" s="5">
        <f t="shared" si="28"/>
        <v>17.749999290000012</v>
      </c>
      <c r="D215" s="14">
        <v>3.596168</v>
      </c>
      <c r="E215" s="14">
        <v>3.6749849999999999</v>
      </c>
      <c r="F215" s="14">
        <v>3.609194</v>
      </c>
      <c r="G215" s="14">
        <v>1.837958</v>
      </c>
      <c r="H215" s="15">
        <v>3.2567200000000001</v>
      </c>
      <c r="I215" s="15">
        <v>3.1396869999999999</v>
      </c>
      <c r="J215" s="15">
        <v>8.0127489999999995</v>
      </c>
      <c r="K215" s="15">
        <v>2.8993859999999998</v>
      </c>
      <c r="L215" s="16">
        <v>2.898692</v>
      </c>
      <c r="M215" s="16">
        <v>4.2473150000000004</v>
      </c>
      <c r="N215" s="16">
        <v>4.3969180000000003</v>
      </c>
      <c r="O215" s="16">
        <v>2.902863</v>
      </c>
      <c r="P215" s="17">
        <v>5.5502269999999996</v>
      </c>
      <c r="Q215" s="17">
        <v>6.1011949999999997</v>
      </c>
      <c r="R215" s="17">
        <v>2.8123369999999999</v>
      </c>
      <c r="S215" s="17">
        <v>7.2299559999999996</v>
      </c>
      <c r="AP215" s="34"/>
      <c r="AQ215" s="35"/>
      <c r="AR215" s="35"/>
      <c r="AS215" s="35"/>
    </row>
    <row r="216" spans="2:45" x14ac:dyDescent="0.2">
      <c r="B216" s="2">
        <v>43478.494849537034</v>
      </c>
      <c r="C216" s="5">
        <f t="shared" si="28"/>
        <v>17.833332620000011</v>
      </c>
      <c r="D216" s="14">
        <v>3.6139779999999999</v>
      </c>
      <c r="E216" s="14">
        <v>3.6865000000000001</v>
      </c>
      <c r="F216" s="14">
        <v>3.6131280000000001</v>
      </c>
      <c r="G216" s="14">
        <v>1.837958</v>
      </c>
      <c r="H216" s="15">
        <v>3.2567200000000001</v>
      </c>
      <c r="I216" s="15">
        <v>3.1421899999999998</v>
      </c>
      <c r="J216" s="15">
        <v>8.0276259999999997</v>
      </c>
      <c r="K216" s="15">
        <v>2.899457</v>
      </c>
      <c r="L216" s="16">
        <v>2.900623</v>
      </c>
      <c r="M216" s="16">
        <v>4.2639089999999999</v>
      </c>
      <c r="N216" s="16">
        <v>4.3969180000000003</v>
      </c>
      <c r="O216" s="16">
        <v>2.9096690000000001</v>
      </c>
      <c r="P216" s="17">
        <v>5.5502269999999996</v>
      </c>
      <c r="Q216" s="17">
        <v>6.1036270000000004</v>
      </c>
      <c r="R216" s="17">
        <v>2.8123369999999999</v>
      </c>
      <c r="S216" s="17">
        <v>7.2305279999999996</v>
      </c>
      <c r="AP216" s="34"/>
      <c r="AQ216" s="35"/>
      <c r="AR216" s="35"/>
      <c r="AS216" s="35"/>
    </row>
    <row r="217" spans="2:45" x14ac:dyDescent="0.2">
      <c r="B217" s="2">
        <v>43478.49832175926</v>
      </c>
      <c r="C217" s="5">
        <f t="shared" si="28"/>
        <v>17.916665950000009</v>
      </c>
      <c r="D217" s="14">
        <v>3.6317879999999998</v>
      </c>
      <c r="E217" s="14">
        <v>3.698016</v>
      </c>
      <c r="F217" s="14">
        <v>3.6170620000000002</v>
      </c>
      <c r="G217" s="14">
        <v>1.837958</v>
      </c>
      <c r="H217" s="15">
        <v>3.2567200000000001</v>
      </c>
      <c r="I217" s="15">
        <v>3.1446939999999999</v>
      </c>
      <c r="J217" s="15">
        <v>8.042503</v>
      </c>
      <c r="K217" s="15">
        <v>2.8995289999999998</v>
      </c>
      <c r="L217" s="16">
        <v>2.9025539999999999</v>
      </c>
      <c r="M217" s="16">
        <v>4.2805030000000004</v>
      </c>
      <c r="N217" s="16">
        <v>4.3969180000000003</v>
      </c>
      <c r="O217" s="16">
        <v>2.9164639999999999</v>
      </c>
      <c r="P217" s="17">
        <v>5.5502269999999996</v>
      </c>
      <c r="Q217" s="17">
        <v>6.1060590000000001</v>
      </c>
      <c r="R217" s="17">
        <v>2.8123369999999999</v>
      </c>
      <c r="S217" s="17">
        <v>7.2311009999999998</v>
      </c>
      <c r="AP217" s="34"/>
      <c r="AQ217" s="35"/>
      <c r="AR217" s="35"/>
      <c r="AS217" s="35"/>
    </row>
    <row r="218" spans="2:45" x14ac:dyDescent="0.2">
      <c r="B218" s="2">
        <v>43478.501793981479</v>
      </c>
      <c r="C218" s="5">
        <f t="shared" si="28"/>
        <v>17.999999280000008</v>
      </c>
      <c r="D218" s="14">
        <v>3.6495980000000001</v>
      </c>
      <c r="E218" s="14">
        <v>3.7095319999999998</v>
      </c>
      <c r="F218" s="14">
        <v>3.6209959999999999</v>
      </c>
      <c r="G218" s="14">
        <v>1.837958</v>
      </c>
      <c r="H218" s="15">
        <v>3.2567200000000001</v>
      </c>
      <c r="I218" s="15">
        <v>3.1468989999999999</v>
      </c>
      <c r="J218" s="15">
        <v>8.0573809999999995</v>
      </c>
      <c r="K218" s="15">
        <v>2.8996010000000001</v>
      </c>
      <c r="L218" s="16">
        <v>2.9044850000000002</v>
      </c>
      <c r="M218" s="16">
        <v>4.2970969999999999</v>
      </c>
      <c r="N218" s="16">
        <v>4.3969180000000003</v>
      </c>
      <c r="O218" s="16">
        <v>2.9232589999999998</v>
      </c>
      <c r="P218" s="17">
        <v>5.5502269999999996</v>
      </c>
      <c r="Q218" s="17">
        <v>6.1082960000000002</v>
      </c>
      <c r="R218" s="17">
        <v>2.8123369999999999</v>
      </c>
      <c r="S218" s="17">
        <v>7.2315740000000002</v>
      </c>
      <c r="V218" s="25">
        <v>18</v>
      </c>
      <c r="W218">
        <f>AVERAGE(D207:D218)</f>
        <v>3.5516434166666664</v>
      </c>
      <c r="X218">
        <f t="shared" ref="X218:AL218" si="30">AVERAGE(E207:E218)</f>
        <v>3.6461956666666673</v>
      </c>
      <c r="Y218">
        <f t="shared" si="30"/>
        <v>3.5996655000000004</v>
      </c>
      <c r="Z218">
        <f t="shared" si="30"/>
        <v>1.8379580000000002</v>
      </c>
      <c r="AA218">
        <f t="shared" si="30"/>
        <v>3.2567200000000009</v>
      </c>
      <c r="AB218">
        <f t="shared" si="30"/>
        <v>3.1334036666666663</v>
      </c>
      <c r="AC218">
        <f t="shared" si="30"/>
        <v>7.9759025833333341</v>
      </c>
      <c r="AD218">
        <f t="shared" si="30"/>
        <v>2.8992070833333332</v>
      </c>
      <c r="AE218">
        <f t="shared" si="30"/>
        <v>2.8900275833333331</v>
      </c>
      <c r="AF218">
        <f t="shared" si="30"/>
        <v>4.2066695000000003</v>
      </c>
      <c r="AG218">
        <f t="shared" si="30"/>
        <v>4.3969180000000003</v>
      </c>
      <c r="AH218">
        <f t="shared" si="30"/>
        <v>2.8858860000000006</v>
      </c>
      <c r="AI218">
        <f t="shared" si="30"/>
        <v>5.5502269999999996</v>
      </c>
      <c r="AJ218">
        <f t="shared" si="30"/>
        <v>6.0941948333333329</v>
      </c>
      <c r="AK218">
        <f t="shared" si="30"/>
        <v>2.8123369999999999</v>
      </c>
      <c r="AL218">
        <f t="shared" si="30"/>
        <v>7.2285174999999997</v>
      </c>
      <c r="AO218" s="25">
        <v>18</v>
      </c>
      <c r="AP218" s="34">
        <f>AVERAGE(W218:Z218)</f>
        <v>3.1588656458333335</v>
      </c>
      <c r="AQ218" s="35">
        <f>AVERAGE(AA218:AD218)</f>
        <v>4.3163083333333336</v>
      </c>
      <c r="AR218" s="35">
        <f>AVERAGE(AE218:AH218)</f>
        <v>3.594875270833334</v>
      </c>
      <c r="AS218" s="35">
        <f>AVERAGE(AI218:AL218)</f>
        <v>5.4213190833333327</v>
      </c>
    </row>
    <row r="219" spans="2:45" x14ac:dyDescent="0.2">
      <c r="B219" s="2">
        <v>43478.505266203705</v>
      </c>
      <c r="C219" s="5">
        <f t="shared" si="28"/>
        <v>18.083332610000006</v>
      </c>
      <c r="D219" s="14">
        <v>3.667408</v>
      </c>
      <c r="E219" s="14">
        <v>3.721047</v>
      </c>
      <c r="F219" s="14">
        <v>3.62493</v>
      </c>
      <c r="G219" s="14">
        <v>1.837958</v>
      </c>
      <c r="H219" s="15">
        <v>3.2567200000000001</v>
      </c>
      <c r="I219" s="15">
        <v>3.151799</v>
      </c>
      <c r="J219" s="15">
        <v>8.0722579999999997</v>
      </c>
      <c r="K219" s="15">
        <v>2.8996719999999998</v>
      </c>
      <c r="L219" s="16">
        <v>2.9049230000000001</v>
      </c>
      <c r="M219" s="16">
        <v>4.3136910000000004</v>
      </c>
      <c r="N219" s="16">
        <v>4.3969180000000003</v>
      </c>
      <c r="O219" s="16">
        <v>2.930043</v>
      </c>
      <c r="P219" s="17">
        <v>5.5502269999999996</v>
      </c>
      <c r="Q219" s="17">
        <v>6.1082960000000002</v>
      </c>
      <c r="R219" s="17">
        <v>2.8123369999999999</v>
      </c>
      <c r="S219" s="17">
        <v>7.2406759999999997</v>
      </c>
      <c r="AP219" s="34"/>
      <c r="AQ219" s="35"/>
      <c r="AR219" s="35"/>
      <c r="AS219" s="35"/>
    </row>
    <row r="220" spans="2:45" x14ac:dyDescent="0.2">
      <c r="B220" s="2">
        <v>43478.508738425924</v>
      </c>
      <c r="C220" s="5">
        <f t="shared" si="28"/>
        <v>18.166665940000005</v>
      </c>
      <c r="D220" s="14">
        <v>3.6852170000000002</v>
      </c>
      <c r="E220" s="14">
        <v>3.7325629999999999</v>
      </c>
      <c r="F220" s="14">
        <v>3.6288640000000001</v>
      </c>
      <c r="G220" s="14">
        <v>1.837958</v>
      </c>
      <c r="H220" s="15">
        <v>3.2567200000000001</v>
      </c>
      <c r="I220" s="15">
        <v>3.1519439999999999</v>
      </c>
      <c r="J220" s="15">
        <v>8.087135</v>
      </c>
      <c r="K220" s="15">
        <v>2.8997440000000001</v>
      </c>
      <c r="L220" s="16">
        <v>2.9077730000000002</v>
      </c>
      <c r="M220" s="16">
        <v>4.3302849999999999</v>
      </c>
      <c r="N220" s="16">
        <v>4.3969180000000003</v>
      </c>
      <c r="O220" s="16">
        <v>2.936849</v>
      </c>
      <c r="P220" s="17">
        <v>5.5502269999999996</v>
      </c>
      <c r="Q220" s="17">
        <v>6.1082960000000002</v>
      </c>
      <c r="R220" s="17">
        <v>2.8123369999999999</v>
      </c>
      <c r="S220" s="17">
        <v>7.2571269999999997</v>
      </c>
      <c r="AP220" s="34"/>
      <c r="AQ220" s="35"/>
      <c r="AR220" s="35"/>
      <c r="AS220" s="35"/>
    </row>
    <row r="221" spans="2:45" x14ac:dyDescent="0.2">
      <c r="B221" s="2">
        <v>43478.51221064815</v>
      </c>
      <c r="C221" s="5">
        <f t="shared" si="28"/>
        <v>18.249999270000004</v>
      </c>
      <c r="D221" s="14">
        <v>3.7030270000000001</v>
      </c>
      <c r="E221" s="14">
        <v>3.744078</v>
      </c>
      <c r="F221" s="14">
        <v>3.6327980000000002</v>
      </c>
      <c r="G221" s="14">
        <v>1.837958</v>
      </c>
      <c r="H221" s="15">
        <v>3.2567200000000001</v>
      </c>
      <c r="I221" s="15">
        <v>3.1523020000000002</v>
      </c>
      <c r="J221" s="15">
        <v>8.1020129999999995</v>
      </c>
      <c r="K221" s="15">
        <v>2.8998149999999998</v>
      </c>
      <c r="L221" s="16">
        <v>2.9112779999999998</v>
      </c>
      <c r="M221" s="16">
        <v>4.3468790000000004</v>
      </c>
      <c r="N221" s="16">
        <v>4.3969180000000003</v>
      </c>
      <c r="O221" s="16">
        <v>2.9436659999999999</v>
      </c>
      <c r="P221" s="17">
        <v>5.5502269999999996</v>
      </c>
      <c r="Q221" s="17">
        <v>6.1082960000000002</v>
      </c>
      <c r="R221" s="17">
        <v>2.8123369999999999</v>
      </c>
      <c r="S221" s="17">
        <v>7.2735779999999997</v>
      </c>
      <c r="AP221" s="34"/>
      <c r="AQ221" s="35"/>
      <c r="AR221" s="35"/>
      <c r="AS221" s="35"/>
    </row>
    <row r="222" spans="2:45" x14ac:dyDescent="0.2">
      <c r="B222" s="2">
        <v>43478.515682870369</v>
      </c>
      <c r="C222" s="5">
        <f t="shared" si="28"/>
        <v>18.333332600000002</v>
      </c>
      <c r="D222" s="14">
        <v>3.720837</v>
      </c>
      <c r="E222" s="14">
        <v>3.7555939999999999</v>
      </c>
      <c r="F222" s="14">
        <v>3.6367319999999999</v>
      </c>
      <c r="G222" s="14">
        <v>1.837958</v>
      </c>
      <c r="H222" s="15">
        <v>3.2567200000000001</v>
      </c>
      <c r="I222" s="15">
        <v>3.15266</v>
      </c>
      <c r="J222" s="15">
        <v>8.1168899999999997</v>
      </c>
      <c r="K222" s="15">
        <v>2.8998870000000001</v>
      </c>
      <c r="L222" s="16">
        <v>2.9147829999999999</v>
      </c>
      <c r="M222" s="16">
        <v>4.3634729999999999</v>
      </c>
      <c r="N222" s="16">
        <v>4.3969180000000003</v>
      </c>
      <c r="O222" s="16">
        <v>2.9436659999999999</v>
      </c>
      <c r="P222" s="17">
        <v>5.5502269999999996</v>
      </c>
      <c r="Q222" s="17">
        <v>6.1082960000000002</v>
      </c>
      <c r="R222" s="17">
        <v>2.8123369999999999</v>
      </c>
      <c r="S222" s="17">
        <v>7.2900289999999996</v>
      </c>
      <c r="AP222" s="34"/>
      <c r="AQ222" s="35"/>
      <c r="AR222" s="35"/>
      <c r="AS222" s="35"/>
    </row>
    <row r="223" spans="2:45" x14ac:dyDescent="0.2">
      <c r="B223" s="2">
        <v>43478.519155092596</v>
      </c>
      <c r="C223" s="5">
        <f t="shared" si="28"/>
        <v>18.416665930000001</v>
      </c>
      <c r="D223" s="14">
        <v>3.7386469999999998</v>
      </c>
      <c r="E223" s="14">
        <v>3.7671100000000002</v>
      </c>
      <c r="F223" s="14">
        <v>3.640666</v>
      </c>
      <c r="G223" s="14">
        <v>1.837958</v>
      </c>
      <c r="H223" s="15">
        <v>3.2567200000000001</v>
      </c>
      <c r="I223" s="15">
        <v>3.1530170000000002</v>
      </c>
      <c r="J223" s="15">
        <v>8.131767</v>
      </c>
      <c r="K223" s="15">
        <v>2.8999579999999998</v>
      </c>
      <c r="L223" s="16">
        <v>2.918288</v>
      </c>
      <c r="M223" s="16">
        <v>4.3800670000000004</v>
      </c>
      <c r="N223" s="16">
        <v>4.3969180000000003</v>
      </c>
      <c r="O223" s="16">
        <v>2.945262</v>
      </c>
      <c r="P223" s="17">
        <v>5.5502269999999996</v>
      </c>
      <c r="Q223" s="17">
        <v>6.1082960000000002</v>
      </c>
      <c r="R223" s="17">
        <v>2.8123369999999999</v>
      </c>
      <c r="S223" s="17">
        <v>7.3064799999999996</v>
      </c>
      <c r="AP223" s="34"/>
      <c r="AQ223" s="35"/>
      <c r="AR223" s="35"/>
      <c r="AS223" s="35"/>
    </row>
    <row r="224" spans="2:45" x14ac:dyDescent="0.2">
      <c r="B224" s="2">
        <v>43478.522627314815</v>
      </c>
      <c r="C224" s="5">
        <f t="shared" si="28"/>
        <v>18.499999259999999</v>
      </c>
      <c r="D224" s="14">
        <v>3.7564570000000002</v>
      </c>
      <c r="E224" s="14">
        <v>3.7786249999999999</v>
      </c>
      <c r="F224" s="14">
        <v>3.6445989999999999</v>
      </c>
      <c r="G224" s="14">
        <v>1.837958</v>
      </c>
      <c r="H224" s="15">
        <v>3.2567200000000001</v>
      </c>
      <c r="I224" s="15">
        <v>3.153375</v>
      </c>
      <c r="J224" s="15">
        <v>8.1466449999999995</v>
      </c>
      <c r="K224" s="15">
        <v>2.9000300000000001</v>
      </c>
      <c r="L224" s="16">
        <v>2.9217930000000001</v>
      </c>
      <c r="M224" s="16">
        <v>4.3966609999999999</v>
      </c>
      <c r="N224" s="16">
        <v>4.3969180000000003</v>
      </c>
      <c r="O224" s="16">
        <v>2.9521999999999999</v>
      </c>
      <c r="P224" s="17">
        <v>5.5502269999999996</v>
      </c>
      <c r="Q224" s="17">
        <v>6.1082960000000002</v>
      </c>
      <c r="R224" s="17">
        <v>2.8123369999999999</v>
      </c>
      <c r="S224" s="17">
        <v>7.3229309999999996</v>
      </c>
      <c r="AP224" s="34"/>
      <c r="AQ224" s="35"/>
      <c r="AR224" s="35"/>
      <c r="AS224" s="35"/>
    </row>
    <row r="225" spans="2:45" x14ac:dyDescent="0.2">
      <c r="B225" s="2">
        <v>43478.526099537034</v>
      </c>
      <c r="C225" s="5">
        <f t="shared" si="28"/>
        <v>18.583332589999998</v>
      </c>
      <c r="D225" s="14">
        <v>3.774267</v>
      </c>
      <c r="E225" s="14">
        <v>3.7901410000000002</v>
      </c>
      <c r="F225" s="14">
        <v>3.646671</v>
      </c>
      <c r="G225" s="14">
        <v>1.837958</v>
      </c>
      <c r="H225" s="15">
        <v>3.2567200000000001</v>
      </c>
      <c r="I225" s="15">
        <v>3.1537329999999999</v>
      </c>
      <c r="J225" s="15">
        <v>8.1615219999999997</v>
      </c>
      <c r="K225" s="15">
        <v>2.9001009999999998</v>
      </c>
      <c r="L225" s="16">
        <v>2.925297</v>
      </c>
      <c r="M225" s="16">
        <v>4.4132550000000004</v>
      </c>
      <c r="N225" s="16">
        <v>4.3969180000000003</v>
      </c>
      <c r="O225" s="16">
        <v>2.9591379999999998</v>
      </c>
      <c r="P225" s="17">
        <v>5.5502269999999996</v>
      </c>
      <c r="Q225" s="17">
        <v>6.1082960000000002</v>
      </c>
      <c r="R225" s="17">
        <v>2.8123369999999999</v>
      </c>
      <c r="S225" s="17">
        <v>7.3393819999999996</v>
      </c>
      <c r="AP225" s="34"/>
      <c r="AQ225" s="35"/>
      <c r="AR225" s="35"/>
      <c r="AS225" s="35"/>
    </row>
    <row r="226" spans="2:45" x14ac:dyDescent="0.2">
      <c r="B226" s="2">
        <v>43478.52957175926</v>
      </c>
      <c r="C226" s="5">
        <f t="shared" si="28"/>
        <v>18.666665919999996</v>
      </c>
      <c r="D226" s="14">
        <v>3.7920769999999999</v>
      </c>
      <c r="E226" s="14">
        <v>3.8016559999999999</v>
      </c>
      <c r="F226" s="14">
        <v>3.6560809999999999</v>
      </c>
      <c r="G226" s="14">
        <v>1.837958</v>
      </c>
      <c r="H226" s="15">
        <v>3.2567200000000001</v>
      </c>
      <c r="I226" s="15">
        <v>3.1540900000000001</v>
      </c>
      <c r="J226" s="15">
        <v>8.176399</v>
      </c>
      <c r="K226" s="15">
        <v>2.9001730000000001</v>
      </c>
      <c r="L226" s="16">
        <v>2.9288020000000001</v>
      </c>
      <c r="M226" s="16">
        <v>4.4298489999999999</v>
      </c>
      <c r="N226" s="16">
        <v>4.3969180000000003</v>
      </c>
      <c r="O226" s="16">
        <v>2.9660639999999998</v>
      </c>
      <c r="P226" s="17">
        <v>5.5502269999999996</v>
      </c>
      <c r="Q226" s="17">
        <v>6.1082960000000002</v>
      </c>
      <c r="R226" s="17">
        <v>2.8123369999999999</v>
      </c>
      <c r="S226" s="17">
        <v>7.3558329999999996</v>
      </c>
      <c r="AP226" s="34"/>
      <c r="AQ226" s="35"/>
      <c r="AR226" s="35"/>
      <c r="AS226" s="35"/>
    </row>
    <row r="227" spans="2:45" x14ac:dyDescent="0.2">
      <c r="B227" s="2">
        <v>43478.533043981479</v>
      </c>
      <c r="C227" s="5">
        <f t="shared" si="28"/>
        <v>18.749999249999995</v>
      </c>
      <c r="D227" s="14">
        <v>3.8098860000000001</v>
      </c>
      <c r="E227" s="14">
        <v>3.8131719999999998</v>
      </c>
      <c r="F227" s="14">
        <v>3.666309</v>
      </c>
      <c r="G227" s="14">
        <v>1.837958</v>
      </c>
      <c r="H227" s="15">
        <v>3.2567200000000001</v>
      </c>
      <c r="I227" s="15">
        <v>3.1544479999999999</v>
      </c>
      <c r="J227" s="15">
        <v>8.1912769999999995</v>
      </c>
      <c r="K227" s="15">
        <v>2.9002439999999998</v>
      </c>
      <c r="L227" s="16">
        <v>2.9323070000000002</v>
      </c>
      <c r="M227" s="16">
        <v>4.4464430000000004</v>
      </c>
      <c r="N227" s="16">
        <v>4.3969180000000003</v>
      </c>
      <c r="O227" s="16">
        <v>2.973014</v>
      </c>
      <c r="P227" s="17">
        <v>5.5502269999999996</v>
      </c>
      <c r="Q227" s="17">
        <v>6.1082960000000002</v>
      </c>
      <c r="R227" s="17">
        <v>2.8123369999999999</v>
      </c>
      <c r="S227" s="17">
        <v>7.3722830000000004</v>
      </c>
      <c r="AP227" s="34"/>
      <c r="AQ227" s="35"/>
      <c r="AR227" s="35"/>
      <c r="AS227" s="35"/>
    </row>
    <row r="228" spans="2:45" x14ac:dyDescent="0.2">
      <c r="B228" s="2">
        <v>43478.536516203705</v>
      </c>
      <c r="C228" s="5">
        <f t="shared" si="28"/>
        <v>18.833332579999993</v>
      </c>
      <c r="D228" s="14">
        <v>3.827696</v>
      </c>
      <c r="E228" s="14">
        <v>3.8246880000000001</v>
      </c>
      <c r="F228" s="14">
        <v>3.6765379999999999</v>
      </c>
      <c r="G228" s="14">
        <v>1.837958</v>
      </c>
      <c r="H228" s="15">
        <v>3.2569530000000002</v>
      </c>
      <c r="I228" s="15">
        <v>3.1548050000000001</v>
      </c>
      <c r="J228" s="15">
        <v>8.2061539999999997</v>
      </c>
      <c r="K228" s="15">
        <v>2.9003160000000001</v>
      </c>
      <c r="L228" s="16">
        <v>2.9358119999999999</v>
      </c>
      <c r="M228" s="16">
        <v>4.4630369999999999</v>
      </c>
      <c r="N228" s="16">
        <v>4.3969180000000003</v>
      </c>
      <c r="O228" s="16">
        <v>2.9799519999999999</v>
      </c>
      <c r="P228" s="17">
        <v>5.5502269999999996</v>
      </c>
      <c r="Q228" s="17">
        <v>6.1114009999999999</v>
      </c>
      <c r="R228" s="17">
        <v>2.8123369999999999</v>
      </c>
      <c r="S228" s="17">
        <v>7.3887340000000004</v>
      </c>
      <c r="AP228" s="34"/>
      <c r="AQ228" s="35"/>
      <c r="AR228" s="35"/>
      <c r="AS228" s="35"/>
    </row>
    <row r="229" spans="2:45" x14ac:dyDescent="0.2">
      <c r="B229" s="2">
        <v>43478.539988425924</v>
      </c>
      <c r="C229" s="5">
        <f t="shared" si="28"/>
        <v>18.916665909999992</v>
      </c>
      <c r="D229" s="14">
        <v>3.8455059999999999</v>
      </c>
      <c r="E229" s="14">
        <v>3.8362029999999998</v>
      </c>
      <c r="F229" s="14">
        <v>3.686766</v>
      </c>
      <c r="G229" s="14">
        <v>1.837958</v>
      </c>
      <c r="H229" s="15">
        <v>3.2575259999999999</v>
      </c>
      <c r="I229" s="15">
        <v>3.1551629999999999</v>
      </c>
      <c r="J229" s="15">
        <v>8.221031</v>
      </c>
      <c r="K229" s="15">
        <v>2.9003160000000001</v>
      </c>
      <c r="L229" s="16">
        <v>2.9393159999999998</v>
      </c>
      <c r="M229" s="16">
        <v>4.4796300000000002</v>
      </c>
      <c r="N229" s="16">
        <v>4.3969180000000003</v>
      </c>
      <c r="O229" s="16">
        <v>2.9868899999999998</v>
      </c>
      <c r="P229" s="17">
        <v>5.5502269999999996</v>
      </c>
      <c r="Q229" s="17">
        <v>6.1158349999999997</v>
      </c>
      <c r="R229" s="17">
        <v>2.8123369999999999</v>
      </c>
      <c r="S229" s="17">
        <v>7.4051850000000004</v>
      </c>
      <c r="AP229" s="34"/>
      <c r="AQ229" s="35"/>
      <c r="AR229" s="35"/>
      <c r="AS229" s="35"/>
    </row>
    <row r="230" spans="2:45" x14ac:dyDescent="0.2">
      <c r="B230" s="2">
        <v>43478.54346064815</v>
      </c>
      <c r="C230" s="5">
        <f t="shared" si="28"/>
        <v>18.99999923999999</v>
      </c>
      <c r="D230" s="14">
        <v>3.8633160000000002</v>
      </c>
      <c r="E230" s="14">
        <v>3.8477190000000001</v>
      </c>
      <c r="F230" s="14">
        <v>3.6969940000000001</v>
      </c>
      <c r="G230" s="14">
        <v>1.837958</v>
      </c>
      <c r="H230" s="15">
        <v>3.2580979999999999</v>
      </c>
      <c r="I230" s="15">
        <v>3.1555209999999998</v>
      </c>
      <c r="J230" s="15">
        <v>8.2359089999999995</v>
      </c>
      <c r="K230" s="15">
        <v>2.9003160000000001</v>
      </c>
      <c r="L230" s="16">
        <v>2.9428209999999999</v>
      </c>
      <c r="M230" s="16">
        <v>4.4962239999999998</v>
      </c>
      <c r="N230" s="16">
        <v>4.4121370000000004</v>
      </c>
      <c r="O230" s="16">
        <v>2.9938280000000002</v>
      </c>
      <c r="P230" s="17">
        <v>5.5502269999999996</v>
      </c>
      <c r="Q230" s="17">
        <v>6.1202699999999997</v>
      </c>
      <c r="R230" s="17">
        <v>2.8123369999999999</v>
      </c>
      <c r="S230" s="17">
        <v>7.4216360000000003</v>
      </c>
      <c r="V230" s="25">
        <v>19</v>
      </c>
      <c r="W230">
        <f>AVERAGE(D219:D230)</f>
        <v>3.7653617499999998</v>
      </c>
      <c r="X230">
        <f t="shared" ref="X230:AL230" si="31">AVERAGE(E219:E230)</f>
        <v>3.7843830000000001</v>
      </c>
      <c r="Y230">
        <f t="shared" si="31"/>
        <v>3.653162333333333</v>
      </c>
      <c r="Z230">
        <f t="shared" si="31"/>
        <v>1.8379580000000002</v>
      </c>
      <c r="AA230">
        <f t="shared" si="31"/>
        <v>3.2569214166666671</v>
      </c>
      <c r="AB230">
        <f t="shared" si="31"/>
        <v>3.1535714166666664</v>
      </c>
      <c r="AC230">
        <f t="shared" si="31"/>
        <v>8.1540833333333325</v>
      </c>
      <c r="AD230">
        <f t="shared" si="31"/>
        <v>2.900047666666667</v>
      </c>
      <c r="AE230">
        <f t="shared" si="31"/>
        <v>2.9235994166666668</v>
      </c>
      <c r="AF230">
        <f t="shared" si="31"/>
        <v>4.4049578333333335</v>
      </c>
      <c r="AG230">
        <f t="shared" si="31"/>
        <v>4.3981862500000002</v>
      </c>
      <c r="AH230">
        <f t="shared" si="31"/>
        <v>2.9592143333333336</v>
      </c>
      <c r="AI230">
        <f t="shared" si="31"/>
        <v>5.5502269999999996</v>
      </c>
      <c r="AJ230">
        <f t="shared" si="31"/>
        <v>6.1101808333333345</v>
      </c>
      <c r="AK230">
        <f t="shared" si="31"/>
        <v>2.8123369999999999</v>
      </c>
      <c r="AL230">
        <f t="shared" si="31"/>
        <v>7.3311561666666663</v>
      </c>
      <c r="AO230" s="25">
        <v>19</v>
      </c>
      <c r="AP230" s="34">
        <f>AVERAGE(W230:Z230)</f>
        <v>3.2602162708333333</v>
      </c>
      <c r="AQ230" s="35">
        <f>AVERAGE(AA230:AD230)</f>
        <v>4.3661559583333327</v>
      </c>
      <c r="AR230" s="35">
        <f>AVERAGE(AE230:AH230)</f>
        <v>3.6714894583333337</v>
      </c>
      <c r="AS230" s="35">
        <f>AVERAGE(AI230:AL230)</f>
        <v>5.4509752499999999</v>
      </c>
    </row>
    <row r="231" spans="2:45" x14ac:dyDescent="0.2">
      <c r="B231" s="2">
        <v>43478.546932870369</v>
      </c>
      <c r="C231" s="5">
        <f t="shared" si="28"/>
        <v>19.083332569999989</v>
      </c>
      <c r="D231" s="14">
        <v>3.8811260000000001</v>
      </c>
      <c r="E231" s="14">
        <v>3.859235</v>
      </c>
      <c r="F231" s="14">
        <v>3.7072219999999998</v>
      </c>
      <c r="G231" s="14">
        <v>1.837958</v>
      </c>
      <c r="H231" s="15">
        <v>3.2586710000000001</v>
      </c>
      <c r="I231" s="15">
        <v>3.155878</v>
      </c>
      <c r="J231" s="15">
        <v>8.2507859999999997</v>
      </c>
      <c r="K231" s="15">
        <v>2.9003160000000001</v>
      </c>
      <c r="L231" s="16">
        <v>2.946326</v>
      </c>
      <c r="M231" s="16">
        <v>4.5128180000000002</v>
      </c>
      <c r="N231" s="16">
        <v>4.4699289999999996</v>
      </c>
      <c r="O231" s="16">
        <v>3.000766</v>
      </c>
      <c r="P231" s="17">
        <v>5.5502269999999996</v>
      </c>
      <c r="Q231" s="17">
        <v>6.1247040000000004</v>
      </c>
      <c r="R231" s="17">
        <v>2.8123369999999999</v>
      </c>
      <c r="S231" s="17">
        <v>7.4380870000000003</v>
      </c>
      <c r="AP231" s="34"/>
      <c r="AQ231" s="35"/>
      <c r="AR231" s="35"/>
      <c r="AS231" s="35"/>
    </row>
    <row r="232" spans="2:45" x14ac:dyDescent="0.2">
      <c r="B232" s="2">
        <v>43478.550405092596</v>
      </c>
      <c r="C232" s="5">
        <f t="shared" si="28"/>
        <v>19.166665899999987</v>
      </c>
      <c r="D232" s="14">
        <v>3.898936</v>
      </c>
      <c r="E232" s="14">
        <v>3.8707500000000001</v>
      </c>
      <c r="F232" s="14">
        <v>3.7174499999999999</v>
      </c>
      <c r="G232" s="14">
        <v>1.837958</v>
      </c>
      <c r="H232" s="15">
        <v>3.2592430000000001</v>
      </c>
      <c r="I232" s="15">
        <v>3.1562359999999998</v>
      </c>
      <c r="J232" s="15">
        <v>8.265663</v>
      </c>
      <c r="K232" s="15">
        <v>2.9003160000000001</v>
      </c>
      <c r="L232" s="16">
        <v>2.9498310000000001</v>
      </c>
      <c r="M232" s="16">
        <v>4.5294119999999998</v>
      </c>
      <c r="N232" s="16">
        <v>4.5277219999999998</v>
      </c>
      <c r="O232" s="16">
        <v>3.0077039999999999</v>
      </c>
      <c r="P232" s="17">
        <v>5.5502269999999996</v>
      </c>
      <c r="Q232" s="17">
        <v>6.1291390000000003</v>
      </c>
      <c r="R232" s="17">
        <v>2.8123369999999999</v>
      </c>
      <c r="S232" s="17">
        <v>7.4545380000000003</v>
      </c>
      <c r="AP232" s="34"/>
      <c r="AQ232" s="35"/>
      <c r="AR232" s="35"/>
      <c r="AS232" s="35"/>
    </row>
    <row r="233" spans="2:45" x14ac:dyDescent="0.2">
      <c r="B233" s="2">
        <v>43478.553877314815</v>
      </c>
      <c r="C233" s="5">
        <f t="shared" si="28"/>
        <v>19.249999229999986</v>
      </c>
      <c r="D233" s="14">
        <v>3.9167459999999998</v>
      </c>
      <c r="E233" s="14">
        <v>3.882266</v>
      </c>
      <c r="F233" s="14">
        <v>3.7276609999999999</v>
      </c>
      <c r="G233" s="14">
        <v>1.837958</v>
      </c>
      <c r="H233" s="15">
        <v>3.2598150000000001</v>
      </c>
      <c r="I233" s="15">
        <v>3.1565940000000001</v>
      </c>
      <c r="J233" s="15">
        <v>8.2805400000000002</v>
      </c>
      <c r="K233" s="15">
        <v>2.9003160000000001</v>
      </c>
      <c r="L233" s="16">
        <v>2.953335</v>
      </c>
      <c r="M233" s="16">
        <v>4.545979</v>
      </c>
      <c r="N233" s="16">
        <v>4.5854179999999998</v>
      </c>
      <c r="O233" s="16">
        <v>3.0146419999999998</v>
      </c>
      <c r="P233" s="17">
        <v>5.5502269999999996</v>
      </c>
      <c r="Q233" s="17">
        <v>6.1335740000000003</v>
      </c>
      <c r="R233" s="17">
        <v>2.8123369999999999</v>
      </c>
      <c r="S233" s="17">
        <v>7.4709890000000003</v>
      </c>
      <c r="AP233" s="34"/>
      <c r="AQ233" s="35"/>
      <c r="AR233" s="35"/>
      <c r="AS233" s="35"/>
    </row>
    <row r="234" spans="2:45" x14ac:dyDescent="0.2">
      <c r="B234" s="2">
        <v>43478.557349537034</v>
      </c>
      <c r="C234" s="5">
        <f t="shared" si="28"/>
        <v>19.333332559999985</v>
      </c>
      <c r="D234" s="14">
        <v>3.9345560000000002</v>
      </c>
      <c r="E234" s="14">
        <v>3.8937810000000002</v>
      </c>
      <c r="F234" s="14">
        <v>3.737889</v>
      </c>
      <c r="G234" s="14">
        <v>1.837958</v>
      </c>
      <c r="H234" s="15">
        <v>3.2603870000000001</v>
      </c>
      <c r="I234" s="15">
        <v>3.1569509999999998</v>
      </c>
      <c r="J234" s="15">
        <v>8.2954179999999997</v>
      </c>
      <c r="K234" s="15">
        <v>2.9003160000000001</v>
      </c>
      <c r="L234" s="16">
        <v>2.9568400000000001</v>
      </c>
      <c r="M234" s="16">
        <v>4.5625720000000003</v>
      </c>
      <c r="N234" s="16">
        <v>4.6433070000000001</v>
      </c>
      <c r="O234" s="16">
        <v>3.0215800000000002</v>
      </c>
      <c r="P234" s="17">
        <v>5.5502269999999996</v>
      </c>
      <c r="Q234" s="17">
        <v>6.1380080000000001</v>
      </c>
      <c r="R234" s="17">
        <v>2.8123369999999999</v>
      </c>
      <c r="S234" s="17">
        <v>7.4874400000000003</v>
      </c>
      <c r="AP234" s="34"/>
      <c r="AQ234" s="35"/>
      <c r="AR234" s="35"/>
      <c r="AS234" s="35"/>
    </row>
    <row r="235" spans="2:45" x14ac:dyDescent="0.2">
      <c r="B235" s="2">
        <v>43478.56082175926</v>
      </c>
      <c r="C235" s="5">
        <f t="shared" si="28"/>
        <v>19.416665889999983</v>
      </c>
      <c r="D235" s="14">
        <v>3.9523649999999999</v>
      </c>
      <c r="E235" s="14">
        <v>3.905297</v>
      </c>
      <c r="F235" s="14">
        <v>3.748135</v>
      </c>
      <c r="G235" s="14">
        <v>1.837958</v>
      </c>
      <c r="H235" s="15">
        <v>3.2609599999999999</v>
      </c>
      <c r="I235" s="15">
        <v>3.1573090000000001</v>
      </c>
      <c r="J235" s="15">
        <v>8.310295</v>
      </c>
      <c r="K235" s="15">
        <v>2.9003160000000001</v>
      </c>
      <c r="L235" s="16">
        <v>2.9603449999999998</v>
      </c>
      <c r="M235" s="16">
        <v>4.5791940000000002</v>
      </c>
      <c r="N235" s="16">
        <v>4.7011000000000003</v>
      </c>
      <c r="O235" s="16">
        <v>3.028518</v>
      </c>
      <c r="P235" s="17">
        <v>5.5502269999999996</v>
      </c>
      <c r="Q235" s="17">
        <v>6.1424430000000001</v>
      </c>
      <c r="R235" s="17">
        <v>2.8123369999999999</v>
      </c>
      <c r="S235" s="17">
        <v>7.5038910000000003</v>
      </c>
      <c r="AP235" s="34"/>
      <c r="AQ235" s="35"/>
      <c r="AR235" s="35"/>
      <c r="AS235" s="35"/>
    </row>
    <row r="236" spans="2:45" x14ac:dyDescent="0.2">
      <c r="B236" s="2">
        <v>43478.564293981479</v>
      </c>
      <c r="C236" s="5">
        <f t="shared" si="28"/>
        <v>19.499999219999982</v>
      </c>
      <c r="D236" s="14">
        <v>3.9701749999999998</v>
      </c>
      <c r="E236" s="14">
        <v>3.9168129999999999</v>
      </c>
      <c r="F236" s="14">
        <v>3.7583630000000001</v>
      </c>
      <c r="G236" s="14">
        <v>1.837958</v>
      </c>
      <c r="H236" s="15">
        <v>3.2615319999999999</v>
      </c>
      <c r="I236" s="15">
        <v>3.1576659999999999</v>
      </c>
      <c r="J236" s="15">
        <v>8.3251720000000002</v>
      </c>
      <c r="K236" s="15">
        <v>2.9003160000000001</v>
      </c>
      <c r="L236" s="16">
        <v>2.9638499999999999</v>
      </c>
      <c r="M236" s="16">
        <v>4.5957879999999998</v>
      </c>
      <c r="N236" s="16">
        <v>4.7588929999999996</v>
      </c>
      <c r="O236" s="16">
        <v>3.0354559999999999</v>
      </c>
      <c r="P236" s="17">
        <v>5.5502269999999996</v>
      </c>
      <c r="Q236" s="17">
        <v>6.1468769999999999</v>
      </c>
      <c r="R236" s="17">
        <v>2.8123369999999999</v>
      </c>
      <c r="S236" s="17">
        <v>7.5203410000000002</v>
      </c>
      <c r="AP236" s="34"/>
      <c r="AQ236" s="35"/>
      <c r="AR236" s="35"/>
      <c r="AS236" s="35"/>
    </row>
    <row r="237" spans="2:45" x14ac:dyDescent="0.2">
      <c r="B237" s="2">
        <v>43478.567766203705</v>
      </c>
      <c r="C237" s="5">
        <f t="shared" si="28"/>
        <v>19.58333254999998</v>
      </c>
      <c r="D237" s="14">
        <v>3.9879850000000001</v>
      </c>
      <c r="E237" s="14">
        <v>3.928328</v>
      </c>
      <c r="F237" s="14">
        <v>3.7685909999999998</v>
      </c>
      <c r="G237" s="14">
        <v>1.837958</v>
      </c>
      <c r="H237" s="15">
        <v>3.2621039999999999</v>
      </c>
      <c r="I237" s="15">
        <v>3.1580240000000002</v>
      </c>
      <c r="J237" s="15">
        <v>8.3297840000000001</v>
      </c>
      <c r="K237" s="15">
        <v>2.9003160000000001</v>
      </c>
      <c r="L237" s="16">
        <v>2.9673539999999998</v>
      </c>
      <c r="M237" s="16">
        <v>4.6123820000000002</v>
      </c>
      <c r="N237" s="16">
        <v>4.8166849999999997</v>
      </c>
      <c r="O237" s="16">
        <v>3.0423939999999998</v>
      </c>
      <c r="P237" s="17">
        <v>5.5502269999999996</v>
      </c>
      <c r="Q237" s="17">
        <v>6.1513119999999999</v>
      </c>
      <c r="R237" s="17">
        <v>2.8123369999999999</v>
      </c>
      <c r="S237" s="17">
        <v>7.5367920000000002</v>
      </c>
      <c r="AP237" s="34"/>
      <c r="AQ237" s="35"/>
      <c r="AR237" s="35"/>
      <c r="AS237" s="35"/>
    </row>
    <row r="238" spans="2:45" x14ac:dyDescent="0.2">
      <c r="B238" s="2">
        <v>43478.571238425924</v>
      </c>
      <c r="C238" s="5">
        <f t="shared" si="28"/>
        <v>19.666665879999979</v>
      </c>
      <c r="D238" s="14">
        <v>4.0058179999999997</v>
      </c>
      <c r="E238" s="14">
        <v>3.9398439999999999</v>
      </c>
      <c r="F238" s="14">
        <v>3.7788189999999999</v>
      </c>
      <c r="G238" s="14">
        <v>1.837958</v>
      </c>
      <c r="H238" s="15">
        <v>3.2626759999999999</v>
      </c>
      <c r="I238" s="15">
        <v>3.158382</v>
      </c>
      <c r="J238" s="15">
        <v>8.3368660000000006</v>
      </c>
      <c r="K238" s="15">
        <v>2.9003160000000001</v>
      </c>
      <c r="L238" s="16">
        <v>2.9708589999999999</v>
      </c>
      <c r="M238" s="16">
        <v>4.6289759999999998</v>
      </c>
      <c r="N238" s="16">
        <v>4.8744779999999999</v>
      </c>
      <c r="O238" s="16">
        <v>3.0493320000000002</v>
      </c>
      <c r="P238" s="17">
        <v>5.5502269999999996</v>
      </c>
      <c r="Q238" s="17">
        <v>6.1557459999999997</v>
      </c>
      <c r="R238" s="17">
        <v>2.8123369999999999</v>
      </c>
      <c r="S238" s="17">
        <v>7.5532430000000002</v>
      </c>
      <c r="AP238" s="34"/>
      <c r="AQ238" s="35"/>
      <c r="AR238" s="35"/>
      <c r="AS238" s="35"/>
    </row>
    <row r="239" spans="2:45" x14ac:dyDescent="0.2">
      <c r="B239" s="2">
        <v>43478.57471064815</v>
      </c>
      <c r="C239" s="5">
        <f t="shared" si="28"/>
        <v>19.749999209999977</v>
      </c>
      <c r="D239" s="14">
        <v>4.0236999999999998</v>
      </c>
      <c r="E239" s="14">
        <v>3.9513600000000002</v>
      </c>
      <c r="F239" s="14">
        <v>3.7890299999999999</v>
      </c>
      <c r="G239" s="14">
        <v>1.837958</v>
      </c>
      <c r="H239" s="15">
        <v>3.2632479999999999</v>
      </c>
      <c r="I239" s="15">
        <v>3.1587390000000002</v>
      </c>
      <c r="J239" s="15">
        <v>8.3503129999999999</v>
      </c>
      <c r="K239" s="15">
        <v>2.9003160000000001</v>
      </c>
      <c r="L239" s="16">
        <v>2.974364</v>
      </c>
      <c r="M239" s="16">
        <v>4.6455419999999998</v>
      </c>
      <c r="N239" s="16">
        <v>4.9322710000000001</v>
      </c>
      <c r="O239" s="16">
        <v>3.05627</v>
      </c>
      <c r="P239" s="17">
        <v>5.5502269999999996</v>
      </c>
      <c r="Q239" s="17">
        <v>6.1599589999999997</v>
      </c>
      <c r="R239" s="17">
        <v>2.8123369999999999</v>
      </c>
      <c r="S239" s="17">
        <v>7.5696940000000001</v>
      </c>
      <c r="AP239" s="34"/>
      <c r="AQ239" s="35"/>
      <c r="AR239" s="35"/>
      <c r="AS239" s="35"/>
    </row>
    <row r="240" spans="2:45" x14ac:dyDescent="0.2">
      <c r="B240" s="2">
        <v>43478.578182870369</v>
      </c>
      <c r="C240" s="5">
        <f t="shared" si="28"/>
        <v>19.833332539999976</v>
      </c>
      <c r="D240" s="14">
        <v>4.0415809999999999</v>
      </c>
      <c r="E240" s="14">
        <v>3.9628749999999999</v>
      </c>
      <c r="F240" s="14">
        <v>3.7992750000000002</v>
      </c>
      <c r="G240" s="14">
        <v>1.837958</v>
      </c>
      <c r="H240" s="15">
        <v>3.2633230000000002</v>
      </c>
      <c r="I240" s="15">
        <v>3.159097</v>
      </c>
      <c r="J240" s="15">
        <v>8.3637599999999992</v>
      </c>
      <c r="K240" s="15">
        <v>2.9003160000000001</v>
      </c>
      <c r="L240" s="16">
        <v>2.9778690000000001</v>
      </c>
      <c r="M240" s="16">
        <v>4.6621639999999998</v>
      </c>
      <c r="N240" s="16">
        <v>4.9900630000000001</v>
      </c>
      <c r="O240" s="16">
        <v>3.0632079999999999</v>
      </c>
      <c r="P240" s="17">
        <v>5.5812330000000001</v>
      </c>
      <c r="Q240" s="17">
        <v>6.1602980000000001</v>
      </c>
      <c r="R240" s="17">
        <v>2.8123369999999999</v>
      </c>
      <c r="S240" s="17">
        <v>7.5861450000000001</v>
      </c>
      <c r="AP240" s="34"/>
      <c r="AQ240" s="35"/>
      <c r="AR240" s="35"/>
      <c r="AS240" s="35"/>
    </row>
    <row r="241" spans="2:45" x14ac:dyDescent="0.2">
      <c r="B241" s="2">
        <v>43478.581655092596</v>
      </c>
      <c r="C241" s="5">
        <f t="shared" si="28"/>
        <v>19.916665869999974</v>
      </c>
      <c r="D241" s="14">
        <v>4.059463</v>
      </c>
      <c r="E241" s="14">
        <v>3.9743909999999998</v>
      </c>
      <c r="F241" s="14">
        <v>3.8000940000000001</v>
      </c>
      <c r="G241" s="14">
        <v>1.837958</v>
      </c>
      <c r="H241" s="15">
        <v>3.2656429999999999</v>
      </c>
      <c r="I241" s="15">
        <v>3.1594549999999999</v>
      </c>
      <c r="J241" s="15">
        <v>8.3772070000000003</v>
      </c>
      <c r="K241" s="15">
        <v>2.9003160000000001</v>
      </c>
      <c r="L241" s="16">
        <v>2.9813730000000001</v>
      </c>
      <c r="M241" s="16">
        <v>4.6787580000000002</v>
      </c>
      <c r="N241" s="16">
        <v>5.0478560000000003</v>
      </c>
      <c r="O241" s="16">
        <v>3.0701459999999998</v>
      </c>
      <c r="P241" s="17">
        <v>5.6178540000000003</v>
      </c>
      <c r="Q241" s="17">
        <v>6.1615859999999998</v>
      </c>
      <c r="R241" s="17">
        <v>2.8123369999999999</v>
      </c>
      <c r="S241" s="17">
        <v>7.6025960000000001</v>
      </c>
      <c r="AP241" s="34"/>
      <c r="AQ241" s="35"/>
      <c r="AR241" s="35"/>
      <c r="AS241" s="35"/>
    </row>
    <row r="242" spans="2:45" x14ac:dyDescent="0.2">
      <c r="B242" s="2">
        <v>43478.585127314815</v>
      </c>
      <c r="C242" s="5">
        <f t="shared" si="28"/>
        <v>19.999999199999973</v>
      </c>
      <c r="D242" s="14">
        <v>4.0773440000000001</v>
      </c>
      <c r="E242" s="14">
        <v>3.9859059999999999</v>
      </c>
      <c r="F242" s="14">
        <v>3.8000940000000001</v>
      </c>
      <c r="G242" s="14">
        <v>1.837958</v>
      </c>
      <c r="H242" s="15">
        <v>3.2656429999999999</v>
      </c>
      <c r="I242" s="15">
        <v>3.1598120000000001</v>
      </c>
      <c r="J242" s="15">
        <v>8.3906539999999996</v>
      </c>
      <c r="K242" s="15">
        <v>2.9003160000000001</v>
      </c>
      <c r="L242" s="16">
        <v>2.9832429999999999</v>
      </c>
      <c r="M242" s="16">
        <v>4.6953519999999997</v>
      </c>
      <c r="N242" s="16">
        <v>5.1056489999999997</v>
      </c>
      <c r="O242" s="16">
        <v>3.0770719999999998</v>
      </c>
      <c r="P242" s="17">
        <v>5.6544749999999997</v>
      </c>
      <c r="Q242" s="17">
        <v>6.1628730000000003</v>
      </c>
      <c r="R242" s="17">
        <v>2.8123369999999999</v>
      </c>
      <c r="S242" s="17">
        <v>7.6190470000000001</v>
      </c>
      <c r="V242" s="25">
        <v>20</v>
      </c>
      <c r="W242">
        <f>AVERAGE(D231:D242)</f>
        <v>3.9791495833333337</v>
      </c>
      <c r="X242">
        <f t="shared" ref="X242:AL242" si="32">AVERAGE(E231:E242)</f>
        <v>3.9225704999999995</v>
      </c>
      <c r="Y242">
        <f t="shared" si="32"/>
        <v>3.7610519166666667</v>
      </c>
      <c r="Z242">
        <f t="shared" si="32"/>
        <v>1.8379580000000002</v>
      </c>
      <c r="AA242">
        <f t="shared" si="32"/>
        <v>3.2619370833333328</v>
      </c>
      <c r="AB242">
        <f t="shared" si="32"/>
        <v>3.1578452499999998</v>
      </c>
      <c r="AC242">
        <f t="shared" si="32"/>
        <v>8.3230381666666666</v>
      </c>
      <c r="AD242">
        <f t="shared" si="32"/>
        <v>2.9003160000000001</v>
      </c>
      <c r="AE242">
        <f t="shared" si="32"/>
        <v>2.9654657500000003</v>
      </c>
      <c r="AF242">
        <f t="shared" si="32"/>
        <v>4.6040780833333335</v>
      </c>
      <c r="AG242">
        <f t="shared" si="32"/>
        <v>4.7877809166666667</v>
      </c>
      <c r="AH242">
        <f t="shared" si="32"/>
        <v>3.0389240000000002</v>
      </c>
      <c r="AI242">
        <f t="shared" si="32"/>
        <v>5.56713375</v>
      </c>
      <c r="AJ242">
        <f t="shared" si="32"/>
        <v>6.1472099166666672</v>
      </c>
      <c r="AK242">
        <f t="shared" si="32"/>
        <v>2.8123369999999999</v>
      </c>
      <c r="AL242">
        <f t="shared" si="32"/>
        <v>7.5285669166666667</v>
      </c>
      <c r="AO242" s="25">
        <v>20</v>
      </c>
      <c r="AP242" s="34">
        <f>AVERAGE(W242:Z242)</f>
        <v>3.3751825000000002</v>
      </c>
      <c r="AQ242" s="35">
        <f>AVERAGE(AA242:AD242)</f>
        <v>4.4107841249999993</v>
      </c>
      <c r="AR242" s="35">
        <f>AVERAGE(AE242:AH242)</f>
        <v>3.8490621875</v>
      </c>
      <c r="AS242" s="35">
        <f>AVERAGE(AI242:AL242)</f>
        <v>5.5138118958333333</v>
      </c>
    </row>
    <row r="243" spans="2:45" x14ac:dyDescent="0.2">
      <c r="B243" s="2">
        <v>43478.588599537034</v>
      </c>
      <c r="C243" s="5">
        <f t="shared" si="28"/>
        <v>20.083332529999971</v>
      </c>
      <c r="D243" s="14">
        <v>4.0952250000000001</v>
      </c>
      <c r="E243" s="14">
        <v>3.9974219999999998</v>
      </c>
      <c r="F243" s="14">
        <v>3.8000940000000001</v>
      </c>
      <c r="G243" s="14">
        <v>1.837958</v>
      </c>
      <c r="H243" s="15">
        <v>3.2656429999999999</v>
      </c>
      <c r="I243" s="15">
        <v>3.1601699999999999</v>
      </c>
      <c r="J243" s="15">
        <v>8.4040999999999997</v>
      </c>
      <c r="K243" s="15">
        <v>2.9003160000000001</v>
      </c>
      <c r="L243" s="16">
        <v>2.9832429999999999</v>
      </c>
      <c r="M243" s="16">
        <v>4.7119460000000002</v>
      </c>
      <c r="N243" s="16">
        <v>5.1633449999999996</v>
      </c>
      <c r="O243" s="16">
        <v>3.084022</v>
      </c>
      <c r="P243" s="17">
        <v>5.6910959999999999</v>
      </c>
      <c r="Q243" s="17">
        <v>6.164161</v>
      </c>
      <c r="R243" s="17">
        <v>2.8123369999999999</v>
      </c>
      <c r="S243" s="17">
        <v>7.6354980000000001</v>
      </c>
      <c r="AP243" s="34"/>
      <c r="AQ243" s="35"/>
      <c r="AR243" s="35"/>
      <c r="AS243" s="35"/>
    </row>
    <row r="244" spans="2:45" x14ac:dyDescent="0.2">
      <c r="B244" s="2">
        <v>43478.59207175926</v>
      </c>
      <c r="C244" s="5">
        <f t="shared" si="28"/>
        <v>20.16666585999997</v>
      </c>
      <c r="D244" s="14">
        <v>4.1131070000000003</v>
      </c>
      <c r="E244" s="14">
        <v>4.0088819999999998</v>
      </c>
      <c r="F244" s="14">
        <v>3.8000940000000001</v>
      </c>
      <c r="G244" s="14">
        <v>1.837958</v>
      </c>
      <c r="H244" s="15">
        <v>3.2656429999999999</v>
      </c>
      <c r="I244" s="15">
        <v>3.1605270000000001</v>
      </c>
      <c r="J244" s="15">
        <v>8.4175470000000008</v>
      </c>
      <c r="K244" s="15">
        <v>2.9003160000000001</v>
      </c>
      <c r="L244" s="16">
        <v>2.9832429999999999</v>
      </c>
      <c r="M244" s="16">
        <v>4.7285389999999996</v>
      </c>
      <c r="N244" s="16">
        <v>5.2212339999999999</v>
      </c>
      <c r="O244" s="16">
        <v>3.0909599999999999</v>
      </c>
      <c r="P244" s="17">
        <v>5.7277170000000002</v>
      </c>
      <c r="Q244" s="17">
        <v>6.164714</v>
      </c>
      <c r="R244" s="17">
        <v>2.8123369999999999</v>
      </c>
      <c r="S244" s="17">
        <v>7.651948</v>
      </c>
      <c r="AP244" s="34"/>
      <c r="AQ244" s="35"/>
      <c r="AR244" s="35"/>
      <c r="AS244" s="35"/>
    </row>
    <row r="245" spans="2:45" x14ac:dyDescent="0.2">
      <c r="B245" s="2">
        <v>43478.595543981479</v>
      </c>
      <c r="C245" s="5">
        <f t="shared" si="28"/>
        <v>20.249999189999969</v>
      </c>
      <c r="D245" s="14">
        <v>4.1309880000000003</v>
      </c>
      <c r="E245" s="14">
        <v>4.0203259999999998</v>
      </c>
      <c r="F245" s="14">
        <v>3.8000940000000001</v>
      </c>
      <c r="G245" s="14">
        <v>1.837958</v>
      </c>
      <c r="H245" s="15">
        <v>3.2656429999999999</v>
      </c>
      <c r="I245" s="15">
        <v>3.1608849999999999</v>
      </c>
      <c r="J245" s="15">
        <v>8.4309940000000001</v>
      </c>
      <c r="K245" s="15">
        <v>2.9003160000000001</v>
      </c>
      <c r="L245" s="16">
        <v>2.9832429999999999</v>
      </c>
      <c r="M245" s="16">
        <v>4.745133</v>
      </c>
      <c r="N245" s="16">
        <v>5.2534049999999999</v>
      </c>
      <c r="O245" s="16">
        <v>3.0978979999999998</v>
      </c>
      <c r="P245" s="17">
        <v>5.7600660000000001</v>
      </c>
      <c r="Q245" s="17">
        <v>6.164714</v>
      </c>
      <c r="R245" s="17">
        <v>2.8123369999999999</v>
      </c>
      <c r="S245" s="17">
        <v>7.668399</v>
      </c>
      <c r="AP245" s="34"/>
      <c r="AQ245" s="35"/>
      <c r="AR245" s="35"/>
      <c r="AS245" s="35"/>
    </row>
    <row r="246" spans="2:45" x14ac:dyDescent="0.2">
      <c r="B246" s="2">
        <v>43478.599016203705</v>
      </c>
      <c r="C246" s="5">
        <f t="shared" si="28"/>
        <v>20.333332519999967</v>
      </c>
      <c r="D246" s="14">
        <v>4.1488699999999996</v>
      </c>
      <c r="E246" s="14">
        <v>4.0317699999999999</v>
      </c>
      <c r="F246" s="14">
        <v>3.8000940000000001</v>
      </c>
      <c r="G246" s="14">
        <v>1.837958</v>
      </c>
      <c r="H246" s="15">
        <v>3.2656429999999999</v>
      </c>
      <c r="I246" s="15">
        <v>3.1612429999999998</v>
      </c>
      <c r="J246" s="15">
        <v>8.4444409999999994</v>
      </c>
      <c r="K246" s="15">
        <v>2.9003160000000001</v>
      </c>
      <c r="L246" s="16">
        <v>2.9832429999999999</v>
      </c>
      <c r="M246" s="16">
        <v>4.7617269999999996</v>
      </c>
      <c r="N246" s="16">
        <v>5.26112</v>
      </c>
      <c r="O246" s="16">
        <v>3.1048360000000002</v>
      </c>
      <c r="P246" s="17">
        <v>5.7600660000000001</v>
      </c>
      <c r="Q246" s="17">
        <v>6.164714</v>
      </c>
      <c r="R246" s="17">
        <v>2.8123369999999999</v>
      </c>
      <c r="S246" s="17">
        <v>7.6783799999999998</v>
      </c>
      <c r="AP246" s="34"/>
      <c r="AQ246" s="35"/>
      <c r="AR246" s="35"/>
      <c r="AS246" s="35"/>
    </row>
    <row r="247" spans="2:45" x14ac:dyDescent="0.2">
      <c r="B247" s="2">
        <v>43478.602488425924</v>
      </c>
      <c r="C247" s="5">
        <f t="shared" si="28"/>
        <v>20.416665849999966</v>
      </c>
      <c r="D247" s="14">
        <v>4.1667509999999996</v>
      </c>
      <c r="E247" s="14">
        <v>4.0432519999999998</v>
      </c>
      <c r="F247" s="14">
        <v>3.8000940000000001</v>
      </c>
      <c r="G247" s="14">
        <v>1.837958</v>
      </c>
      <c r="H247" s="15">
        <v>3.2656429999999999</v>
      </c>
      <c r="I247" s="15">
        <v>3.1616</v>
      </c>
      <c r="J247" s="15">
        <v>8.4578880000000005</v>
      </c>
      <c r="K247" s="15">
        <v>2.9003160000000001</v>
      </c>
      <c r="L247" s="16">
        <v>2.9832429999999999</v>
      </c>
      <c r="M247" s="16">
        <v>4.7782939999999998</v>
      </c>
      <c r="N247" s="16">
        <v>5.2798910000000001</v>
      </c>
      <c r="O247" s="16">
        <v>3.1117620000000001</v>
      </c>
      <c r="P247" s="17">
        <v>5.7600660000000001</v>
      </c>
      <c r="Q247" s="17">
        <v>6.164714</v>
      </c>
      <c r="R247" s="17">
        <v>2.8123369999999999</v>
      </c>
      <c r="S247" s="17">
        <v>7.6783799999999998</v>
      </c>
      <c r="AP247" s="34"/>
      <c r="AQ247" s="35"/>
      <c r="AR247" s="35"/>
      <c r="AS247" s="35"/>
    </row>
    <row r="248" spans="2:45" x14ac:dyDescent="0.2">
      <c r="B248" s="2">
        <v>43478.60596064815</v>
      </c>
      <c r="C248" s="5">
        <f t="shared" si="28"/>
        <v>20.499999179999964</v>
      </c>
      <c r="D248" s="14">
        <v>4.1846319999999997</v>
      </c>
      <c r="E248" s="14">
        <v>4.0432519999999998</v>
      </c>
      <c r="F248" s="14">
        <v>3.8000940000000001</v>
      </c>
      <c r="G248" s="14">
        <v>1.837958</v>
      </c>
      <c r="H248" s="15">
        <v>3.2656429999999999</v>
      </c>
      <c r="I248" s="15">
        <v>3.1619579999999998</v>
      </c>
      <c r="J248" s="15">
        <v>8.4713340000000006</v>
      </c>
      <c r="K248" s="15">
        <v>2.9003160000000001</v>
      </c>
      <c r="L248" s="16">
        <v>2.9832429999999999</v>
      </c>
      <c r="M248" s="16">
        <v>4.7949149999999996</v>
      </c>
      <c r="N248" s="16">
        <v>5.2986300000000002</v>
      </c>
      <c r="O248" s="16">
        <v>3.1187119999999999</v>
      </c>
      <c r="P248" s="17">
        <v>5.7600660000000001</v>
      </c>
      <c r="Q248" s="17">
        <v>6.164714</v>
      </c>
      <c r="R248" s="17">
        <v>2.8123369999999999</v>
      </c>
      <c r="S248" s="17">
        <v>7.6783799999999998</v>
      </c>
      <c r="AP248" s="34"/>
      <c r="AQ248" s="35"/>
      <c r="AR248" s="35"/>
      <c r="AS248" s="35"/>
    </row>
    <row r="249" spans="2:45" x14ac:dyDescent="0.2">
      <c r="B249" s="2">
        <v>43478.609432870369</v>
      </c>
      <c r="C249" s="5">
        <f t="shared" si="28"/>
        <v>20.583332509999963</v>
      </c>
      <c r="D249" s="14">
        <v>4.2025139999999999</v>
      </c>
      <c r="E249" s="14">
        <v>4.0432519999999998</v>
      </c>
      <c r="F249" s="14">
        <v>3.8000940000000001</v>
      </c>
      <c r="G249" s="14">
        <v>1.837958</v>
      </c>
      <c r="H249" s="15">
        <v>3.2656429999999999</v>
      </c>
      <c r="I249" s="15">
        <v>3.1623160000000001</v>
      </c>
      <c r="J249" s="15">
        <v>8.4847809999999999</v>
      </c>
      <c r="K249" s="15">
        <v>2.9003160000000001</v>
      </c>
      <c r="L249" s="16">
        <v>2.9832429999999999</v>
      </c>
      <c r="M249" s="16">
        <v>4.811509</v>
      </c>
      <c r="N249" s="16">
        <v>5.3173700000000004</v>
      </c>
      <c r="O249" s="16">
        <v>3.1256499999999998</v>
      </c>
      <c r="P249" s="17">
        <v>5.7600660000000001</v>
      </c>
      <c r="Q249" s="17">
        <v>6.164714</v>
      </c>
      <c r="R249" s="17">
        <v>2.8123369999999999</v>
      </c>
      <c r="S249" s="17">
        <v>7.6783799999999998</v>
      </c>
      <c r="AP249" s="34"/>
      <c r="AQ249" s="35"/>
      <c r="AR249" s="35"/>
      <c r="AS249" s="35"/>
    </row>
    <row r="250" spans="2:45" x14ac:dyDescent="0.2">
      <c r="B250" s="2">
        <v>43478.612905092596</v>
      </c>
      <c r="C250" s="5">
        <f t="shared" si="28"/>
        <v>20.666665839999961</v>
      </c>
      <c r="D250" s="14">
        <v>4.2203949999999999</v>
      </c>
      <c r="E250" s="14">
        <v>4.0432519999999998</v>
      </c>
      <c r="F250" s="14">
        <v>3.8000940000000001</v>
      </c>
      <c r="G250" s="14">
        <v>1.837958</v>
      </c>
      <c r="H250" s="15">
        <v>3.2656429999999999</v>
      </c>
      <c r="I250" s="15">
        <v>3.1626729999999998</v>
      </c>
      <c r="J250" s="15">
        <v>8.4982279999999992</v>
      </c>
      <c r="K250" s="15">
        <v>2.9003160000000001</v>
      </c>
      <c r="L250" s="16">
        <v>2.9832429999999999</v>
      </c>
      <c r="M250" s="16">
        <v>4.8281029999999996</v>
      </c>
      <c r="N250" s="16">
        <v>5.3360789999999998</v>
      </c>
      <c r="O250" s="16">
        <v>3.1275460000000002</v>
      </c>
      <c r="P250" s="17">
        <v>5.7625479999999998</v>
      </c>
      <c r="Q250" s="17">
        <v>6.164714</v>
      </c>
      <c r="R250" s="17">
        <v>2.8123369999999999</v>
      </c>
      <c r="S250" s="17">
        <v>7.6783799999999998</v>
      </c>
      <c r="AP250" s="34"/>
      <c r="AQ250" s="35"/>
      <c r="AR250" s="35"/>
      <c r="AS250" s="35"/>
    </row>
    <row r="251" spans="2:45" x14ac:dyDescent="0.2">
      <c r="B251" s="2">
        <v>43478.616377314815</v>
      </c>
      <c r="C251" s="5">
        <f t="shared" si="28"/>
        <v>20.74999916999996</v>
      </c>
      <c r="D251" s="14">
        <v>4.2382759999999999</v>
      </c>
      <c r="E251" s="14">
        <v>4.0432519999999998</v>
      </c>
      <c r="F251" s="14">
        <v>3.8000940000000001</v>
      </c>
      <c r="G251" s="14">
        <v>1.837958</v>
      </c>
      <c r="H251" s="15">
        <v>3.2656429999999999</v>
      </c>
      <c r="I251" s="15">
        <v>3.1630310000000001</v>
      </c>
      <c r="J251" s="15">
        <v>8.5116750000000003</v>
      </c>
      <c r="K251" s="15">
        <v>2.9003160000000001</v>
      </c>
      <c r="L251" s="16">
        <v>2.9832429999999999</v>
      </c>
      <c r="M251" s="16">
        <v>4.844697</v>
      </c>
      <c r="N251" s="16">
        <v>5.3548489999999997</v>
      </c>
      <c r="O251" s="16">
        <v>3.1477210000000002</v>
      </c>
      <c r="P251" s="17">
        <v>5.7684139999999999</v>
      </c>
      <c r="Q251" s="17">
        <v>6.164714</v>
      </c>
      <c r="R251" s="17">
        <v>2.8123369999999999</v>
      </c>
      <c r="S251" s="17">
        <v>7.6783799999999998</v>
      </c>
      <c r="AP251" s="34"/>
      <c r="AQ251" s="35"/>
      <c r="AR251" s="35"/>
      <c r="AS251" s="35"/>
    </row>
    <row r="252" spans="2:45" x14ac:dyDescent="0.2">
      <c r="B252" s="2">
        <v>43478.619849537034</v>
      </c>
      <c r="C252" s="5">
        <f t="shared" si="28"/>
        <v>20.833332499999958</v>
      </c>
      <c r="D252" s="14">
        <v>4.2561580000000001</v>
      </c>
      <c r="E252" s="14">
        <v>4.0432519999999998</v>
      </c>
      <c r="F252" s="14">
        <v>3.8000940000000001</v>
      </c>
      <c r="G252" s="14">
        <v>1.837958</v>
      </c>
      <c r="H252" s="15">
        <v>3.2656429999999999</v>
      </c>
      <c r="I252" s="15">
        <v>3.1633879999999999</v>
      </c>
      <c r="J252" s="15">
        <v>8.5251219999999996</v>
      </c>
      <c r="K252" s="15">
        <v>2.9003160000000001</v>
      </c>
      <c r="L252" s="16">
        <v>2.9832429999999999</v>
      </c>
      <c r="M252" s="16">
        <v>4.8612630000000001</v>
      </c>
      <c r="N252" s="16">
        <v>5.3735580000000001</v>
      </c>
      <c r="O252" s="16">
        <v>3.1765219999999998</v>
      </c>
      <c r="P252" s="17">
        <v>5.7742789999999999</v>
      </c>
      <c r="Q252" s="17">
        <v>6.164714</v>
      </c>
      <c r="R252" s="17">
        <v>2.8123369999999999</v>
      </c>
      <c r="S252" s="17">
        <v>7.6783799999999998</v>
      </c>
      <c r="AP252" s="34"/>
      <c r="AQ252" s="35"/>
      <c r="AR252" s="35"/>
      <c r="AS252" s="35"/>
    </row>
    <row r="253" spans="2:45" x14ac:dyDescent="0.2">
      <c r="B253" s="2">
        <v>43478.62332175926</v>
      </c>
      <c r="C253" s="5">
        <f t="shared" si="28"/>
        <v>20.916665829999957</v>
      </c>
      <c r="D253" s="14">
        <v>4.2740390000000001</v>
      </c>
      <c r="E253" s="14">
        <v>4.0432519999999998</v>
      </c>
      <c r="F253" s="14">
        <v>3.8000940000000001</v>
      </c>
      <c r="G253" s="14">
        <v>1.837958</v>
      </c>
      <c r="H253" s="15">
        <v>3.2656429999999999</v>
      </c>
      <c r="I253" s="15">
        <v>3.1637460000000002</v>
      </c>
      <c r="J253" s="15">
        <v>8.5385679999999997</v>
      </c>
      <c r="K253" s="15">
        <v>2.9003160000000001</v>
      </c>
      <c r="L253" s="16">
        <v>2.9832429999999999</v>
      </c>
      <c r="M253" s="16">
        <v>4.877885</v>
      </c>
      <c r="N253" s="16">
        <v>5.3923290000000001</v>
      </c>
      <c r="O253" s="16">
        <v>3.205276</v>
      </c>
      <c r="P253" s="17">
        <v>5.7801439999999999</v>
      </c>
      <c r="Q253" s="17">
        <v>6.164714</v>
      </c>
      <c r="R253" s="17">
        <v>2.8123369999999999</v>
      </c>
      <c r="S253" s="17">
        <v>7.6783799999999998</v>
      </c>
      <c r="AP253" s="34"/>
      <c r="AQ253" s="35"/>
      <c r="AR253" s="35"/>
      <c r="AS253" s="35"/>
    </row>
    <row r="254" spans="2:45" x14ac:dyDescent="0.2">
      <c r="B254" s="2">
        <v>43478.626793981479</v>
      </c>
      <c r="C254" s="5">
        <f t="shared" si="28"/>
        <v>20.999999159999955</v>
      </c>
      <c r="D254" s="14">
        <v>4.2919210000000003</v>
      </c>
      <c r="E254" s="14">
        <v>4.0432519999999998</v>
      </c>
      <c r="F254" s="14">
        <v>3.8000940000000001</v>
      </c>
      <c r="G254" s="14">
        <v>1.837958</v>
      </c>
      <c r="H254" s="15">
        <v>3.28159</v>
      </c>
      <c r="I254" s="15">
        <v>3.164104</v>
      </c>
      <c r="J254" s="15">
        <v>8.5520150000000008</v>
      </c>
      <c r="K254" s="15">
        <v>2.9003160000000001</v>
      </c>
      <c r="L254" s="16">
        <v>2.9832429999999999</v>
      </c>
      <c r="M254" s="16">
        <v>4.8944789999999996</v>
      </c>
      <c r="N254" s="16">
        <v>5.4110680000000002</v>
      </c>
      <c r="O254" s="16">
        <v>3.234029</v>
      </c>
      <c r="P254" s="17">
        <v>5.786009</v>
      </c>
      <c r="Q254" s="17">
        <v>6.164714</v>
      </c>
      <c r="R254" s="17">
        <v>2.8123369999999999</v>
      </c>
      <c r="S254" s="17">
        <v>7.6783799999999998</v>
      </c>
      <c r="V254" s="25">
        <v>21</v>
      </c>
      <c r="W254">
        <f>AVERAGE(D243:D254)</f>
        <v>4.1935730000000007</v>
      </c>
      <c r="X254">
        <f t="shared" ref="X254:AL254" si="33">AVERAGE(E243:E254)</f>
        <v>4.033701333333334</v>
      </c>
      <c r="Y254">
        <f t="shared" si="33"/>
        <v>3.800094000000001</v>
      </c>
      <c r="Z254">
        <f t="shared" si="33"/>
        <v>1.8379580000000002</v>
      </c>
      <c r="AA254">
        <f t="shared" si="33"/>
        <v>3.2669719166666664</v>
      </c>
      <c r="AB254">
        <f t="shared" si="33"/>
        <v>3.1621367500000002</v>
      </c>
      <c r="AC254">
        <f t="shared" si="33"/>
        <v>8.4780577499999978</v>
      </c>
      <c r="AD254">
        <f t="shared" si="33"/>
        <v>2.9003160000000001</v>
      </c>
      <c r="AE254">
        <f t="shared" si="33"/>
        <v>2.9832430000000003</v>
      </c>
      <c r="AF254">
        <f t="shared" si="33"/>
        <v>4.8032075000000001</v>
      </c>
      <c r="AG254">
        <f t="shared" si="33"/>
        <v>5.3052398333333342</v>
      </c>
      <c r="AH254">
        <f t="shared" si="33"/>
        <v>3.1354111666666662</v>
      </c>
      <c r="AI254">
        <f t="shared" si="33"/>
        <v>5.757544750000001</v>
      </c>
      <c r="AJ254">
        <f t="shared" si="33"/>
        <v>6.1646679166666685</v>
      </c>
      <c r="AK254">
        <f t="shared" si="33"/>
        <v>2.8123369999999999</v>
      </c>
      <c r="AL254">
        <f t="shared" si="33"/>
        <v>7.6717720833333338</v>
      </c>
      <c r="AO254" s="25">
        <v>21</v>
      </c>
      <c r="AP254" s="34">
        <f>AVERAGE(W254:Z254)</f>
        <v>3.4663315833333339</v>
      </c>
      <c r="AQ254" s="35">
        <f>AVERAGE(AA254:AD254)</f>
        <v>4.4518706041666665</v>
      </c>
      <c r="AR254" s="35">
        <f>AVERAGE(AE254:AH254)</f>
        <v>4.0567753750000008</v>
      </c>
      <c r="AS254" s="35">
        <f>AVERAGE(AI254:AL254)</f>
        <v>5.6015804375000009</v>
      </c>
    </row>
    <row r="255" spans="2:45" x14ac:dyDescent="0.2">
      <c r="B255" s="2">
        <v>43478.630266203705</v>
      </c>
      <c r="C255" s="5">
        <f t="shared" si="28"/>
        <v>21.083332489999954</v>
      </c>
      <c r="D255" s="14">
        <v>4.3098020000000004</v>
      </c>
      <c r="E255" s="14">
        <v>4.0432519999999998</v>
      </c>
      <c r="F255" s="14">
        <v>3.8000940000000001</v>
      </c>
      <c r="G255" s="14">
        <v>1.837958</v>
      </c>
      <c r="H255" s="15">
        <v>3.3061229999999999</v>
      </c>
      <c r="I255" s="15">
        <v>3.1644610000000002</v>
      </c>
      <c r="J255" s="15">
        <v>8.5654620000000001</v>
      </c>
      <c r="K255" s="15">
        <v>2.9003160000000001</v>
      </c>
      <c r="L255" s="16">
        <v>2.9832429999999999</v>
      </c>
      <c r="M255" s="16">
        <v>4.9110449999999997</v>
      </c>
      <c r="N255" s="16">
        <v>5.4298080000000004</v>
      </c>
      <c r="O255" s="16">
        <v>3.2627820000000001</v>
      </c>
      <c r="P255" s="17">
        <v>5.791874</v>
      </c>
      <c r="Q255" s="17">
        <v>6.164714</v>
      </c>
      <c r="R255" s="17">
        <v>2.8123369999999999</v>
      </c>
      <c r="S255" s="17">
        <v>7.6783799999999998</v>
      </c>
      <c r="AP255" s="34"/>
      <c r="AQ255" s="35"/>
      <c r="AR255" s="35"/>
      <c r="AS255" s="35"/>
    </row>
    <row r="256" spans="2:45" x14ac:dyDescent="0.2">
      <c r="B256" s="2">
        <v>43478.633738425924</v>
      </c>
      <c r="C256" s="5">
        <f t="shared" si="28"/>
        <v>21.166665819999952</v>
      </c>
      <c r="D256" s="14">
        <v>4.3276830000000004</v>
      </c>
      <c r="E256" s="14">
        <v>4.0432519999999998</v>
      </c>
      <c r="F256" s="14">
        <v>3.8000940000000001</v>
      </c>
      <c r="G256" s="14">
        <v>1.837958</v>
      </c>
      <c r="H256" s="15">
        <v>3.3306559999999998</v>
      </c>
      <c r="I256" s="15">
        <v>3.164819</v>
      </c>
      <c r="J256" s="15">
        <v>8.5789089999999995</v>
      </c>
      <c r="K256" s="15">
        <v>2.9003160000000001</v>
      </c>
      <c r="L256" s="16">
        <v>2.9832429999999999</v>
      </c>
      <c r="M256" s="16">
        <v>4.9276669999999996</v>
      </c>
      <c r="N256" s="16">
        <v>5.4482980000000003</v>
      </c>
      <c r="O256" s="16">
        <v>3.2915359999999998</v>
      </c>
      <c r="P256" s="17">
        <v>5.797739</v>
      </c>
      <c r="Q256" s="17">
        <v>6.164714</v>
      </c>
      <c r="R256" s="17">
        <v>2.8123369999999999</v>
      </c>
      <c r="S256" s="17">
        <v>7.6783799999999998</v>
      </c>
      <c r="AP256" s="34"/>
      <c r="AQ256" s="35"/>
      <c r="AR256" s="35"/>
      <c r="AS256" s="35"/>
    </row>
    <row r="257" spans="2:45" x14ac:dyDescent="0.2">
      <c r="B257" s="2">
        <v>43478.63721064815</v>
      </c>
      <c r="C257" s="5">
        <f t="shared" si="28"/>
        <v>21.249999149999951</v>
      </c>
      <c r="D257" s="14">
        <v>4.3455649999999997</v>
      </c>
      <c r="E257" s="14">
        <v>4.0432519999999998</v>
      </c>
      <c r="F257" s="14">
        <v>3.8000940000000001</v>
      </c>
      <c r="G257" s="14">
        <v>1.837958</v>
      </c>
      <c r="H257" s="15">
        <v>3.3551890000000002</v>
      </c>
      <c r="I257" s="15">
        <v>3.1651769999999999</v>
      </c>
      <c r="J257" s="15">
        <v>8.5923560000000005</v>
      </c>
      <c r="K257" s="15">
        <v>2.9003160000000001</v>
      </c>
      <c r="L257" s="16">
        <v>2.9832429999999999</v>
      </c>
      <c r="M257" s="16">
        <v>4.9442329999999997</v>
      </c>
      <c r="N257" s="16">
        <v>5.4536569999999998</v>
      </c>
      <c r="O257" s="16">
        <v>3.3202410000000002</v>
      </c>
      <c r="P257" s="17">
        <v>5.803604</v>
      </c>
      <c r="Q257" s="17">
        <v>6.164714</v>
      </c>
      <c r="R257" s="17">
        <v>2.8123369999999999</v>
      </c>
      <c r="S257" s="17">
        <v>7.6783799999999998</v>
      </c>
      <c r="AP257" s="34"/>
      <c r="AQ257" s="35"/>
      <c r="AR257" s="35"/>
      <c r="AS257" s="35"/>
    </row>
    <row r="258" spans="2:45" x14ac:dyDescent="0.2">
      <c r="B258" s="2">
        <v>43478.640682870369</v>
      </c>
      <c r="C258" s="5">
        <f t="shared" si="28"/>
        <v>21.33333247999995</v>
      </c>
      <c r="D258" s="14">
        <v>4.3571280000000003</v>
      </c>
      <c r="E258" s="14">
        <v>4.0432519999999998</v>
      </c>
      <c r="F258" s="14">
        <v>3.8000940000000001</v>
      </c>
      <c r="G258" s="14">
        <v>1.837958</v>
      </c>
      <c r="H258" s="15">
        <v>3.3797229999999998</v>
      </c>
      <c r="I258" s="15">
        <v>3.1655340000000001</v>
      </c>
      <c r="J258" s="15">
        <v>8.6058029999999999</v>
      </c>
      <c r="K258" s="15">
        <v>2.9003160000000001</v>
      </c>
      <c r="L258" s="16">
        <v>2.9832429999999999</v>
      </c>
      <c r="M258" s="16">
        <v>4.9608270000000001</v>
      </c>
      <c r="N258" s="16">
        <v>5.4666959999999998</v>
      </c>
      <c r="O258" s="16">
        <v>3.3490419999999999</v>
      </c>
      <c r="P258" s="17">
        <v>5.809469</v>
      </c>
      <c r="Q258" s="17">
        <v>6.164714</v>
      </c>
      <c r="R258" s="17">
        <v>2.8123369999999999</v>
      </c>
      <c r="S258" s="17">
        <v>7.6783799999999998</v>
      </c>
      <c r="AP258" s="34"/>
      <c r="AQ258" s="35"/>
      <c r="AR258" s="35"/>
      <c r="AS258" s="35"/>
    </row>
    <row r="259" spans="2:45" x14ac:dyDescent="0.2">
      <c r="B259" s="2">
        <v>43478.644155092596</v>
      </c>
      <c r="C259" s="5">
        <f t="shared" si="28"/>
        <v>21.416665809999948</v>
      </c>
      <c r="D259" s="14">
        <v>4.3571280000000003</v>
      </c>
      <c r="E259" s="14">
        <v>4.0432519999999998</v>
      </c>
      <c r="F259" s="14">
        <v>3.8000940000000001</v>
      </c>
      <c r="G259" s="14">
        <v>1.837958</v>
      </c>
      <c r="H259" s="15">
        <v>3.4042560000000002</v>
      </c>
      <c r="I259" s="15">
        <v>3.1658919999999999</v>
      </c>
      <c r="J259" s="15">
        <v>8.6192489999999999</v>
      </c>
      <c r="K259" s="15">
        <v>2.9003160000000001</v>
      </c>
      <c r="L259" s="16">
        <v>2.9832429999999999</v>
      </c>
      <c r="M259" s="16">
        <v>4.9774209999999997</v>
      </c>
      <c r="N259" s="16">
        <v>5.4797140000000004</v>
      </c>
      <c r="O259" s="16">
        <v>3.377748</v>
      </c>
      <c r="P259" s="17">
        <v>5.815334</v>
      </c>
      <c r="Q259" s="17">
        <v>6.164714</v>
      </c>
      <c r="R259" s="17">
        <v>2.8123369999999999</v>
      </c>
      <c r="S259" s="17">
        <v>7.6783799999999998</v>
      </c>
      <c r="AP259" s="34"/>
      <c r="AQ259" s="35"/>
      <c r="AR259" s="35"/>
      <c r="AS259" s="35"/>
    </row>
    <row r="260" spans="2:45" x14ac:dyDescent="0.2">
      <c r="B260" s="2">
        <v>43478.647627314815</v>
      </c>
      <c r="C260" s="5">
        <f t="shared" ref="C260:C323" si="34">C259+0.08333333</f>
        <v>21.499999139999947</v>
      </c>
      <c r="D260" s="14">
        <v>4.3571280000000003</v>
      </c>
      <c r="E260" s="14">
        <v>4.0432519999999998</v>
      </c>
      <c r="F260" s="14">
        <v>3.8000940000000001</v>
      </c>
      <c r="G260" s="14">
        <v>1.837958</v>
      </c>
      <c r="H260" s="15">
        <v>3.4287890000000001</v>
      </c>
      <c r="I260" s="15">
        <v>3.1662499999999998</v>
      </c>
      <c r="J260" s="15">
        <v>8.6326959999999993</v>
      </c>
      <c r="K260" s="15">
        <v>2.9003160000000001</v>
      </c>
      <c r="L260" s="16">
        <v>2.9832429999999999</v>
      </c>
      <c r="M260" s="16">
        <v>4.9803800000000003</v>
      </c>
      <c r="N260" s="16">
        <v>5.4927099999999998</v>
      </c>
      <c r="O260" s="16">
        <v>3.406549</v>
      </c>
      <c r="P260" s="17">
        <v>5.821199</v>
      </c>
      <c r="Q260" s="17">
        <v>6.164714</v>
      </c>
      <c r="R260" s="17">
        <v>2.8123369999999999</v>
      </c>
      <c r="S260" s="17">
        <v>7.6783799999999998</v>
      </c>
      <c r="AP260" s="34"/>
      <c r="AQ260" s="35"/>
      <c r="AR260" s="35"/>
      <c r="AS260" s="35"/>
    </row>
    <row r="261" spans="2:45" x14ac:dyDescent="0.2">
      <c r="B261" s="2">
        <v>43478.651099537034</v>
      </c>
      <c r="C261" s="5">
        <f t="shared" si="34"/>
        <v>21.583332469999945</v>
      </c>
      <c r="D261" s="14">
        <v>4.3571280000000003</v>
      </c>
      <c r="E261" s="14">
        <v>4.0432519999999998</v>
      </c>
      <c r="F261" s="14">
        <v>3.8000940000000001</v>
      </c>
      <c r="G261" s="14">
        <v>1.847891</v>
      </c>
      <c r="H261" s="15">
        <v>3.453322</v>
      </c>
      <c r="I261" s="15">
        <v>3.1666069999999999</v>
      </c>
      <c r="J261" s="15">
        <v>8.6461430000000004</v>
      </c>
      <c r="K261" s="15">
        <v>2.9003160000000001</v>
      </c>
      <c r="L261" s="16">
        <v>2.9832429999999999</v>
      </c>
      <c r="M261" s="16">
        <v>4.9803800000000003</v>
      </c>
      <c r="N261" s="16">
        <v>5.5057489999999998</v>
      </c>
      <c r="O261" s="16">
        <v>3.4353020000000001</v>
      </c>
      <c r="P261" s="17">
        <v>5.8270650000000002</v>
      </c>
      <c r="Q261" s="17">
        <v>6.164714</v>
      </c>
      <c r="R261" s="17">
        <v>2.8123369999999999</v>
      </c>
      <c r="S261" s="17">
        <v>7.6783799999999998</v>
      </c>
      <c r="AP261" s="34"/>
      <c r="AQ261" s="35"/>
      <c r="AR261" s="35"/>
      <c r="AS261" s="35"/>
    </row>
    <row r="262" spans="2:45" x14ac:dyDescent="0.2">
      <c r="B262" s="2">
        <v>43478.65457175926</v>
      </c>
      <c r="C262" s="5">
        <f t="shared" si="34"/>
        <v>21.666665799999944</v>
      </c>
      <c r="D262" s="14">
        <v>4.3571280000000003</v>
      </c>
      <c r="E262" s="14">
        <v>4.0432519999999998</v>
      </c>
      <c r="F262" s="14">
        <v>3.8000940000000001</v>
      </c>
      <c r="G262" s="14">
        <v>1.8634120000000001</v>
      </c>
      <c r="H262" s="15">
        <v>3.4778560000000001</v>
      </c>
      <c r="I262" s="15">
        <v>3.1669649999999998</v>
      </c>
      <c r="J262" s="15">
        <v>8.6595899999999997</v>
      </c>
      <c r="K262" s="15">
        <v>2.9003160000000001</v>
      </c>
      <c r="L262" s="16">
        <v>2.9832429999999999</v>
      </c>
      <c r="M262" s="16">
        <v>4.9803800000000003</v>
      </c>
      <c r="N262" s="16">
        <v>5.5187670000000004</v>
      </c>
      <c r="O262" s="16">
        <v>3.4640550000000001</v>
      </c>
      <c r="P262" s="17">
        <v>5.8329300000000002</v>
      </c>
      <c r="Q262" s="17">
        <v>6.164714</v>
      </c>
      <c r="R262" s="17">
        <v>2.8123369999999999</v>
      </c>
      <c r="S262" s="17">
        <v>7.6783799999999998</v>
      </c>
      <c r="AP262" s="34"/>
      <c r="AQ262" s="35"/>
      <c r="AR262" s="35"/>
      <c r="AS262" s="35"/>
    </row>
    <row r="263" spans="2:45" x14ac:dyDescent="0.2">
      <c r="B263" s="2">
        <v>43478.658043981479</v>
      </c>
      <c r="C263" s="5">
        <f t="shared" si="34"/>
        <v>21.749999129999942</v>
      </c>
      <c r="D263" s="14">
        <v>4.3571280000000003</v>
      </c>
      <c r="E263" s="14">
        <v>4.0432519999999998</v>
      </c>
      <c r="F263" s="14">
        <v>3.8000940000000001</v>
      </c>
      <c r="G263" s="14">
        <v>1.878933</v>
      </c>
      <c r="H263" s="15">
        <v>3.502389</v>
      </c>
      <c r="I263" s="15">
        <v>3.167322</v>
      </c>
      <c r="J263" s="15">
        <v>8.6730370000000008</v>
      </c>
      <c r="K263" s="15">
        <v>2.9003160000000001</v>
      </c>
      <c r="L263" s="16">
        <v>2.9832429999999999</v>
      </c>
      <c r="M263" s="16">
        <v>4.9803800000000003</v>
      </c>
      <c r="N263" s="16">
        <v>5.5317850000000002</v>
      </c>
      <c r="O263" s="16">
        <v>3.4927609999999998</v>
      </c>
      <c r="P263" s="17">
        <v>5.8387950000000002</v>
      </c>
      <c r="Q263" s="17">
        <v>6.164714</v>
      </c>
      <c r="R263" s="17">
        <v>2.8123369999999999</v>
      </c>
      <c r="S263" s="17">
        <v>7.6783799999999998</v>
      </c>
      <c r="AP263" s="34"/>
      <c r="AQ263" s="35"/>
      <c r="AR263" s="35"/>
      <c r="AS263" s="35"/>
    </row>
    <row r="264" spans="2:45" x14ac:dyDescent="0.2">
      <c r="B264" s="2">
        <v>43478.661516203705</v>
      </c>
      <c r="C264" s="5">
        <f t="shared" si="34"/>
        <v>21.833332459999941</v>
      </c>
      <c r="D264" s="14">
        <v>4.3571280000000003</v>
      </c>
      <c r="E264" s="14">
        <v>4.0432519999999998</v>
      </c>
      <c r="F264" s="14">
        <v>3.8000940000000001</v>
      </c>
      <c r="G264" s="14">
        <v>1.894428</v>
      </c>
      <c r="H264" s="15">
        <v>3.5269219999999999</v>
      </c>
      <c r="I264" s="15">
        <v>3.1676799999999998</v>
      </c>
      <c r="J264" s="15">
        <v>8.6864830000000008</v>
      </c>
      <c r="K264" s="15">
        <v>2.9003160000000001</v>
      </c>
      <c r="L264" s="16">
        <v>2.9832429999999999</v>
      </c>
      <c r="M264" s="16">
        <v>4.9803800000000003</v>
      </c>
      <c r="N264" s="16">
        <v>5.5447810000000004</v>
      </c>
      <c r="O264" s="16">
        <v>3.5215619999999999</v>
      </c>
      <c r="P264" s="17">
        <v>5.8446600000000002</v>
      </c>
      <c r="Q264" s="17">
        <v>6.164714</v>
      </c>
      <c r="R264" s="17">
        <v>2.8123369999999999</v>
      </c>
      <c r="S264" s="17">
        <v>7.6783799999999998</v>
      </c>
      <c r="AP264" s="34"/>
      <c r="AQ264" s="35"/>
      <c r="AR264" s="35"/>
      <c r="AS264" s="35"/>
    </row>
    <row r="265" spans="2:45" x14ac:dyDescent="0.2">
      <c r="B265" s="2">
        <v>43478.664988425924</v>
      </c>
      <c r="C265" s="5">
        <f t="shared" si="34"/>
        <v>21.916665789999939</v>
      </c>
      <c r="D265" s="14">
        <v>4.3571280000000003</v>
      </c>
      <c r="E265" s="14">
        <v>4.0432519999999998</v>
      </c>
      <c r="F265" s="14">
        <v>3.8000940000000001</v>
      </c>
      <c r="G265" s="14">
        <v>1.909975</v>
      </c>
      <c r="H265" s="15">
        <v>3.5514549999999998</v>
      </c>
      <c r="I265" s="15">
        <v>3.1680009999999998</v>
      </c>
      <c r="J265" s="15">
        <v>8.6999300000000002</v>
      </c>
      <c r="K265" s="15">
        <v>2.9003160000000001</v>
      </c>
      <c r="L265" s="16">
        <v>2.9832429999999999</v>
      </c>
      <c r="M265" s="16">
        <v>4.9803800000000003</v>
      </c>
      <c r="N265" s="16">
        <v>5.5578200000000004</v>
      </c>
      <c r="O265" s="16">
        <v>3.5503149999999999</v>
      </c>
      <c r="P265" s="17">
        <v>5.8505250000000002</v>
      </c>
      <c r="Q265" s="17">
        <v>6.164714</v>
      </c>
      <c r="R265" s="17">
        <v>2.8123369999999999</v>
      </c>
      <c r="S265" s="17">
        <v>7.6783799999999998</v>
      </c>
      <c r="AP265" s="34"/>
      <c r="AQ265" s="35"/>
      <c r="AR265" s="35"/>
      <c r="AS265" s="35"/>
    </row>
    <row r="266" spans="2:45" x14ac:dyDescent="0.2">
      <c r="B266" s="2">
        <v>43478.66846064815</v>
      </c>
      <c r="C266" s="5">
        <f t="shared" si="34"/>
        <v>21.999999119999938</v>
      </c>
      <c r="D266" s="14">
        <v>4.3571280000000003</v>
      </c>
      <c r="E266" s="14">
        <v>4.0432519999999998</v>
      </c>
      <c r="F266" s="14">
        <v>3.8000940000000001</v>
      </c>
      <c r="G266" s="14">
        <v>1.92547</v>
      </c>
      <c r="H266" s="15">
        <v>3.5759889999999999</v>
      </c>
      <c r="I266" s="15">
        <v>3.1692130000000001</v>
      </c>
      <c r="J266" s="15">
        <v>8.7133769999999995</v>
      </c>
      <c r="K266" s="15">
        <v>2.9003160000000001</v>
      </c>
      <c r="L266" s="16">
        <v>2.9832429999999999</v>
      </c>
      <c r="M266" s="16">
        <v>4.9803800000000003</v>
      </c>
      <c r="N266" s="16">
        <v>5.5708159999999998</v>
      </c>
      <c r="O266" s="16">
        <v>3.5790679999999999</v>
      </c>
      <c r="P266" s="17">
        <v>5.8563900000000002</v>
      </c>
      <c r="Q266" s="17">
        <v>6.164714</v>
      </c>
      <c r="R266" s="17">
        <v>2.8123369999999999</v>
      </c>
      <c r="S266" s="17">
        <v>7.6783799999999998</v>
      </c>
      <c r="V266" s="25">
        <v>22</v>
      </c>
      <c r="W266">
        <f>AVERAGE(D255:D266)</f>
        <v>4.3497668333333346</v>
      </c>
      <c r="X266">
        <f t="shared" ref="X266:AL266" si="35">AVERAGE(E255:E266)</f>
        <v>4.0432520000000007</v>
      </c>
      <c r="Y266">
        <f t="shared" si="35"/>
        <v>3.800094000000001</v>
      </c>
      <c r="Z266">
        <f t="shared" si="35"/>
        <v>1.8623214166666668</v>
      </c>
      <c r="AA266">
        <f t="shared" si="35"/>
        <v>3.4410557500000003</v>
      </c>
      <c r="AB266">
        <f t="shared" si="35"/>
        <v>3.1664934166666665</v>
      </c>
      <c r="AC266">
        <f t="shared" si="35"/>
        <v>8.6394195833333338</v>
      </c>
      <c r="AD266">
        <f t="shared" si="35"/>
        <v>2.9003160000000001</v>
      </c>
      <c r="AE266">
        <f t="shared" si="35"/>
        <v>2.9832430000000003</v>
      </c>
      <c r="AF266">
        <f t="shared" si="35"/>
        <v>4.9653210833333326</v>
      </c>
      <c r="AG266">
        <f t="shared" si="35"/>
        <v>5.5000500833333339</v>
      </c>
      <c r="AH266">
        <f t="shared" si="35"/>
        <v>3.4209134166666675</v>
      </c>
      <c r="AI266">
        <f t="shared" si="35"/>
        <v>5.8241319999999996</v>
      </c>
      <c r="AJ266">
        <f t="shared" si="35"/>
        <v>6.1647140000000009</v>
      </c>
      <c r="AK266">
        <f t="shared" si="35"/>
        <v>2.8123369999999999</v>
      </c>
      <c r="AL266">
        <f t="shared" si="35"/>
        <v>7.6783800000000006</v>
      </c>
      <c r="AO266" s="25">
        <v>22</v>
      </c>
      <c r="AP266" s="34">
        <f>AVERAGE(W266:Z266)</f>
        <v>3.5138585625000012</v>
      </c>
      <c r="AQ266" s="35">
        <f>AVERAGE(AA266:AD266)</f>
        <v>4.5368211875000002</v>
      </c>
      <c r="AR266" s="35">
        <f>AVERAGE(AE266:AH266)</f>
        <v>4.2173818958333333</v>
      </c>
      <c r="AS266" s="35">
        <f>AVERAGE(AI266:AL266)</f>
        <v>5.6198907499999997</v>
      </c>
    </row>
    <row r="267" spans="2:45" x14ac:dyDescent="0.2">
      <c r="B267" s="2">
        <v>43478.671932870369</v>
      </c>
      <c r="C267" s="5">
        <f t="shared" si="34"/>
        <v>22.083332449999936</v>
      </c>
      <c r="D267" s="14">
        <v>4.3571280000000003</v>
      </c>
      <c r="E267" s="14">
        <v>4.0432519999999998</v>
      </c>
      <c r="F267" s="14">
        <v>3.8000940000000001</v>
      </c>
      <c r="G267" s="14">
        <v>1.941017</v>
      </c>
      <c r="H267" s="15">
        <v>3.6005219999999998</v>
      </c>
      <c r="I267" s="15">
        <v>3.17143</v>
      </c>
      <c r="J267" s="15">
        <v>8.7268240000000006</v>
      </c>
      <c r="K267" s="15">
        <v>2.9003160000000001</v>
      </c>
      <c r="L267" s="16">
        <v>2.9832429999999999</v>
      </c>
      <c r="M267" s="16">
        <v>4.9803800000000003</v>
      </c>
      <c r="N267" s="16">
        <v>5.5841589999999997</v>
      </c>
      <c r="O267" s="16">
        <v>3.6078220000000001</v>
      </c>
      <c r="P267" s="17">
        <v>5.8616289999999998</v>
      </c>
      <c r="Q267" s="17">
        <v>6.164714</v>
      </c>
      <c r="R267" s="17">
        <v>2.8123369999999999</v>
      </c>
      <c r="S267" s="17">
        <v>7.6783799999999998</v>
      </c>
      <c r="AP267" s="34"/>
      <c r="AQ267" s="35"/>
      <c r="AR267" s="35"/>
      <c r="AS267" s="35"/>
    </row>
    <row r="268" spans="2:45" x14ac:dyDescent="0.2">
      <c r="B268" s="2">
        <v>43478.675405092596</v>
      </c>
      <c r="C268" s="5">
        <f t="shared" si="34"/>
        <v>22.166665779999935</v>
      </c>
      <c r="D268" s="14">
        <v>4.3571280000000003</v>
      </c>
      <c r="E268" s="14">
        <v>4.0432519999999998</v>
      </c>
      <c r="F268" s="14">
        <v>3.8000940000000001</v>
      </c>
      <c r="G268" s="14">
        <v>1.956512</v>
      </c>
      <c r="H268" s="15">
        <v>3.6250550000000001</v>
      </c>
      <c r="I268" s="15">
        <v>3.1736469999999999</v>
      </c>
      <c r="J268" s="15">
        <v>8.7402709999999999</v>
      </c>
      <c r="K268" s="15">
        <v>2.9003160000000001</v>
      </c>
      <c r="L268" s="16">
        <v>2.9832429999999999</v>
      </c>
      <c r="M268" s="16">
        <v>4.9803800000000003</v>
      </c>
      <c r="N268" s="16">
        <v>5.5931040000000003</v>
      </c>
      <c r="O268" s="16">
        <v>3.6130930000000001</v>
      </c>
      <c r="P268" s="17">
        <v>5.8616289999999998</v>
      </c>
      <c r="Q268" s="17">
        <v>6.164714</v>
      </c>
      <c r="R268" s="17">
        <v>2.8123369999999999</v>
      </c>
      <c r="S268" s="17">
        <v>7.6783799999999998</v>
      </c>
      <c r="AP268" s="34"/>
      <c r="AQ268" s="35"/>
      <c r="AR268" s="35"/>
      <c r="AS268" s="35"/>
    </row>
    <row r="269" spans="2:45" x14ac:dyDescent="0.2">
      <c r="B269" s="2">
        <v>43478.678877314815</v>
      </c>
      <c r="C269" s="5">
        <f t="shared" si="34"/>
        <v>22.249999109999933</v>
      </c>
      <c r="D269" s="14">
        <v>4.3571280000000003</v>
      </c>
      <c r="E269" s="14">
        <v>4.0432519999999998</v>
      </c>
      <c r="F269" s="14">
        <v>3.8000940000000001</v>
      </c>
      <c r="G269" s="14">
        <v>1.9720340000000001</v>
      </c>
      <c r="H269" s="15">
        <v>3.6495890000000002</v>
      </c>
      <c r="I269" s="15">
        <v>3.1758649999999999</v>
      </c>
      <c r="J269" s="15">
        <v>8.753717</v>
      </c>
      <c r="K269" s="15">
        <v>2.9003160000000001</v>
      </c>
      <c r="L269" s="16">
        <v>2.9832429999999999</v>
      </c>
      <c r="M269" s="16">
        <v>4.9803800000000003</v>
      </c>
      <c r="N269" s="16">
        <v>5.6473209999999998</v>
      </c>
      <c r="O269" s="16">
        <v>3.6130930000000001</v>
      </c>
      <c r="P269" s="17">
        <v>5.8616289999999998</v>
      </c>
      <c r="Q269" s="17">
        <v>6.164714</v>
      </c>
      <c r="R269" s="17">
        <v>2.8123369999999999</v>
      </c>
      <c r="S269" s="17">
        <v>7.6783799999999998</v>
      </c>
      <c r="AP269" s="34"/>
      <c r="AQ269" s="35"/>
      <c r="AR269" s="35"/>
      <c r="AS269" s="35"/>
    </row>
    <row r="270" spans="2:45" x14ac:dyDescent="0.2">
      <c r="B270" s="2">
        <v>43478.682349537034</v>
      </c>
      <c r="C270" s="5">
        <f t="shared" si="34"/>
        <v>22.333332439999932</v>
      </c>
      <c r="D270" s="14">
        <v>4.3571280000000003</v>
      </c>
      <c r="E270" s="14">
        <v>4.0432519999999998</v>
      </c>
      <c r="F270" s="14">
        <v>3.8000940000000001</v>
      </c>
      <c r="G270" s="14">
        <v>1.987555</v>
      </c>
      <c r="H270" s="15">
        <v>3.6741220000000001</v>
      </c>
      <c r="I270" s="15">
        <v>3.1780819999999999</v>
      </c>
      <c r="J270" s="15">
        <v>8.7671639999999993</v>
      </c>
      <c r="K270" s="15">
        <v>2.9003160000000001</v>
      </c>
      <c r="L270" s="16">
        <v>2.9832429999999999</v>
      </c>
      <c r="M270" s="16">
        <v>4.9803800000000003</v>
      </c>
      <c r="N270" s="16">
        <v>5.7015370000000001</v>
      </c>
      <c r="O270" s="16">
        <v>3.6130930000000001</v>
      </c>
      <c r="P270" s="17">
        <v>5.8749279999999997</v>
      </c>
      <c r="Q270" s="17">
        <v>6.164714</v>
      </c>
      <c r="R270" s="17">
        <v>2.8123369999999999</v>
      </c>
      <c r="S270" s="17">
        <v>7.6783799999999998</v>
      </c>
      <c r="AP270" s="34"/>
      <c r="AQ270" s="35"/>
      <c r="AR270" s="35"/>
      <c r="AS270" s="35"/>
    </row>
    <row r="271" spans="2:45" x14ac:dyDescent="0.2">
      <c r="B271" s="2">
        <v>43478.68582175926</v>
      </c>
      <c r="C271" s="5">
        <f t="shared" si="34"/>
        <v>22.416665769999931</v>
      </c>
      <c r="D271" s="14">
        <v>4.3571280000000003</v>
      </c>
      <c r="E271" s="14">
        <v>4.0432519999999998</v>
      </c>
      <c r="F271" s="14">
        <v>3.8000940000000001</v>
      </c>
      <c r="G271" s="14">
        <v>2.0030760000000001</v>
      </c>
      <c r="H271" s="15">
        <v>3.698655</v>
      </c>
      <c r="I271" s="15">
        <v>3.1802990000000002</v>
      </c>
      <c r="J271" s="15">
        <v>8.7806110000000004</v>
      </c>
      <c r="K271" s="15">
        <v>2.9003160000000001</v>
      </c>
      <c r="L271" s="16">
        <v>2.9832429999999999</v>
      </c>
      <c r="M271" s="16">
        <v>4.9803800000000003</v>
      </c>
      <c r="N271" s="16">
        <v>5.7557539999999996</v>
      </c>
      <c r="O271" s="16">
        <v>3.6130930000000001</v>
      </c>
      <c r="P271" s="17">
        <v>5.9224209999999999</v>
      </c>
      <c r="Q271" s="17">
        <v>6.164714</v>
      </c>
      <c r="R271" s="17">
        <v>2.8123369999999999</v>
      </c>
      <c r="S271" s="17">
        <v>7.6783799999999998</v>
      </c>
      <c r="AP271" s="34"/>
      <c r="AQ271" s="35"/>
      <c r="AR271" s="35"/>
      <c r="AS271" s="35"/>
    </row>
    <row r="272" spans="2:45" x14ac:dyDescent="0.2">
      <c r="B272" s="2">
        <v>43478.689293981479</v>
      </c>
      <c r="C272" s="5">
        <f t="shared" si="34"/>
        <v>22.499999099999929</v>
      </c>
      <c r="D272" s="14">
        <v>4.3571280000000003</v>
      </c>
      <c r="E272" s="14">
        <v>4.0432519999999998</v>
      </c>
      <c r="F272" s="14">
        <v>3.8000940000000001</v>
      </c>
      <c r="G272" s="14">
        <v>2.0186220000000001</v>
      </c>
      <c r="H272" s="15">
        <v>3.7231879999999999</v>
      </c>
      <c r="I272" s="15">
        <v>3.1825169999999998</v>
      </c>
      <c r="J272" s="15">
        <v>8.7940579999999997</v>
      </c>
      <c r="K272" s="15">
        <v>2.9003160000000001</v>
      </c>
      <c r="L272" s="16">
        <v>2.9832429999999999</v>
      </c>
      <c r="M272" s="16">
        <v>4.9803800000000003</v>
      </c>
      <c r="N272" s="16">
        <v>5.8100610000000001</v>
      </c>
      <c r="O272" s="16">
        <v>3.6130930000000001</v>
      </c>
      <c r="P272" s="17">
        <v>5.969913</v>
      </c>
      <c r="Q272" s="17">
        <v>6.164714</v>
      </c>
      <c r="R272" s="17">
        <v>2.8123369999999999</v>
      </c>
      <c r="S272" s="17">
        <v>7.6783799999999998</v>
      </c>
      <c r="AP272" s="34"/>
      <c r="AQ272" s="35"/>
      <c r="AR272" s="35"/>
      <c r="AS272" s="35"/>
    </row>
    <row r="273" spans="2:45" x14ac:dyDescent="0.2">
      <c r="B273" s="2">
        <v>43478.692766203705</v>
      </c>
      <c r="C273" s="5">
        <f t="shared" si="34"/>
        <v>22.583332429999928</v>
      </c>
      <c r="D273" s="14">
        <v>4.3571280000000003</v>
      </c>
      <c r="E273" s="14">
        <v>4.0432519999999998</v>
      </c>
      <c r="F273" s="14">
        <v>3.8000940000000001</v>
      </c>
      <c r="G273" s="14">
        <v>2.0341179999999999</v>
      </c>
      <c r="H273" s="15">
        <v>3.747722</v>
      </c>
      <c r="I273" s="15">
        <v>3.1847340000000002</v>
      </c>
      <c r="J273" s="15">
        <v>8.8075050000000008</v>
      </c>
      <c r="K273" s="15">
        <v>2.9003160000000001</v>
      </c>
      <c r="L273" s="16">
        <v>2.9832429999999999</v>
      </c>
      <c r="M273" s="16">
        <v>4.9803800000000003</v>
      </c>
      <c r="N273" s="16">
        <v>5.8641860000000001</v>
      </c>
      <c r="O273" s="16">
        <v>3.6130930000000001</v>
      </c>
      <c r="P273" s="17">
        <v>6.0174060000000003</v>
      </c>
      <c r="Q273" s="17">
        <v>6.164714</v>
      </c>
      <c r="R273" s="17">
        <v>2.8123369999999999</v>
      </c>
      <c r="S273" s="17">
        <v>7.6783799999999998</v>
      </c>
      <c r="AP273" s="34"/>
      <c r="AQ273" s="35"/>
      <c r="AR273" s="35"/>
      <c r="AS273" s="35"/>
    </row>
    <row r="274" spans="2:45" x14ac:dyDescent="0.2">
      <c r="B274" s="2">
        <v>43478.696238425924</v>
      </c>
      <c r="C274" s="5">
        <f t="shared" si="34"/>
        <v>22.666665759999926</v>
      </c>
      <c r="D274" s="14">
        <v>4.3571280000000003</v>
      </c>
      <c r="E274" s="14">
        <v>4.0432519999999998</v>
      </c>
      <c r="F274" s="14">
        <v>3.8000940000000001</v>
      </c>
      <c r="G274" s="14">
        <v>2.049639</v>
      </c>
      <c r="H274" s="15">
        <v>3.7566350000000002</v>
      </c>
      <c r="I274" s="15">
        <v>3.1869510000000001</v>
      </c>
      <c r="J274" s="15">
        <v>8.8209510000000009</v>
      </c>
      <c r="K274" s="15">
        <v>2.9003160000000001</v>
      </c>
      <c r="L274" s="16">
        <v>2.9832429999999999</v>
      </c>
      <c r="M274" s="16">
        <v>4.9803800000000003</v>
      </c>
      <c r="N274" s="16">
        <v>5.9184029999999996</v>
      </c>
      <c r="O274" s="16">
        <v>3.6130930000000001</v>
      </c>
      <c r="P274" s="17">
        <v>6.0648989999999996</v>
      </c>
      <c r="Q274" s="17">
        <v>6.164714</v>
      </c>
      <c r="R274" s="17">
        <v>2.8123369999999999</v>
      </c>
      <c r="S274" s="17">
        <v>7.6783799999999998</v>
      </c>
      <c r="AP274" s="34"/>
      <c r="AQ274" s="35"/>
      <c r="AR274" s="35"/>
      <c r="AS274" s="35"/>
    </row>
    <row r="275" spans="2:45" x14ac:dyDescent="0.2">
      <c r="B275" s="2">
        <v>43478.69971064815</v>
      </c>
      <c r="C275" s="5">
        <f t="shared" si="34"/>
        <v>22.749999089999925</v>
      </c>
      <c r="D275" s="14">
        <v>4.3571280000000003</v>
      </c>
      <c r="E275" s="14">
        <v>4.0432519999999998</v>
      </c>
      <c r="F275" s="14">
        <v>3.8000940000000001</v>
      </c>
      <c r="G275" s="14">
        <v>2.0651600000000001</v>
      </c>
      <c r="H275" s="15">
        <v>3.7566350000000002</v>
      </c>
      <c r="I275" s="15">
        <v>3.189168</v>
      </c>
      <c r="J275" s="15">
        <v>8.8343980000000002</v>
      </c>
      <c r="K275" s="15">
        <v>2.9003160000000001</v>
      </c>
      <c r="L275" s="16">
        <v>2.9832429999999999</v>
      </c>
      <c r="M275" s="16">
        <v>4.9803800000000003</v>
      </c>
      <c r="N275" s="16">
        <v>5.9726189999999999</v>
      </c>
      <c r="O275" s="16">
        <v>3.6130930000000001</v>
      </c>
      <c r="P275" s="17">
        <v>6.1123919999999998</v>
      </c>
      <c r="Q275" s="17">
        <v>6.164714</v>
      </c>
      <c r="R275" s="17">
        <v>2.8123369999999999</v>
      </c>
      <c r="S275" s="17">
        <v>7.6783799999999998</v>
      </c>
      <c r="AP275" s="34"/>
      <c r="AQ275" s="35"/>
      <c r="AR275" s="35"/>
      <c r="AS275" s="35"/>
    </row>
    <row r="276" spans="2:45" x14ac:dyDescent="0.2">
      <c r="B276" s="2">
        <v>43478.703182870369</v>
      </c>
      <c r="C276" s="5">
        <f t="shared" si="34"/>
        <v>22.833332419999923</v>
      </c>
      <c r="D276" s="14">
        <v>4.3571280000000003</v>
      </c>
      <c r="E276" s="14">
        <v>4.0432519999999998</v>
      </c>
      <c r="F276" s="14">
        <v>3.8000940000000001</v>
      </c>
      <c r="G276" s="14">
        <v>2.0807069999999999</v>
      </c>
      <c r="H276" s="15">
        <v>3.7566350000000002</v>
      </c>
      <c r="I276" s="15">
        <v>3.1913860000000001</v>
      </c>
      <c r="J276" s="15">
        <v>8.8478449999999995</v>
      </c>
      <c r="K276" s="15">
        <v>2.9139140000000001</v>
      </c>
      <c r="L276" s="16">
        <v>2.9832429999999999</v>
      </c>
      <c r="M276" s="16">
        <v>4.9803800000000003</v>
      </c>
      <c r="N276" s="16">
        <v>6.0269259999999996</v>
      </c>
      <c r="O276" s="16">
        <v>3.6130930000000001</v>
      </c>
      <c r="P276" s="17">
        <v>6.1598850000000001</v>
      </c>
      <c r="Q276" s="17">
        <v>6.164714</v>
      </c>
      <c r="R276" s="17">
        <v>2.8245830000000001</v>
      </c>
      <c r="S276" s="17">
        <v>7.6783799999999998</v>
      </c>
      <c r="AP276" s="34"/>
      <c r="AQ276" s="35"/>
      <c r="AR276" s="35"/>
      <c r="AS276" s="35"/>
    </row>
    <row r="277" spans="2:45" x14ac:dyDescent="0.2">
      <c r="B277" s="2">
        <v>43478.706655092596</v>
      </c>
      <c r="C277" s="5">
        <f t="shared" si="34"/>
        <v>22.916665749999922</v>
      </c>
      <c r="D277" s="14">
        <v>4.3571280000000003</v>
      </c>
      <c r="E277" s="14">
        <v>4.0432519999999998</v>
      </c>
      <c r="F277" s="14">
        <v>3.8000940000000001</v>
      </c>
      <c r="G277" s="14">
        <v>2.096228</v>
      </c>
      <c r="H277" s="15">
        <v>3.7566350000000002</v>
      </c>
      <c r="I277" s="15">
        <v>3.193603</v>
      </c>
      <c r="J277" s="15">
        <v>8.8612920000000006</v>
      </c>
      <c r="K277" s="15">
        <v>2.941999</v>
      </c>
      <c r="L277" s="16">
        <v>2.9832429999999999</v>
      </c>
      <c r="M277" s="16">
        <v>4.9803800000000003</v>
      </c>
      <c r="N277" s="16">
        <v>6.0811419999999998</v>
      </c>
      <c r="O277" s="16">
        <v>3.6130930000000001</v>
      </c>
      <c r="P277" s="17">
        <v>6.2073780000000003</v>
      </c>
      <c r="Q277" s="17">
        <v>6.164714</v>
      </c>
      <c r="R277" s="17">
        <v>2.8559299999999999</v>
      </c>
      <c r="S277" s="17">
        <v>7.6783799999999998</v>
      </c>
      <c r="AP277" s="34"/>
      <c r="AQ277" s="35"/>
      <c r="AR277" s="35"/>
      <c r="AS277" s="35"/>
    </row>
    <row r="278" spans="2:45" x14ac:dyDescent="0.2">
      <c r="B278" s="2">
        <v>43478.710127314815</v>
      </c>
      <c r="C278" s="5">
        <f t="shared" si="34"/>
        <v>22.99999907999992</v>
      </c>
      <c r="D278" s="14">
        <v>4.3571280000000003</v>
      </c>
      <c r="E278" s="14">
        <v>4.0432519999999998</v>
      </c>
      <c r="F278" s="14">
        <v>3.8000940000000001</v>
      </c>
      <c r="G278" s="14">
        <v>2.1117490000000001</v>
      </c>
      <c r="H278" s="15">
        <v>3.7566350000000002</v>
      </c>
      <c r="I278" s="15">
        <v>3.1958199999999999</v>
      </c>
      <c r="J278" s="15">
        <v>8.8747389999999999</v>
      </c>
      <c r="K278" s="15">
        <v>2.970037</v>
      </c>
      <c r="L278" s="16">
        <v>2.9832429999999999</v>
      </c>
      <c r="M278" s="16">
        <v>4.9803800000000003</v>
      </c>
      <c r="N278" s="16">
        <v>6.1353590000000002</v>
      </c>
      <c r="O278" s="16">
        <v>3.6130930000000001</v>
      </c>
      <c r="P278" s="17">
        <v>6.2141859999999998</v>
      </c>
      <c r="Q278" s="17">
        <v>6.164714</v>
      </c>
      <c r="R278" s="17">
        <v>2.88733</v>
      </c>
      <c r="S278" s="17">
        <v>7.6783799999999998</v>
      </c>
      <c r="V278" s="25">
        <v>23</v>
      </c>
      <c r="W278">
        <f>AVERAGE(D267:D278)</f>
        <v>4.3571280000000012</v>
      </c>
      <c r="X278">
        <f t="shared" ref="X278:AL278" si="36">AVERAGE(E267:E278)</f>
        <v>4.0432520000000007</v>
      </c>
      <c r="Y278">
        <f t="shared" si="36"/>
        <v>3.800094000000001</v>
      </c>
      <c r="Z278">
        <f t="shared" si="36"/>
        <v>2.0263680833333333</v>
      </c>
      <c r="AA278">
        <f t="shared" si="36"/>
        <v>3.708502333333334</v>
      </c>
      <c r="AB278">
        <f t="shared" si="36"/>
        <v>3.1836251666666668</v>
      </c>
      <c r="AC278">
        <f t="shared" si="36"/>
        <v>8.8007812500000018</v>
      </c>
      <c r="AD278">
        <f t="shared" si="36"/>
        <v>2.9107328333333338</v>
      </c>
      <c r="AE278">
        <f t="shared" si="36"/>
        <v>2.9832430000000003</v>
      </c>
      <c r="AF278">
        <f t="shared" si="36"/>
        <v>4.9803799999999994</v>
      </c>
      <c r="AG278">
        <f t="shared" si="36"/>
        <v>5.8408809166666664</v>
      </c>
      <c r="AH278">
        <f t="shared" si="36"/>
        <v>3.6126537499999998</v>
      </c>
      <c r="AI278">
        <f t="shared" si="36"/>
        <v>6.0106912499999998</v>
      </c>
      <c r="AJ278">
        <f t="shared" si="36"/>
        <v>6.1647140000000009</v>
      </c>
      <c r="AK278">
        <f t="shared" si="36"/>
        <v>2.8232396666666664</v>
      </c>
      <c r="AL278">
        <f t="shared" si="36"/>
        <v>7.6783800000000006</v>
      </c>
      <c r="AO278" s="25">
        <v>23</v>
      </c>
      <c r="AP278" s="34">
        <f>AVERAGE(W278:Z278)</f>
        <v>3.5567105208333341</v>
      </c>
      <c r="AQ278" s="35">
        <f>AVERAGE(AA278:AD278)</f>
        <v>4.6509103958333338</v>
      </c>
      <c r="AR278" s="35">
        <f>AVERAGE(AE278:AH278)</f>
        <v>4.354289416666667</v>
      </c>
      <c r="AS278" s="35">
        <f>AVERAGE(AI278:AL278)</f>
        <v>5.6692562291666668</v>
      </c>
    </row>
    <row r="279" spans="2:45" x14ac:dyDescent="0.2">
      <c r="B279" s="2">
        <v>43478.713599537034</v>
      </c>
      <c r="C279" s="5">
        <f t="shared" si="34"/>
        <v>23.083332409999919</v>
      </c>
      <c r="D279" s="14">
        <v>4.3571280000000003</v>
      </c>
      <c r="E279" s="14">
        <v>4.0432519999999998</v>
      </c>
      <c r="F279" s="14">
        <v>3.8000940000000001</v>
      </c>
      <c r="G279" s="14">
        <v>2.1272700000000002</v>
      </c>
      <c r="H279" s="15">
        <v>3.7566350000000002</v>
      </c>
      <c r="I279" s="15">
        <v>3.1980379999999999</v>
      </c>
      <c r="J279" s="15">
        <v>8.8881859999999993</v>
      </c>
      <c r="K279" s="15">
        <v>2.998075</v>
      </c>
      <c r="L279" s="16">
        <v>2.9832429999999999</v>
      </c>
      <c r="M279" s="16">
        <v>4.9803800000000003</v>
      </c>
      <c r="N279" s="16">
        <v>6.1895749999999996</v>
      </c>
      <c r="O279" s="16">
        <v>3.6130930000000001</v>
      </c>
      <c r="P279" s="17">
        <v>6.2141859999999998</v>
      </c>
      <c r="Q279" s="17">
        <v>6.164714</v>
      </c>
      <c r="R279" s="17">
        <v>2.9187289999999999</v>
      </c>
      <c r="S279" s="17">
        <v>7.6783799999999998</v>
      </c>
      <c r="AP279" s="34"/>
      <c r="AQ279" s="35"/>
      <c r="AR279" s="35"/>
      <c r="AS279" s="35"/>
    </row>
    <row r="280" spans="2:45" x14ac:dyDescent="0.2">
      <c r="B280" s="2">
        <v>43478.71707175926</v>
      </c>
      <c r="C280" s="5">
        <f t="shared" si="34"/>
        <v>23.166665739999917</v>
      </c>
      <c r="D280" s="14">
        <v>4.3571280000000003</v>
      </c>
      <c r="E280" s="14">
        <v>4.0432519999999998</v>
      </c>
      <c r="F280" s="14">
        <v>3.8000940000000001</v>
      </c>
      <c r="G280" s="14">
        <v>2.1427909999999999</v>
      </c>
      <c r="H280" s="15">
        <v>3.7566350000000002</v>
      </c>
      <c r="I280" s="15">
        <v>3.2002549999999998</v>
      </c>
      <c r="J280" s="15">
        <v>8.9016319999999993</v>
      </c>
      <c r="K280" s="15">
        <v>3.0260669999999998</v>
      </c>
      <c r="L280" s="16">
        <v>2.9832429999999999</v>
      </c>
      <c r="M280" s="16">
        <v>4.9803800000000003</v>
      </c>
      <c r="N280" s="16">
        <v>6.243792</v>
      </c>
      <c r="O280" s="16">
        <v>3.6130930000000001</v>
      </c>
      <c r="P280" s="17">
        <v>6.225873</v>
      </c>
      <c r="Q280" s="17">
        <v>6.164714</v>
      </c>
      <c r="R280" s="17">
        <v>2.950129</v>
      </c>
      <c r="S280" s="17">
        <v>7.6783799999999998</v>
      </c>
      <c r="AP280" s="34"/>
      <c r="AQ280" s="35"/>
      <c r="AR280" s="35"/>
      <c r="AS280" s="35"/>
    </row>
    <row r="281" spans="2:45" x14ac:dyDescent="0.2">
      <c r="B281" s="2">
        <v>43478.720543981479</v>
      </c>
      <c r="C281" s="5">
        <f t="shared" si="34"/>
        <v>23.249999069999916</v>
      </c>
      <c r="D281" s="14">
        <v>4.3571280000000003</v>
      </c>
      <c r="E281" s="14">
        <v>4.0432519999999998</v>
      </c>
      <c r="F281" s="14">
        <v>3.8000940000000001</v>
      </c>
      <c r="G281" s="14">
        <v>2.158312</v>
      </c>
      <c r="H281" s="15">
        <v>3.7566350000000002</v>
      </c>
      <c r="I281" s="15">
        <v>3.2024720000000002</v>
      </c>
      <c r="J281" s="15">
        <v>8.9150790000000004</v>
      </c>
      <c r="K281" s="15">
        <v>3.0541049999999998</v>
      </c>
      <c r="L281" s="16">
        <v>2.9832429999999999</v>
      </c>
      <c r="M281" s="16">
        <v>4.9803800000000003</v>
      </c>
      <c r="N281" s="16">
        <v>6.2980080000000003</v>
      </c>
      <c r="O281" s="16">
        <v>3.6130930000000001</v>
      </c>
      <c r="P281" s="17">
        <v>6.2421810000000004</v>
      </c>
      <c r="Q281" s="17">
        <v>6.164714</v>
      </c>
      <c r="R281" s="17">
        <v>2.9815809999999998</v>
      </c>
      <c r="S281" s="17">
        <v>7.6783799999999998</v>
      </c>
      <c r="AP281" s="34"/>
      <c r="AQ281" s="35"/>
      <c r="AR281" s="35"/>
      <c r="AS281" s="35"/>
    </row>
    <row r="282" spans="2:45" x14ac:dyDescent="0.2">
      <c r="B282" s="2">
        <v>43478.724016203705</v>
      </c>
      <c r="C282" s="5">
        <f t="shared" si="34"/>
        <v>23.333332399999914</v>
      </c>
      <c r="D282" s="14">
        <v>4.3571280000000003</v>
      </c>
      <c r="E282" s="14">
        <v>4.0544500000000001</v>
      </c>
      <c r="F282" s="14">
        <v>3.8000940000000001</v>
      </c>
      <c r="G282" s="14">
        <v>2.1738330000000001</v>
      </c>
      <c r="H282" s="15">
        <v>3.7566350000000002</v>
      </c>
      <c r="I282" s="15">
        <v>3.2046899999999998</v>
      </c>
      <c r="J282" s="15">
        <v>8.9285259999999997</v>
      </c>
      <c r="K282" s="15">
        <v>3.0821890000000001</v>
      </c>
      <c r="L282" s="16">
        <v>2.9832429999999999</v>
      </c>
      <c r="M282" s="16">
        <v>4.9803800000000003</v>
      </c>
      <c r="N282" s="16">
        <v>6.3522239999999996</v>
      </c>
      <c r="O282" s="16">
        <v>3.6130930000000001</v>
      </c>
      <c r="P282" s="17">
        <v>6.258489</v>
      </c>
      <c r="Q282" s="17">
        <v>6.164714</v>
      </c>
      <c r="R282" s="17">
        <v>3.0129809999999999</v>
      </c>
      <c r="S282" s="17">
        <v>7.6783799999999998</v>
      </c>
      <c r="AP282" s="34"/>
      <c r="AQ282" s="35"/>
      <c r="AR282" s="35"/>
      <c r="AS282" s="35"/>
    </row>
    <row r="283" spans="2:45" x14ac:dyDescent="0.2">
      <c r="B283" s="2">
        <v>43478.727488425924</v>
      </c>
      <c r="C283" s="5">
        <f t="shared" si="34"/>
        <v>23.416665729999913</v>
      </c>
      <c r="D283" s="14">
        <v>4.3571280000000003</v>
      </c>
      <c r="E283" s="14">
        <v>4.0829170000000001</v>
      </c>
      <c r="F283" s="14">
        <v>3.8000940000000001</v>
      </c>
      <c r="G283" s="14">
        <v>2.1893280000000002</v>
      </c>
      <c r="H283" s="15">
        <v>3.7566350000000002</v>
      </c>
      <c r="I283" s="15">
        <v>3.2069070000000002</v>
      </c>
      <c r="J283" s="15">
        <v>8.9419730000000008</v>
      </c>
      <c r="K283" s="15">
        <v>3.1102270000000001</v>
      </c>
      <c r="L283" s="16">
        <v>2.9832429999999999</v>
      </c>
      <c r="M283" s="16">
        <v>4.9803800000000003</v>
      </c>
      <c r="N283" s="16">
        <v>6.4063499999999998</v>
      </c>
      <c r="O283" s="16">
        <v>3.6130930000000001</v>
      </c>
      <c r="P283" s="17">
        <v>6.2747960000000003</v>
      </c>
      <c r="Q283" s="17">
        <v>6.164714</v>
      </c>
      <c r="R283" s="17">
        <v>3.044381</v>
      </c>
      <c r="S283" s="17">
        <v>7.6783799999999998</v>
      </c>
      <c r="AP283" s="34"/>
      <c r="AQ283" s="35"/>
      <c r="AR283" s="35"/>
      <c r="AS283" s="35"/>
    </row>
    <row r="284" spans="2:45" x14ac:dyDescent="0.2">
      <c r="B284" s="2">
        <v>43478.73096064815</v>
      </c>
      <c r="C284" s="5">
        <f t="shared" si="34"/>
        <v>23.499999059999912</v>
      </c>
      <c r="D284" s="14">
        <v>4.3571280000000003</v>
      </c>
      <c r="E284" s="14">
        <v>4.1113840000000001</v>
      </c>
      <c r="F284" s="14">
        <v>3.8000940000000001</v>
      </c>
      <c r="G284" s="14">
        <v>2.2048749999999999</v>
      </c>
      <c r="H284" s="15">
        <v>3.7566350000000002</v>
      </c>
      <c r="I284" s="15">
        <v>3.2091240000000001</v>
      </c>
      <c r="J284" s="15">
        <v>8.9554200000000002</v>
      </c>
      <c r="K284" s="15">
        <v>3.1382189999999999</v>
      </c>
      <c r="L284" s="16">
        <v>2.9832429999999999</v>
      </c>
      <c r="M284" s="16">
        <v>4.9803800000000003</v>
      </c>
      <c r="N284" s="16">
        <v>6.4606570000000003</v>
      </c>
      <c r="O284" s="16">
        <v>3.6130930000000001</v>
      </c>
      <c r="P284" s="17">
        <v>6.2911039999999998</v>
      </c>
      <c r="Q284" s="17">
        <v>6.164714</v>
      </c>
      <c r="R284" s="17">
        <v>3.0757279999999998</v>
      </c>
      <c r="S284" s="17">
        <v>7.6783799999999998</v>
      </c>
      <c r="AP284" s="34"/>
      <c r="AQ284" s="35"/>
      <c r="AR284" s="35"/>
      <c r="AS284" s="35"/>
    </row>
    <row r="285" spans="2:45" x14ac:dyDescent="0.2">
      <c r="B285" s="2">
        <v>43478.734432870369</v>
      </c>
      <c r="C285" s="5">
        <f t="shared" si="34"/>
        <v>23.58333238999991</v>
      </c>
      <c r="D285" s="14">
        <v>4.3571280000000003</v>
      </c>
      <c r="E285" s="14">
        <v>4.1398510000000002</v>
      </c>
      <c r="F285" s="14">
        <v>3.8000940000000001</v>
      </c>
      <c r="G285" s="14">
        <v>2.220396</v>
      </c>
      <c r="H285" s="15">
        <v>3.7566350000000002</v>
      </c>
      <c r="I285" s="15">
        <v>3.211341</v>
      </c>
      <c r="J285" s="15">
        <v>8.9692220000000002</v>
      </c>
      <c r="K285" s="15">
        <v>3.1662569999999999</v>
      </c>
      <c r="L285" s="16">
        <v>2.9832429999999999</v>
      </c>
      <c r="M285" s="16">
        <v>4.9803800000000003</v>
      </c>
      <c r="N285" s="16">
        <v>6.5148739999999998</v>
      </c>
      <c r="O285" s="16">
        <v>3.6130930000000001</v>
      </c>
      <c r="P285" s="17">
        <v>6.3074120000000002</v>
      </c>
      <c r="Q285" s="17">
        <v>6.164714</v>
      </c>
      <c r="R285" s="17">
        <v>3.1071279999999999</v>
      </c>
      <c r="S285" s="17">
        <v>7.6783799999999998</v>
      </c>
      <c r="AP285" s="34"/>
      <c r="AQ285" s="35"/>
      <c r="AR285" s="35"/>
      <c r="AS285" s="35"/>
    </row>
    <row r="286" spans="2:45" x14ac:dyDescent="0.2">
      <c r="B286" s="2">
        <v>43478.737905092596</v>
      </c>
      <c r="C286" s="5">
        <f t="shared" si="34"/>
        <v>23.666665719999909</v>
      </c>
      <c r="D286" s="14">
        <v>4.3571280000000003</v>
      </c>
      <c r="E286" s="14">
        <v>4.1683180000000002</v>
      </c>
      <c r="F286" s="14">
        <v>3.8000940000000001</v>
      </c>
      <c r="G286" s="14">
        <v>2.2359170000000002</v>
      </c>
      <c r="H286" s="15">
        <v>3.7566350000000002</v>
      </c>
      <c r="I286" s="15">
        <v>3.2135590000000001</v>
      </c>
      <c r="J286" s="15">
        <v>8.9713309999999993</v>
      </c>
      <c r="K286" s="15">
        <v>3.1943410000000001</v>
      </c>
      <c r="L286" s="16">
        <v>2.9832429999999999</v>
      </c>
      <c r="M286" s="16">
        <v>4.9803800000000003</v>
      </c>
      <c r="N286" s="16">
        <v>6.5465</v>
      </c>
      <c r="O286" s="16">
        <v>3.6130930000000001</v>
      </c>
      <c r="P286" s="17">
        <v>6.3237199999999998</v>
      </c>
      <c r="Q286" s="17">
        <v>6.164714</v>
      </c>
      <c r="R286" s="17">
        <v>3.1385800000000001</v>
      </c>
      <c r="S286" s="17">
        <v>7.6783799999999998</v>
      </c>
      <c r="AP286" s="34"/>
      <c r="AQ286" s="35"/>
      <c r="AR286" s="35"/>
      <c r="AS286" s="35"/>
    </row>
    <row r="287" spans="2:45" x14ac:dyDescent="0.2">
      <c r="B287" s="2">
        <v>43478.741377314815</v>
      </c>
      <c r="C287" s="5">
        <f t="shared" si="34"/>
        <v>23.749999049999907</v>
      </c>
      <c r="D287" s="14">
        <v>4.3571280000000003</v>
      </c>
      <c r="E287" s="14">
        <v>4.1967850000000002</v>
      </c>
      <c r="F287" s="14">
        <v>3.8000940000000001</v>
      </c>
      <c r="G287" s="14">
        <v>2.2514120000000002</v>
      </c>
      <c r="H287" s="15">
        <v>3.7566350000000002</v>
      </c>
      <c r="I287" s="15">
        <v>3.215776</v>
      </c>
      <c r="J287" s="15">
        <v>8.9910720000000008</v>
      </c>
      <c r="K287" s="15">
        <v>3.2223329999999999</v>
      </c>
      <c r="L287" s="16">
        <v>2.9832429999999999</v>
      </c>
      <c r="M287" s="16">
        <v>4.9803800000000003</v>
      </c>
      <c r="N287" s="16">
        <v>6.5465</v>
      </c>
      <c r="O287" s="16">
        <v>3.6130930000000001</v>
      </c>
      <c r="P287" s="17">
        <v>6.3400280000000002</v>
      </c>
      <c r="Q287" s="17">
        <v>6.164714</v>
      </c>
      <c r="R287" s="17">
        <v>3.1699799999999998</v>
      </c>
      <c r="S287" s="17">
        <v>7.6783799999999998</v>
      </c>
      <c r="AP287" s="34"/>
      <c r="AQ287" s="35"/>
      <c r="AR287" s="35"/>
      <c r="AS287" s="35"/>
    </row>
    <row r="288" spans="2:45" x14ac:dyDescent="0.2">
      <c r="B288" s="2">
        <v>43478.744849537034</v>
      </c>
      <c r="C288" s="5">
        <f t="shared" si="34"/>
        <v>23.833332379999906</v>
      </c>
      <c r="D288" s="14">
        <v>4.3571280000000003</v>
      </c>
      <c r="E288" s="14">
        <v>4.2252530000000004</v>
      </c>
      <c r="F288" s="14">
        <v>3.8000940000000001</v>
      </c>
      <c r="G288" s="14">
        <v>2.2669329999999999</v>
      </c>
      <c r="H288" s="15">
        <v>3.7566350000000002</v>
      </c>
      <c r="I288" s="15">
        <v>3.2179929999999999</v>
      </c>
      <c r="J288" s="15">
        <v>9.0108130000000006</v>
      </c>
      <c r="K288" s="15">
        <v>3.2504170000000001</v>
      </c>
      <c r="L288" s="16">
        <v>2.9832429999999999</v>
      </c>
      <c r="M288" s="16">
        <v>4.9803800000000003</v>
      </c>
      <c r="N288" s="16">
        <v>6.5465</v>
      </c>
      <c r="O288" s="16">
        <v>3.6130930000000001</v>
      </c>
      <c r="P288" s="17">
        <v>6.3563359999999998</v>
      </c>
      <c r="Q288" s="17">
        <v>6.164714</v>
      </c>
      <c r="R288" s="17">
        <v>3.2013790000000002</v>
      </c>
      <c r="S288" s="17">
        <v>7.6783799999999998</v>
      </c>
      <c r="AP288" s="34"/>
      <c r="AQ288" s="35"/>
      <c r="AR288" s="35"/>
      <c r="AS288" s="35"/>
    </row>
    <row r="289" spans="2:48" x14ac:dyDescent="0.2">
      <c r="B289" s="2">
        <v>43478.74832175926</v>
      </c>
      <c r="C289" s="5">
        <f t="shared" si="34"/>
        <v>23.916665709999904</v>
      </c>
      <c r="D289" s="14">
        <v>4.3571280000000003</v>
      </c>
      <c r="E289" s="14">
        <v>4.2537200000000004</v>
      </c>
      <c r="F289" s="14">
        <v>3.8000940000000001</v>
      </c>
      <c r="G289" s="14">
        <v>2.282454</v>
      </c>
      <c r="H289" s="15">
        <v>3.7566350000000002</v>
      </c>
      <c r="I289" s="15">
        <v>3.2202109999999999</v>
      </c>
      <c r="J289" s="15">
        <v>9.0305540000000004</v>
      </c>
      <c r="K289" s="15">
        <v>3.2784550000000001</v>
      </c>
      <c r="L289" s="16">
        <v>2.9832429999999999</v>
      </c>
      <c r="M289" s="16">
        <v>4.9803800000000003</v>
      </c>
      <c r="N289" s="16">
        <v>6.5465</v>
      </c>
      <c r="O289" s="16">
        <v>3.6130930000000001</v>
      </c>
      <c r="P289" s="17">
        <v>6.3726430000000001</v>
      </c>
      <c r="Q289" s="17">
        <v>6.164714</v>
      </c>
      <c r="R289" s="17">
        <v>3.2327270000000001</v>
      </c>
      <c r="S289" s="17">
        <v>7.6783799999999998</v>
      </c>
      <c r="AP289" s="34"/>
      <c r="AQ289" s="35"/>
      <c r="AR289" s="35"/>
      <c r="AS289" s="35"/>
    </row>
    <row r="290" spans="2:48" x14ac:dyDescent="0.2">
      <c r="B290" s="6">
        <v>43478.751793981479</v>
      </c>
      <c r="C290" s="7">
        <v>0</v>
      </c>
      <c r="D290" s="14">
        <v>4.3571280000000003</v>
      </c>
      <c r="E290" s="14">
        <v>4.2613219999999998</v>
      </c>
      <c r="F290" s="14">
        <v>3.8000940000000001</v>
      </c>
      <c r="G290" s="14">
        <v>2.2980010000000002</v>
      </c>
      <c r="H290" s="15">
        <v>3.7566350000000002</v>
      </c>
      <c r="I290" s="15">
        <v>3.2224279999999998</v>
      </c>
      <c r="J290" s="15">
        <v>9.0502950000000002</v>
      </c>
      <c r="K290" s="15">
        <v>3.3064939999999998</v>
      </c>
      <c r="L290" s="16">
        <v>2.9832429999999999</v>
      </c>
      <c r="M290" s="16">
        <v>4.9803800000000003</v>
      </c>
      <c r="N290" s="16">
        <v>6.5465</v>
      </c>
      <c r="O290" s="16">
        <v>3.6130930000000001</v>
      </c>
      <c r="P290" s="17">
        <v>6.3889509999999996</v>
      </c>
      <c r="Q290" s="17">
        <v>6.164714</v>
      </c>
      <c r="R290" s="17">
        <v>3.2641789999999999</v>
      </c>
      <c r="S290" s="17">
        <v>7.6783799999999998</v>
      </c>
      <c r="V290" s="27">
        <v>0</v>
      </c>
      <c r="W290">
        <f>AVERAGE(D279:D290)</f>
        <v>4.3571280000000012</v>
      </c>
      <c r="X290">
        <f t="shared" ref="X290:AL290" si="37">AVERAGE(E279:E290)</f>
        <v>4.135313</v>
      </c>
      <c r="Y290">
        <f t="shared" si="37"/>
        <v>3.800094000000001</v>
      </c>
      <c r="Z290">
        <f t="shared" si="37"/>
        <v>2.2126268333333337</v>
      </c>
      <c r="AA290">
        <f t="shared" si="37"/>
        <v>3.7566350000000006</v>
      </c>
      <c r="AB290">
        <f t="shared" si="37"/>
        <v>3.210232833333333</v>
      </c>
      <c r="AC290">
        <f t="shared" si="37"/>
        <v>8.9628419166666671</v>
      </c>
      <c r="AD290">
        <f t="shared" si="37"/>
        <v>3.1522649166666667</v>
      </c>
      <c r="AE290">
        <f t="shared" si="37"/>
        <v>2.9832430000000003</v>
      </c>
      <c r="AF290">
        <f t="shared" si="37"/>
        <v>4.9803799999999994</v>
      </c>
      <c r="AG290">
        <f t="shared" si="37"/>
        <v>6.4331649999999989</v>
      </c>
      <c r="AH290">
        <f t="shared" si="37"/>
        <v>3.6130929999999997</v>
      </c>
      <c r="AI290">
        <f t="shared" si="37"/>
        <v>6.2996432499999999</v>
      </c>
      <c r="AJ290">
        <f t="shared" si="37"/>
        <v>6.1647140000000009</v>
      </c>
      <c r="AK290">
        <f t="shared" si="37"/>
        <v>3.0914584999999994</v>
      </c>
      <c r="AL290">
        <f t="shared" si="37"/>
        <v>7.6783800000000006</v>
      </c>
      <c r="AO290" s="27">
        <v>0</v>
      </c>
      <c r="AP290" s="35">
        <f>AVERAGE(W290:Z290)</f>
        <v>3.626290458333334</v>
      </c>
      <c r="AQ290" s="35">
        <f>AVERAGE(AA290:AD290)</f>
        <v>4.7704936666666669</v>
      </c>
      <c r="AR290" s="35">
        <f>AVERAGE(AE290:AH290)</f>
        <v>4.50247025</v>
      </c>
      <c r="AS290" s="35">
        <f>AVERAGE(AI290:AL290)</f>
        <v>5.8085489375000003</v>
      </c>
      <c r="AV290" s="27"/>
    </row>
    <row r="291" spans="2:48" x14ac:dyDescent="0.2">
      <c r="B291" s="2">
        <v>43478.755266203705</v>
      </c>
      <c r="C291" s="5">
        <f t="shared" si="34"/>
        <v>8.3333329999999997E-2</v>
      </c>
      <c r="D291" s="14">
        <v>4.3571280000000003</v>
      </c>
      <c r="E291" s="14">
        <v>4.2634670000000003</v>
      </c>
      <c r="F291" s="14">
        <v>3.8000940000000001</v>
      </c>
      <c r="G291" s="14">
        <v>2.3134969999999999</v>
      </c>
      <c r="H291" s="15">
        <v>3.7566350000000002</v>
      </c>
      <c r="I291" s="15">
        <v>3.2246450000000002</v>
      </c>
      <c r="J291" s="15">
        <v>9.070036</v>
      </c>
      <c r="K291" s="15">
        <v>3.3345319999999998</v>
      </c>
      <c r="L291" s="16">
        <v>2.9832429999999999</v>
      </c>
      <c r="M291" s="16">
        <v>4.9803800000000003</v>
      </c>
      <c r="N291" s="16">
        <v>6.5465</v>
      </c>
      <c r="O291" s="16">
        <v>3.6130930000000001</v>
      </c>
      <c r="P291" s="17">
        <v>6.405259</v>
      </c>
      <c r="Q291" s="17">
        <v>6.164714</v>
      </c>
      <c r="R291" s="17">
        <v>3.2955779999999999</v>
      </c>
      <c r="S291" s="17">
        <v>7.6783799999999998</v>
      </c>
      <c r="AP291" s="35"/>
      <c r="AQ291" s="35"/>
      <c r="AR291" s="35"/>
      <c r="AS291" s="35"/>
    </row>
    <row r="292" spans="2:48" x14ac:dyDescent="0.2">
      <c r="B292" s="2">
        <v>43478.758738425924</v>
      </c>
      <c r="C292" s="5">
        <f t="shared" si="34"/>
        <v>0.16666665999999999</v>
      </c>
      <c r="D292" s="14">
        <v>4.3571280000000003</v>
      </c>
      <c r="E292" s="14">
        <v>4.2656130000000001</v>
      </c>
      <c r="F292" s="14">
        <v>3.8000940000000001</v>
      </c>
      <c r="G292" s="14">
        <v>2.329018</v>
      </c>
      <c r="H292" s="15">
        <v>3.7566350000000002</v>
      </c>
      <c r="I292" s="15">
        <v>3.2268620000000001</v>
      </c>
      <c r="J292" s="15">
        <v>9.0897769999999998</v>
      </c>
      <c r="K292" s="15">
        <v>3.3638370000000002</v>
      </c>
      <c r="L292" s="16">
        <v>2.9832429999999999</v>
      </c>
      <c r="M292" s="16">
        <v>4.9803800000000003</v>
      </c>
      <c r="N292" s="16">
        <v>6.5465</v>
      </c>
      <c r="O292" s="16">
        <v>3.6130930000000001</v>
      </c>
      <c r="P292" s="17">
        <v>6.4215669999999996</v>
      </c>
      <c r="Q292" s="17">
        <v>6.164714</v>
      </c>
      <c r="R292" s="17">
        <v>3.3269259999999998</v>
      </c>
      <c r="S292" s="17">
        <v>7.6783799999999998</v>
      </c>
      <c r="AP292" s="35"/>
      <c r="AQ292" s="35"/>
      <c r="AR292" s="35"/>
      <c r="AS292" s="35"/>
    </row>
    <row r="293" spans="2:48" x14ac:dyDescent="0.2">
      <c r="B293" s="2">
        <v>43478.76221064815</v>
      </c>
      <c r="C293" s="5">
        <f t="shared" si="34"/>
        <v>0.24999999000000001</v>
      </c>
      <c r="D293" s="14">
        <v>4.3571280000000003</v>
      </c>
      <c r="E293" s="14">
        <v>4.2677589999999999</v>
      </c>
      <c r="F293" s="14">
        <v>3.8000940000000001</v>
      </c>
      <c r="G293" s="14">
        <v>2.3445640000000001</v>
      </c>
      <c r="H293" s="15">
        <v>3.7566350000000002</v>
      </c>
      <c r="I293" s="15">
        <v>3.2290800000000002</v>
      </c>
      <c r="J293" s="15">
        <v>9.1095179999999996</v>
      </c>
      <c r="K293" s="15">
        <v>3.3772060000000002</v>
      </c>
      <c r="L293" s="16">
        <v>2.9832429999999999</v>
      </c>
      <c r="M293" s="16">
        <v>4.9803800000000003</v>
      </c>
      <c r="N293" s="16">
        <v>6.5465</v>
      </c>
      <c r="O293" s="16">
        <v>3.6130930000000001</v>
      </c>
      <c r="P293" s="17">
        <v>6.437875</v>
      </c>
      <c r="Q293" s="17">
        <v>6.164714</v>
      </c>
      <c r="R293" s="17">
        <v>3.3583780000000001</v>
      </c>
      <c r="S293" s="17">
        <v>7.6783799999999998</v>
      </c>
      <c r="AP293" s="35"/>
      <c r="AQ293" s="35"/>
      <c r="AR293" s="35"/>
      <c r="AS293" s="35"/>
    </row>
    <row r="294" spans="2:48" x14ac:dyDescent="0.2">
      <c r="B294" s="2">
        <v>43478.765682870369</v>
      </c>
      <c r="C294" s="5">
        <f t="shared" si="34"/>
        <v>0.33333331999999999</v>
      </c>
      <c r="D294" s="14">
        <v>4.3571280000000003</v>
      </c>
      <c r="E294" s="14">
        <v>4.2699049999999996</v>
      </c>
      <c r="F294" s="14">
        <v>3.8000940000000001</v>
      </c>
      <c r="G294" s="14">
        <v>2.3600850000000002</v>
      </c>
      <c r="H294" s="15">
        <v>3.7566350000000002</v>
      </c>
      <c r="I294" s="15">
        <v>3.2312970000000001</v>
      </c>
      <c r="J294" s="15">
        <v>9.1292589999999993</v>
      </c>
      <c r="K294" s="15">
        <v>3.4057200000000001</v>
      </c>
      <c r="L294" s="16">
        <v>2.9832429999999999</v>
      </c>
      <c r="M294" s="16">
        <v>4.9803800000000003</v>
      </c>
      <c r="N294" s="16">
        <v>6.5465</v>
      </c>
      <c r="O294" s="16">
        <v>3.6130930000000001</v>
      </c>
      <c r="P294" s="17">
        <v>6.4541829999999996</v>
      </c>
      <c r="Q294" s="17">
        <v>6.164714</v>
      </c>
      <c r="R294" s="17">
        <v>3.3897780000000002</v>
      </c>
      <c r="S294" s="17">
        <v>7.6783799999999998</v>
      </c>
      <c r="AP294" s="35"/>
      <c r="AQ294" s="35"/>
      <c r="AR294" s="35"/>
      <c r="AS294" s="35"/>
    </row>
    <row r="295" spans="2:48" x14ac:dyDescent="0.2">
      <c r="B295" s="2">
        <v>43478.769155092596</v>
      </c>
      <c r="C295" s="5">
        <f t="shared" si="34"/>
        <v>0.41666664999999997</v>
      </c>
      <c r="D295" s="14">
        <v>4.3571280000000003</v>
      </c>
      <c r="E295" s="14">
        <v>4.2720500000000001</v>
      </c>
      <c r="F295" s="14">
        <v>3.8000940000000001</v>
      </c>
      <c r="G295" s="14">
        <v>2.3755809999999999</v>
      </c>
      <c r="H295" s="15">
        <v>3.7566350000000002</v>
      </c>
      <c r="I295" s="15">
        <v>3.233514</v>
      </c>
      <c r="J295" s="15">
        <v>9.1489999999999991</v>
      </c>
      <c r="K295" s="15">
        <v>3.4341879999999998</v>
      </c>
      <c r="L295" s="16">
        <v>2.9832429999999999</v>
      </c>
      <c r="M295" s="16">
        <v>4.9803800000000003</v>
      </c>
      <c r="N295" s="16">
        <v>6.5465</v>
      </c>
      <c r="O295" s="16">
        <v>3.6130930000000001</v>
      </c>
      <c r="P295" s="17">
        <v>6.4704899999999999</v>
      </c>
      <c r="Q295" s="17">
        <v>6.164714</v>
      </c>
      <c r="R295" s="17">
        <v>3.421125</v>
      </c>
      <c r="S295" s="17">
        <v>7.6783799999999998</v>
      </c>
      <c r="AP295" s="35"/>
      <c r="AQ295" s="35"/>
      <c r="AR295" s="35"/>
      <c r="AS295" s="35"/>
    </row>
    <row r="296" spans="2:48" x14ac:dyDescent="0.2">
      <c r="B296" s="2">
        <v>43478.772627314815</v>
      </c>
      <c r="C296" s="5">
        <f t="shared" si="34"/>
        <v>0.49999997999999996</v>
      </c>
      <c r="D296" s="14">
        <v>4.3571280000000003</v>
      </c>
      <c r="E296" s="14">
        <v>4.2741959999999999</v>
      </c>
      <c r="F296" s="14">
        <v>3.8000940000000001</v>
      </c>
      <c r="G296" s="14">
        <v>2.3911280000000001</v>
      </c>
      <c r="H296" s="15">
        <v>3.7566350000000002</v>
      </c>
      <c r="I296" s="15">
        <v>3.2357320000000001</v>
      </c>
      <c r="J296" s="15">
        <v>9.1687410000000007</v>
      </c>
      <c r="K296" s="15">
        <v>3.4626549999999998</v>
      </c>
      <c r="L296" s="16">
        <v>2.9832429999999999</v>
      </c>
      <c r="M296" s="16">
        <v>4.9819909999999998</v>
      </c>
      <c r="N296" s="16">
        <v>6.5465</v>
      </c>
      <c r="O296" s="16">
        <v>3.6130930000000001</v>
      </c>
      <c r="P296" s="17">
        <v>6.4867980000000003</v>
      </c>
      <c r="Q296" s="17">
        <v>6.164714</v>
      </c>
      <c r="R296" s="17">
        <v>3.4525250000000001</v>
      </c>
      <c r="S296" s="17">
        <v>7.6783799999999998</v>
      </c>
      <c r="AP296" s="35"/>
      <c r="AQ296" s="35"/>
      <c r="AR296" s="35"/>
      <c r="AS296" s="35"/>
    </row>
    <row r="297" spans="2:48" x14ac:dyDescent="0.2">
      <c r="B297" s="2">
        <v>43478.776099537034</v>
      </c>
      <c r="C297" s="5">
        <f t="shared" si="34"/>
        <v>0.58333330999999999</v>
      </c>
      <c r="D297" s="14">
        <v>4.3571280000000003</v>
      </c>
      <c r="E297" s="14">
        <v>4.2763419999999996</v>
      </c>
      <c r="F297" s="14">
        <v>3.8000940000000001</v>
      </c>
      <c r="G297" s="14">
        <v>2.4066230000000002</v>
      </c>
      <c r="H297" s="15">
        <v>3.7566350000000002</v>
      </c>
      <c r="I297" s="15">
        <v>3.237949</v>
      </c>
      <c r="J297" s="15">
        <v>9.1884820000000005</v>
      </c>
      <c r="K297" s="15">
        <v>3.474421</v>
      </c>
      <c r="L297" s="16">
        <v>2.9832429999999999</v>
      </c>
      <c r="M297" s="16">
        <v>4.9864259999999998</v>
      </c>
      <c r="N297" s="16">
        <v>6.5465</v>
      </c>
      <c r="O297" s="16">
        <v>3.6130930000000001</v>
      </c>
      <c r="P297" s="17">
        <v>6.5031059999999998</v>
      </c>
      <c r="Q297" s="17">
        <v>6.164714</v>
      </c>
      <c r="R297" s="17">
        <v>3.483924</v>
      </c>
      <c r="S297" s="17">
        <v>7.6783799999999998</v>
      </c>
      <c r="AP297" s="35"/>
      <c r="AQ297" s="35"/>
      <c r="AR297" s="35"/>
      <c r="AS297" s="35"/>
    </row>
    <row r="298" spans="2:48" x14ac:dyDescent="0.2">
      <c r="B298" s="2">
        <v>43478.77957175926</v>
      </c>
      <c r="C298" s="5">
        <f t="shared" si="34"/>
        <v>0.66666663999999998</v>
      </c>
      <c r="D298" s="14">
        <v>4.3571280000000003</v>
      </c>
      <c r="E298" s="14">
        <v>4.2784880000000003</v>
      </c>
      <c r="F298" s="14">
        <v>3.8000940000000001</v>
      </c>
      <c r="G298" s="14">
        <v>2.4221439999999999</v>
      </c>
      <c r="H298" s="15">
        <v>3.7566350000000002</v>
      </c>
      <c r="I298" s="15">
        <v>3.2401659999999999</v>
      </c>
      <c r="J298" s="15">
        <v>9.2082230000000003</v>
      </c>
      <c r="K298" s="15">
        <v>3.474421</v>
      </c>
      <c r="L298" s="16">
        <v>2.9832429999999999</v>
      </c>
      <c r="M298" s="16">
        <v>4.9908599999999996</v>
      </c>
      <c r="N298" s="16">
        <v>6.5465</v>
      </c>
      <c r="O298" s="16">
        <v>3.6130930000000001</v>
      </c>
      <c r="P298" s="17">
        <v>6.5194140000000003</v>
      </c>
      <c r="Q298" s="17">
        <v>6.164714</v>
      </c>
      <c r="R298" s="17">
        <v>3.5153240000000001</v>
      </c>
      <c r="S298" s="17">
        <v>7.6783799999999998</v>
      </c>
      <c r="AP298" s="35"/>
      <c r="AQ298" s="35"/>
      <c r="AR298" s="35"/>
      <c r="AS298" s="35"/>
    </row>
    <row r="299" spans="2:48" x14ac:dyDescent="0.2">
      <c r="B299" s="2">
        <v>43478.783043981479</v>
      </c>
      <c r="C299" s="5">
        <f t="shared" si="34"/>
        <v>0.74999996999999996</v>
      </c>
      <c r="D299" s="14">
        <v>4.3571280000000003</v>
      </c>
      <c r="E299" s="14">
        <v>4.2806329999999999</v>
      </c>
      <c r="F299" s="14">
        <v>3.8000940000000001</v>
      </c>
      <c r="G299" s="14">
        <v>2.4353630000000002</v>
      </c>
      <c r="H299" s="15">
        <v>3.7566350000000002</v>
      </c>
      <c r="I299" s="15">
        <v>3.2423829999999998</v>
      </c>
      <c r="J299" s="15">
        <v>9.2279640000000001</v>
      </c>
      <c r="K299" s="15">
        <v>3.474421</v>
      </c>
      <c r="L299" s="16">
        <v>2.9832429999999999</v>
      </c>
      <c r="M299" s="16">
        <v>4.9952949999999996</v>
      </c>
      <c r="N299" s="16">
        <v>6.5465</v>
      </c>
      <c r="O299" s="16">
        <v>3.6198790000000001</v>
      </c>
      <c r="P299" s="17">
        <v>6.5357219999999998</v>
      </c>
      <c r="Q299" s="17">
        <v>6.164714</v>
      </c>
      <c r="R299" s="17">
        <v>3.5467759999999999</v>
      </c>
      <c r="S299" s="17">
        <v>7.6783799999999998</v>
      </c>
      <c r="AP299" s="35"/>
      <c r="AQ299" s="35"/>
      <c r="AR299" s="35"/>
      <c r="AS299" s="35"/>
    </row>
    <row r="300" spans="2:48" x14ac:dyDescent="0.2">
      <c r="B300" s="2">
        <v>43478.786516203705</v>
      </c>
      <c r="C300" s="5">
        <f t="shared" si="34"/>
        <v>0.83333329999999994</v>
      </c>
      <c r="D300" s="14">
        <v>4.3571280000000003</v>
      </c>
      <c r="E300" s="14">
        <v>4.2827789999999997</v>
      </c>
      <c r="F300" s="14">
        <v>3.8000940000000001</v>
      </c>
      <c r="G300" s="14">
        <v>2.4353630000000002</v>
      </c>
      <c r="H300" s="15">
        <v>3.7566350000000002</v>
      </c>
      <c r="I300" s="15">
        <v>3.2446009999999998</v>
      </c>
      <c r="J300" s="15">
        <v>9.2477049999999998</v>
      </c>
      <c r="K300" s="15">
        <v>3.474421</v>
      </c>
      <c r="L300" s="16">
        <v>2.9832429999999999</v>
      </c>
      <c r="M300" s="16">
        <v>4.9997220000000002</v>
      </c>
      <c r="N300" s="16">
        <v>6.5465</v>
      </c>
      <c r="O300" s="16">
        <v>3.6281870000000001</v>
      </c>
      <c r="P300" s="17">
        <v>6.5520300000000002</v>
      </c>
      <c r="Q300" s="17">
        <v>6.164714</v>
      </c>
      <c r="R300" s="17">
        <v>3.5781239999999999</v>
      </c>
      <c r="S300" s="17">
        <v>7.6783799999999998</v>
      </c>
      <c r="AP300" s="35"/>
      <c r="AQ300" s="35"/>
      <c r="AR300" s="35"/>
      <c r="AS300" s="35"/>
    </row>
    <row r="301" spans="2:48" x14ac:dyDescent="0.2">
      <c r="B301" s="2">
        <v>43478.789988425924</v>
      </c>
      <c r="C301" s="5">
        <f t="shared" si="34"/>
        <v>0.91666662999999993</v>
      </c>
      <c r="D301" s="14">
        <v>4.3571280000000003</v>
      </c>
      <c r="E301" s="14">
        <v>4.2849250000000003</v>
      </c>
      <c r="F301" s="14">
        <v>3.8000940000000001</v>
      </c>
      <c r="G301" s="14">
        <v>2.4373879999999999</v>
      </c>
      <c r="H301" s="15">
        <v>3.7566350000000002</v>
      </c>
      <c r="I301" s="15">
        <v>3.2461449999999998</v>
      </c>
      <c r="J301" s="15">
        <v>9.2674470000000007</v>
      </c>
      <c r="K301" s="15">
        <v>3.474421</v>
      </c>
      <c r="L301" s="16">
        <v>2.9832429999999999</v>
      </c>
      <c r="M301" s="16">
        <v>5.0041640000000003</v>
      </c>
      <c r="N301" s="16">
        <v>6.5465</v>
      </c>
      <c r="O301" s="16">
        <v>3.6281870000000001</v>
      </c>
      <c r="P301" s="17">
        <v>6.5683369999999996</v>
      </c>
      <c r="Q301" s="17">
        <v>6.164714</v>
      </c>
      <c r="R301" s="17">
        <v>3.604552</v>
      </c>
      <c r="S301" s="17">
        <v>7.6783799999999998</v>
      </c>
      <c r="AP301" s="35"/>
      <c r="AQ301" s="35"/>
      <c r="AR301" s="35"/>
      <c r="AS301" s="35"/>
    </row>
    <row r="302" spans="2:48" x14ac:dyDescent="0.2">
      <c r="B302" s="2">
        <v>43478.79346064815</v>
      </c>
      <c r="C302" s="5">
        <f t="shared" si="34"/>
        <v>0.99999995999999991</v>
      </c>
      <c r="D302" s="14">
        <v>4.3571280000000003</v>
      </c>
      <c r="E302" s="14">
        <v>4.2870710000000001</v>
      </c>
      <c r="F302" s="14">
        <v>3.8000940000000001</v>
      </c>
      <c r="G302" s="14">
        <v>2.4397389999999999</v>
      </c>
      <c r="H302" s="15">
        <v>3.7566350000000002</v>
      </c>
      <c r="I302" s="15">
        <v>3.2461449999999998</v>
      </c>
      <c r="J302" s="15">
        <v>9.2871880000000004</v>
      </c>
      <c r="K302" s="15">
        <v>3.474421</v>
      </c>
      <c r="L302" s="16">
        <v>2.9832429999999999</v>
      </c>
      <c r="M302" s="16">
        <v>5.0085990000000002</v>
      </c>
      <c r="N302" s="16">
        <v>6.5465</v>
      </c>
      <c r="O302" s="16">
        <v>3.6281870000000001</v>
      </c>
      <c r="P302" s="17">
        <v>6.5846450000000001</v>
      </c>
      <c r="Q302" s="17">
        <v>6.164714</v>
      </c>
      <c r="R302" s="17">
        <v>3.604552</v>
      </c>
      <c r="S302" s="17">
        <v>7.6783799999999998</v>
      </c>
      <c r="V302" s="25">
        <v>1</v>
      </c>
      <c r="W302">
        <f>AVERAGE(D291:D302)</f>
        <v>4.3571280000000012</v>
      </c>
      <c r="X302">
        <f t="shared" ref="X302:AL302" si="38">AVERAGE(E291:E302)</f>
        <v>4.2752689999999998</v>
      </c>
      <c r="Y302">
        <f t="shared" si="38"/>
        <v>3.800094000000001</v>
      </c>
      <c r="Z302">
        <f t="shared" si="38"/>
        <v>2.3908744166666662</v>
      </c>
      <c r="AA302">
        <f t="shared" si="38"/>
        <v>3.7566350000000006</v>
      </c>
      <c r="AB302">
        <f t="shared" si="38"/>
        <v>3.23654325</v>
      </c>
      <c r="AC302">
        <f t="shared" si="38"/>
        <v>9.1786116666666668</v>
      </c>
      <c r="AD302">
        <f t="shared" si="38"/>
        <v>3.4353886666666664</v>
      </c>
      <c r="AE302">
        <f t="shared" si="38"/>
        <v>2.9832430000000003</v>
      </c>
      <c r="AF302">
        <f t="shared" si="38"/>
        <v>4.9890797499999993</v>
      </c>
      <c r="AG302">
        <f t="shared" si="38"/>
        <v>6.5464999999999991</v>
      </c>
      <c r="AH302">
        <f t="shared" si="38"/>
        <v>3.6174319999999991</v>
      </c>
      <c r="AI302">
        <f t="shared" si="38"/>
        <v>6.4949521666666667</v>
      </c>
      <c r="AJ302">
        <f t="shared" si="38"/>
        <v>6.1647140000000009</v>
      </c>
      <c r="AK302">
        <f t="shared" si="38"/>
        <v>3.4647968333333332</v>
      </c>
      <c r="AL302">
        <f t="shared" si="38"/>
        <v>7.6783800000000006</v>
      </c>
      <c r="AO302" s="25">
        <v>1</v>
      </c>
      <c r="AP302" s="35">
        <f>AVERAGE(W302:Z302)</f>
        <v>3.705841354166667</v>
      </c>
      <c r="AQ302" s="35">
        <f>AVERAGE(AA302:AD302)</f>
        <v>4.9017946458333341</v>
      </c>
      <c r="AR302" s="35">
        <f>AVERAGE(AE302:AH302)</f>
        <v>4.5340636874999998</v>
      </c>
      <c r="AS302" s="35">
        <f>AVERAGE(AI302:AL302)</f>
        <v>5.9507107500000007</v>
      </c>
    </row>
    <row r="303" spans="2:48" x14ac:dyDescent="0.2">
      <c r="B303" s="2">
        <v>43478.796932870369</v>
      </c>
      <c r="C303" s="5">
        <f t="shared" si="34"/>
        <v>1.0833332899999999</v>
      </c>
      <c r="D303" s="14">
        <v>4.3571280000000003</v>
      </c>
      <c r="E303" s="14">
        <v>4.2892169999999998</v>
      </c>
      <c r="F303" s="14">
        <v>3.8000940000000001</v>
      </c>
      <c r="G303" s="14">
        <v>2.4397389999999999</v>
      </c>
      <c r="H303" s="15">
        <v>3.7566350000000002</v>
      </c>
      <c r="I303" s="15">
        <v>3.2461449999999998</v>
      </c>
      <c r="J303" s="15">
        <v>9.3069290000000002</v>
      </c>
      <c r="K303" s="15">
        <v>3.474421</v>
      </c>
      <c r="L303" s="16">
        <v>2.9832429999999999</v>
      </c>
      <c r="M303" s="16">
        <v>5.0130330000000001</v>
      </c>
      <c r="N303" s="16">
        <v>6.5465</v>
      </c>
      <c r="O303" s="16">
        <v>3.6281870000000001</v>
      </c>
      <c r="P303" s="17">
        <v>6.6009529999999996</v>
      </c>
      <c r="Q303" s="17">
        <v>6.164714</v>
      </c>
      <c r="R303" s="17">
        <v>3.604552</v>
      </c>
      <c r="S303" s="17">
        <v>7.6783799999999998</v>
      </c>
      <c r="AP303" s="35"/>
      <c r="AQ303" s="35"/>
      <c r="AR303" s="35"/>
      <c r="AS303" s="35"/>
    </row>
    <row r="304" spans="2:48" x14ac:dyDescent="0.2">
      <c r="B304" s="2">
        <v>43478.800405092596</v>
      </c>
      <c r="C304" s="5">
        <f t="shared" si="34"/>
        <v>1.16666662</v>
      </c>
      <c r="D304" s="14">
        <v>4.3571280000000003</v>
      </c>
      <c r="E304" s="14">
        <v>4.2913620000000003</v>
      </c>
      <c r="F304" s="14">
        <v>3.8000940000000001</v>
      </c>
      <c r="G304" s="14">
        <v>2.4397389999999999</v>
      </c>
      <c r="H304" s="15">
        <v>3.7566350000000002</v>
      </c>
      <c r="I304" s="15">
        <v>3.2461449999999998</v>
      </c>
      <c r="J304" s="15">
        <v>9.32667</v>
      </c>
      <c r="K304" s="15">
        <v>3.474421</v>
      </c>
      <c r="L304" s="16">
        <v>2.9832429999999999</v>
      </c>
      <c r="M304" s="16">
        <v>5.017468</v>
      </c>
      <c r="N304" s="16">
        <v>6.5465</v>
      </c>
      <c r="O304" s="16">
        <v>3.6281870000000001</v>
      </c>
      <c r="P304" s="17">
        <v>6.6172610000000001</v>
      </c>
      <c r="Q304" s="17">
        <v>6.164714</v>
      </c>
      <c r="R304" s="17">
        <v>3.604552</v>
      </c>
      <c r="S304" s="17">
        <v>7.6783799999999998</v>
      </c>
      <c r="AP304" s="35"/>
      <c r="AQ304" s="35"/>
      <c r="AR304" s="35"/>
      <c r="AS304" s="35"/>
    </row>
    <row r="305" spans="2:45" x14ac:dyDescent="0.2">
      <c r="B305" s="2">
        <v>43478.803877314815</v>
      </c>
      <c r="C305" s="5">
        <f t="shared" si="34"/>
        <v>1.2499999500000001</v>
      </c>
      <c r="D305" s="14">
        <v>4.3571280000000003</v>
      </c>
      <c r="E305" s="14">
        <v>4.2935080000000001</v>
      </c>
      <c r="F305" s="14">
        <v>3.8000940000000001</v>
      </c>
      <c r="G305" s="14">
        <v>2.4397389999999999</v>
      </c>
      <c r="H305" s="15">
        <v>3.7566350000000002</v>
      </c>
      <c r="I305" s="15">
        <v>3.2461449999999998</v>
      </c>
      <c r="J305" s="15">
        <v>9.3464109999999998</v>
      </c>
      <c r="K305" s="15">
        <v>3.474421</v>
      </c>
      <c r="L305" s="16">
        <v>2.9832429999999999</v>
      </c>
      <c r="M305" s="16">
        <v>5.0218949999999998</v>
      </c>
      <c r="N305" s="16">
        <v>6.5465</v>
      </c>
      <c r="O305" s="16">
        <v>3.6281870000000001</v>
      </c>
      <c r="P305" s="17">
        <v>6.6335689999999996</v>
      </c>
      <c r="Q305" s="17">
        <v>6.164714</v>
      </c>
      <c r="R305" s="17">
        <v>3.604552</v>
      </c>
      <c r="S305" s="17">
        <v>7.6783799999999998</v>
      </c>
      <c r="AP305" s="35"/>
      <c r="AQ305" s="35"/>
      <c r="AR305" s="35"/>
      <c r="AS305" s="35"/>
    </row>
    <row r="306" spans="2:45" x14ac:dyDescent="0.2">
      <c r="B306" s="2">
        <v>43478.807349537034</v>
      </c>
      <c r="C306" s="5">
        <f t="shared" si="34"/>
        <v>1.3333332800000002</v>
      </c>
      <c r="D306" s="14">
        <v>4.3571280000000003</v>
      </c>
      <c r="E306" s="14">
        <v>4.2956539999999999</v>
      </c>
      <c r="F306" s="14">
        <v>3.8000940000000001</v>
      </c>
      <c r="G306" s="14">
        <v>2.4397389999999999</v>
      </c>
      <c r="H306" s="15">
        <v>3.7566350000000002</v>
      </c>
      <c r="I306" s="15">
        <v>3.2461449999999998</v>
      </c>
      <c r="J306" s="15">
        <v>9.3661519999999996</v>
      </c>
      <c r="K306" s="15">
        <v>3.474421</v>
      </c>
      <c r="L306" s="16">
        <v>2.9832429999999999</v>
      </c>
      <c r="M306" s="16">
        <v>5.0263369999999998</v>
      </c>
      <c r="N306" s="16">
        <v>6.5465</v>
      </c>
      <c r="O306" s="16">
        <v>3.6281870000000001</v>
      </c>
      <c r="P306" s="17">
        <v>6.649877</v>
      </c>
      <c r="Q306" s="17">
        <v>6.164714</v>
      </c>
      <c r="R306" s="17">
        <v>3.604552</v>
      </c>
      <c r="S306" s="17">
        <v>7.6783799999999998</v>
      </c>
      <c r="AP306" s="35"/>
      <c r="AQ306" s="35"/>
      <c r="AR306" s="35"/>
      <c r="AS306" s="35"/>
    </row>
    <row r="307" spans="2:45" x14ac:dyDescent="0.2">
      <c r="B307" s="2">
        <v>43478.81082175926</v>
      </c>
      <c r="C307" s="5">
        <f t="shared" si="34"/>
        <v>1.4166666100000003</v>
      </c>
      <c r="D307" s="14">
        <v>4.3571280000000003</v>
      </c>
      <c r="E307" s="14">
        <v>4.2977999999999996</v>
      </c>
      <c r="F307" s="14">
        <v>3.8000940000000001</v>
      </c>
      <c r="G307" s="14">
        <v>2.4397389999999999</v>
      </c>
      <c r="H307" s="15">
        <v>3.7566350000000002</v>
      </c>
      <c r="I307" s="15">
        <v>3.2461449999999998</v>
      </c>
      <c r="J307" s="15">
        <v>9.3858929999999994</v>
      </c>
      <c r="K307" s="15">
        <v>3.474421</v>
      </c>
      <c r="L307" s="16">
        <v>2.9832429999999999</v>
      </c>
      <c r="M307" s="16">
        <v>5.0307649999999997</v>
      </c>
      <c r="N307" s="16">
        <v>6.5465</v>
      </c>
      <c r="O307" s="16">
        <v>3.6281870000000001</v>
      </c>
      <c r="P307" s="17">
        <v>6.6661840000000003</v>
      </c>
      <c r="Q307" s="17">
        <v>6.164714</v>
      </c>
      <c r="R307" s="17">
        <v>3.604552</v>
      </c>
      <c r="S307" s="17">
        <v>7.6783799999999998</v>
      </c>
      <c r="AP307" s="35"/>
      <c r="AQ307" s="35"/>
      <c r="AR307" s="35"/>
      <c r="AS307" s="35"/>
    </row>
    <row r="308" spans="2:45" x14ac:dyDescent="0.2">
      <c r="B308" s="2">
        <v>43478.814293981479</v>
      </c>
      <c r="C308" s="5">
        <f t="shared" si="34"/>
        <v>1.4999999400000004</v>
      </c>
      <c r="D308" s="14">
        <v>4.3571280000000003</v>
      </c>
      <c r="E308" s="14">
        <v>4.2999450000000001</v>
      </c>
      <c r="F308" s="14">
        <v>3.8000940000000001</v>
      </c>
      <c r="G308" s="14">
        <v>2.4397389999999999</v>
      </c>
      <c r="H308" s="15">
        <v>3.7697620000000001</v>
      </c>
      <c r="I308" s="15">
        <v>3.2461449999999998</v>
      </c>
      <c r="J308" s="15">
        <v>9.4056339999999992</v>
      </c>
      <c r="K308" s="15">
        <v>3.474421</v>
      </c>
      <c r="L308" s="16">
        <v>2.9832429999999999</v>
      </c>
      <c r="M308" s="16">
        <v>5.0351990000000004</v>
      </c>
      <c r="N308" s="16">
        <v>6.5465</v>
      </c>
      <c r="O308" s="16">
        <v>3.6281870000000001</v>
      </c>
      <c r="P308" s="17">
        <v>6.6824919999999999</v>
      </c>
      <c r="Q308" s="17">
        <v>6.164714</v>
      </c>
      <c r="R308" s="17">
        <v>3.604552</v>
      </c>
      <c r="S308" s="17">
        <v>7.6783799999999998</v>
      </c>
      <c r="AP308" s="35"/>
      <c r="AQ308" s="35"/>
      <c r="AR308" s="35"/>
      <c r="AS308" s="35"/>
    </row>
    <row r="309" spans="2:45" x14ac:dyDescent="0.2">
      <c r="B309" s="2">
        <v>43478.817766203705</v>
      </c>
      <c r="C309" s="5">
        <f t="shared" si="34"/>
        <v>1.5833332700000005</v>
      </c>
      <c r="D309" s="14">
        <v>4.3571280000000003</v>
      </c>
      <c r="E309" s="14">
        <v>4.3020909999999999</v>
      </c>
      <c r="F309" s="14">
        <v>3.8000940000000001</v>
      </c>
      <c r="G309" s="14">
        <v>2.4397389999999999</v>
      </c>
      <c r="H309" s="15">
        <v>3.7908979999999999</v>
      </c>
      <c r="I309" s="15">
        <v>3.2461449999999998</v>
      </c>
      <c r="J309" s="15">
        <v>9.4253750000000007</v>
      </c>
      <c r="K309" s="15">
        <v>3.474421</v>
      </c>
      <c r="L309" s="16">
        <v>2.9832429999999999</v>
      </c>
      <c r="M309" s="16">
        <v>5.0396340000000004</v>
      </c>
      <c r="N309" s="16">
        <v>6.5465</v>
      </c>
      <c r="O309" s="16">
        <v>3.6281870000000001</v>
      </c>
      <c r="P309" s="17">
        <v>6.6988000000000003</v>
      </c>
      <c r="Q309" s="17">
        <v>6.164714</v>
      </c>
      <c r="R309" s="17">
        <v>3.604552</v>
      </c>
      <c r="S309" s="17">
        <v>7.6783799999999998</v>
      </c>
      <c r="AP309" s="35"/>
      <c r="AQ309" s="35"/>
      <c r="AR309" s="35"/>
      <c r="AS309" s="35"/>
    </row>
    <row r="310" spans="2:45" x14ac:dyDescent="0.2">
      <c r="B310" s="2">
        <v>43478.821238425924</v>
      </c>
      <c r="C310" s="5">
        <f t="shared" si="34"/>
        <v>1.6666666000000006</v>
      </c>
      <c r="D310" s="14">
        <v>4.3571280000000003</v>
      </c>
      <c r="E310" s="14">
        <v>4.3025060000000002</v>
      </c>
      <c r="F310" s="14">
        <v>3.8000940000000001</v>
      </c>
      <c r="G310" s="14">
        <v>2.4397389999999999</v>
      </c>
      <c r="H310" s="15">
        <v>3.8120699999999998</v>
      </c>
      <c r="I310" s="15">
        <v>3.2461449999999998</v>
      </c>
      <c r="J310" s="15">
        <v>9.4451160000000005</v>
      </c>
      <c r="K310" s="15">
        <v>3.474421</v>
      </c>
      <c r="L310" s="16">
        <v>2.9832429999999999</v>
      </c>
      <c r="M310" s="16">
        <v>5.0440750000000003</v>
      </c>
      <c r="N310" s="16">
        <v>6.5465</v>
      </c>
      <c r="O310" s="16">
        <v>3.6281870000000001</v>
      </c>
      <c r="P310" s="17">
        <v>6.7151079999999999</v>
      </c>
      <c r="Q310" s="17">
        <v>6.164714</v>
      </c>
      <c r="R310" s="17">
        <v>3.604552</v>
      </c>
      <c r="S310" s="17">
        <v>7.6783799999999998</v>
      </c>
      <c r="AP310" s="35"/>
      <c r="AQ310" s="35"/>
      <c r="AR310" s="35"/>
      <c r="AS310" s="35"/>
    </row>
    <row r="311" spans="2:45" x14ac:dyDescent="0.2">
      <c r="B311" s="2">
        <v>43478.82471064815</v>
      </c>
      <c r="C311" s="5">
        <f t="shared" si="34"/>
        <v>1.7499999300000006</v>
      </c>
      <c r="D311" s="14">
        <v>4.3571280000000003</v>
      </c>
      <c r="E311" s="14">
        <v>4.3025060000000002</v>
      </c>
      <c r="F311" s="14">
        <v>3.8000940000000001</v>
      </c>
      <c r="G311" s="14">
        <v>2.4397389999999999</v>
      </c>
      <c r="H311" s="15">
        <v>3.8332769999999998</v>
      </c>
      <c r="I311" s="15">
        <v>3.2461449999999998</v>
      </c>
      <c r="J311" s="15">
        <v>9.4648570000000003</v>
      </c>
      <c r="K311" s="15">
        <v>3.474421</v>
      </c>
      <c r="L311" s="16">
        <v>2.9832429999999999</v>
      </c>
      <c r="M311" s="16">
        <v>5.0485100000000003</v>
      </c>
      <c r="N311" s="16">
        <v>6.5465</v>
      </c>
      <c r="O311" s="16">
        <v>3.6281870000000001</v>
      </c>
      <c r="P311" s="17">
        <v>6.7314160000000003</v>
      </c>
      <c r="Q311" s="17">
        <v>6.164714</v>
      </c>
      <c r="R311" s="17">
        <v>3.604552</v>
      </c>
      <c r="S311" s="17">
        <v>7.6783799999999998</v>
      </c>
      <c r="AP311" s="35"/>
      <c r="AQ311" s="35"/>
      <c r="AR311" s="35"/>
      <c r="AS311" s="35"/>
    </row>
    <row r="312" spans="2:45" x14ac:dyDescent="0.2">
      <c r="B312" s="2">
        <v>43478.828182870369</v>
      </c>
      <c r="C312" s="5">
        <f t="shared" si="34"/>
        <v>1.8333332600000007</v>
      </c>
      <c r="D312" s="14">
        <v>4.3571280000000003</v>
      </c>
      <c r="E312" s="14">
        <v>4.302746</v>
      </c>
      <c r="F312" s="14">
        <v>3.8000940000000001</v>
      </c>
      <c r="G312" s="14">
        <v>2.4397389999999999</v>
      </c>
      <c r="H312" s="15">
        <v>3.8544130000000001</v>
      </c>
      <c r="I312" s="15">
        <v>3.2461449999999998</v>
      </c>
      <c r="J312" s="15">
        <v>9.4845980000000001</v>
      </c>
      <c r="K312" s="15">
        <v>3.474421</v>
      </c>
      <c r="L312" s="16">
        <v>2.9832429999999999</v>
      </c>
      <c r="M312" s="16">
        <v>5.0529450000000002</v>
      </c>
      <c r="N312" s="16">
        <v>6.5465</v>
      </c>
      <c r="O312" s="16">
        <v>3.6281870000000001</v>
      </c>
      <c r="P312" s="17">
        <v>6.7378850000000003</v>
      </c>
      <c r="Q312" s="17">
        <v>6.164714</v>
      </c>
      <c r="R312" s="17">
        <v>3.604552</v>
      </c>
      <c r="S312" s="17">
        <v>7.6783799999999998</v>
      </c>
      <c r="AP312" s="35"/>
      <c r="AQ312" s="35"/>
      <c r="AR312" s="35"/>
      <c r="AS312" s="35"/>
    </row>
    <row r="313" spans="2:45" x14ac:dyDescent="0.2">
      <c r="B313" s="2">
        <v>43478.831655092596</v>
      </c>
      <c r="C313" s="5">
        <f t="shared" si="34"/>
        <v>1.9166665900000008</v>
      </c>
      <c r="D313" s="14">
        <v>4.3571280000000003</v>
      </c>
      <c r="E313" s="14">
        <v>4.3047490000000002</v>
      </c>
      <c r="F313" s="14">
        <v>3.8000940000000001</v>
      </c>
      <c r="G313" s="14">
        <v>2.4397389999999999</v>
      </c>
      <c r="H313" s="15">
        <v>3.8755839999999999</v>
      </c>
      <c r="I313" s="15">
        <v>3.2461449999999998</v>
      </c>
      <c r="J313" s="15">
        <v>9.5043389999999999</v>
      </c>
      <c r="K313" s="15">
        <v>3.474421</v>
      </c>
      <c r="L313" s="16">
        <v>2.9832429999999999</v>
      </c>
      <c r="M313" s="16">
        <v>5.057372</v>
      </c>
      <c r="N313" s="16">
        <v>6.5465</v>
      </c>
      <c r="O313" s="16">
        <v>3.6281870000000001</v>
      </c>
      <c r="P313" s="17">
        <v>6.7496739999999997</v>
      </c>
      <c r="Q313" s="17">
        <v>6.164714</v>
      </c>
      <c r="R313" s="17">
        <v>3.604552</v>
      </c>
      <c r="S313" s="17">
        <v>7.6783799999999998</v>
      </c>
      <c r="AP313" s="35"/>
      <c r="AQ313" s="35"/>
      <c r="AR313" s="35"/>
      <c r="AS313" s="35"/>
    </row>
    <row r="314" spans="2:45" x14ac:dyDescent="0.2">
      <c r="B314" s="2">
        <v>43478.835127314815</v>
      </c>
      <c r="C314" s="5">
        <f t="shared" si="34"/>
        <v>1.9999999200000009</v>
      </c>
      <c r="D314" s="14">
        <v>4.3571280000000003</v>
      </c>
      <c r="E314" s="14">
        <v>4.3067520000000004</v>
      </c>
      <c r="F314" s="14">
        <v>3.8000940000000001</v>
      </c>
      <c r="G314" s="14">
        <v>2.4397389999999999</v>
      </c>
      <c r="H314" s="15">
        <v>3.8967909999999999</v>
      </c>
      <c r="I314" s="15">
        <v>3.2461449999999998</v>
      </c>
      <c r="J314" s="15">
        <v>9.5240799999999997</v>
      </c>
      <c r="K314" s="15">
        <v>3.474421</v>
      </c>
      <c r="L314" s="16">
        <v>2.9832429999999999</v>
      </c>
      <c r="M314" s="16">
        <v>5.0618069999999999</v>
      </c>
      <c r="N314" s="16">
        <v>6.5465</v>
      </c>
      <c r="O314" s="16">
        <v>3.6281870000000001</v>
      </c>
      <c r="P314" s="17">
        <v>6.7661249999999997</v>
      </c>
      <c r="Q314" s="17">
        <v>6.164714</v>
      </c>
      <c r="R314" s="17">
        <v>3.604552</v>
      </c>
      <c r="S314" s="17">
        <v>7.6783799999999998</v>
      </c>
      <c r="V314" s="25">
        <v>2</v>
      </c>
      <c r="W314">
        <f>AVERAGE(D303:D314)</f>
        <v>4.3571280000000012</v>
      </c>
      <c r="X314">
        <f t="shared" ref="X314:AL314" si="39">AVERAGE(E303:E314)</f>
        <v>4.299069666666667</v>
      </c>
      <c r="Y314">
        <f t="shared" si="39"/>
        <v>3.800094000000001</v>
      </c>
      <c r="Z314">
        <f t="shared" si="39"/>
        <v>2.4397389999999999</v>
      </c>
      <c r="AA314">
        <f t="shared" si="39"/>
        <v>3.8013308333333331</v>
      </c>
      <c r="AB314">
        <f t="shared" si="39"/>
        <v>3.2461449999999989</v>
      </c>
      <c r="AC314">
        <f t="shared" si="39"/>
        <v>9.4155044999999991</v>
      </c>
      <c r="AD314">
        <f t="shared" si="39"/>
        <v>3.474421</v>
      </c>
      <c r="AE314">
        <f t="shared" si="39"/>
        <v>2.9832430000000003</v>
      </c>
      <c r="AF314">
        <f t="shared" si="39"/>
        <v>5.03742</v>
      </c>
      <c r="AG314">
        <f t="shared" si="39"/>
        <v>6.5464999999999991</v>
      </c>
      <c r="AH314">
        <f t="shared" si="39"/>
        <v>3.6281869999999992</v>
      </c>
      <c r="AI314">
        <f t="shared" si="39"/>
        <v>6.6874453333333337</v>
      </c>
      <c r="AJ314">
        <f t="shared" si="39"/>
        <v>6.1647140000000009</v>
      </c>
      <c r="AK314">
        <f t="shared" si="39"/>
        <v>3.6045519999999986</v>
      </c>
      <c r="AL314">
        <f t="shared" si="39"/>
        <v>7.6783800000000006</v>
      </c>
      <c r="AO314" s="25">
        <v>2</v>
      </c>
      <c r="AP314" s="35">
        <f>AVERAGE(W314:Z314)</f>
        <v>3.724007666666667</v>
      </c>
      <c r="AQ314" s="35">
        <f>AVERAGE(AA314:AD314)</f>
        <v>4.9843503333333326</v>
      </c>
      <c r="AR314" s="35">
        <f>AVERAGE(AE314:AH314)</f>
        <v>4.5488375000000003</v>
      </c>
      <c r="AS314" s="35">
        <f>AVERAGE(AI314:AL314)</f>
        <v>6.0337728333333338</v>
      </c>
    </row>
    <row r="315" spans="2:45" x14ac:dyDescent="0.2">
      <c r="B315" s="2">
        <v>43478.838599537034</v>
      </c>
      <c r="C315" s="5">
        <f t="shared" si="34"/>
        <v>2.0833332500000008</v>
      </c>
      <c r="D315" s="14">
        <v>4.3571280000000003</v>
      </c>
      <c r="E315" s="14">
        <v>4.3087540000000004</v>
      </c>
      <c r="F315" s="14">
        <v>3.8000940000000001</v>
      </c>
      <c r="G315" s="14">
        <v>2.4397389999999999</v>
      </c>
      <c r="H315" s="15">
        <v>3.9179279999999999</v>
      </c>
      <c r="I315" s="15">
        <v>3.2461449999999998</v>
      </c>
      <c r="J315" s="15">
        <v>9.5438209999999994</v>
      </c>
      <c r="K315" s="15">
        <v>3.474421</v>
      </c>
      <c r="L315" s="16">
        <v>2.9832429999999999</v>
      </c>
      <c r="M315" s="16">
        <v>5.0662409999999998</v>
      </c>
      <c r="N315" s="16">
        <v>6.5465</v>
      </c>
      <c r="O315" s="16">
        <v>3.6281870000000001</v>
      </c>
      <c r="P315" s="17">
        <v>6.7825759999999997</v>
      </c>
      <c r="Q315" s="17">
        <v>6.164714</v>
      </c>
      <c r="R315" s="17">
        <v>3.604552</v>
      </c>
      <c r="S315" s="17">
        <v>7.6783799999999998</v>
      </c>
      <c r="AP315" s="35"/>
      <c r="AQ315" s="35"/>
      <c r="AR315" s="35"/>
      <c r="AS315" s="35"/>
    </row>
    <row r="316" spans="2:45" x14ac:dyDescent="0.2">
      <c r="B316" s="2">
        <v>43478.84207175926</v>
      </c>
      <c r="C316" s="5">
        <f t="shared" si="34"/>
        <v>2.1666665800000007</v>
      </c>
      <c r="D316" s="14">
        <v>4.3571280000000003</v>
      </c>
      <c r="E316" s="14">
        <v>4.3107569999999997</v>
      </c>
      <c r="F316" s="14">
        <v>3.8000940000000001</v>
      </c>
      <c r="G316" s="14">
        <v>2.4397389999999999</v>
      </c>
      <c r="H316" s="15">
        <v>3.9390990000000001</v>
      </c>
      <c r="I316" s="15">
        <v>3.2461449999999998</v>
      </c>
      <c r="J316" s="15">
        <v>9.5635619999999992</v>
      </c>
      <c r="K316" s="15">
        <v>3.474421</v>
      </c>
      <c r="L316" s="16">
        <v>2.9832429999999999</v>
      </c>
      <c r="M316" s="16">
        <v>5.0706759999999997</v>
      </c>
      <c r="N316" s="16">
        <v>6.5465</v>
      </c>
      <c r="O316" s="16">
        <v>3.6281870000000001</v>
      </c>
      <c r="P316" s="17">
        <v>6.7990269999999997</v>
      </c>
      <c r="Q316" s="17">
        <v>6.164714</v>
      </c>
      <c r="R316" s="17">
        <v>3.604552</v>
      </c>
      <c r="S316" s="17">
        <v>7.6783799999999998</v>
      </c>
      <c r="AP316" s="35"/>
      <c r="AQ316" s="35"/>
      <c r="AR316" s="35"/>
      <c r="AS316" s="35"/>
    </row>
    <row r="317" spans="2:45" x14ac:dyDescent="0.2">
      <c r="B317" s="2">
        <v>43478.845543981479</v>
      </c>
      <c r="C317" s="5">
        <f t="shared" si="34"/>
        <v>2.2499999100000005</v>
      </c>
      <c r="D317" s="14">
        <v>4.3571280000000003</v>
      </c>
      <c r="E317" s="14">
        <v>4.3127599999999999</v>
      </c>
      <c r="F317" s="14">
        <v>3.8000940000000001</v>
      </c>
      <c r="G317" s="14">
        <v>2.4397389999999999</v>
      </c>
      <c r="H317" s="15">
        <v>3.9602710000000001</v>
      </c>
      <c r="I317" s="15">
        <v>3.2461449999999998</v>
      </c>
      <c r="J317" s="15">
        <v>9.5833030000000008</v>
      </c>
      <c r="K317" s="15">
        <v>3.474421</v>
      </c>
      <c r="L317" s="16">
        <v>2.9832429999999999</v>
      </c>
      <c r="M317" s="16">
        <v>5.0751179999999998</v>
      </c>
      <c r="N317" s="16">
        <v>6.5465</v>
      </c>
      <c r="O317" s="16">
        <v>3.6281870000000001</v>
      </c>
      <c r="P317" s="17">
        <v>6.8154779999999997</v>
      </c>
      <c r="Q317" s="17">
        <v>6.164714</v>
      </c>
      <c r="R317" s="17">
        <v>3.604552</v>
      </c>
      <c r="S317" s="17">
        <v>7.6783799999999998</v>
      </c>
      <c r="AP317" s="35"/>
      <c r="AQ317" s="35"/>
      <c r="AR317" s="35"/>
      <c r="AS317" s="35"/>
    </row>
    <row r="318" spans="2:45" x14ac:dyDescent="0.2">
      <c r="B318" s="2">
        <v>43478.849016203705</v>
      </c>
      <c r="C318" s="5">
        <f t="shared" si="34"/>
        <v>2.3333332400000004</v>
      </c>
      <c r="D318" s="14">
        <v>4.3571280000000003</v>
      </c>
      <c r="E318" s="14">
        <v>4.3147630000000001</v>
      </c>
      <c r="F318" s="14">
        <v>3.8000940000000001</v>
      </c>
      <c r="G318" s="14">
        <v>2.4397389999999999</v>
      </c>
      <c r="H318" s="15">
        <v>3.9814419999999999</v>
      </c>
      <c r="I318" s="15">
        <v>3.2461449999999998</v>
      </c>
      <c r="J318" s="15">
        <v>9.6030449999999998</v>
      </c>
      <c r="K318" s="15">
        <v>3.474421</v>
      </c>
      <c r="L318" s="16">
        <v>2.9832429999999999</v>
      </c>
      <c r="M318" s="16">
        <v>5.0792120000000001</v>
      </c>
      <c r="N318" s="16">
        <v>6.5465</v>
      </c>
      <c r="O318" s="16">
        <v>3.6281870000000001</v>
      </c>
      <c r="P318" s="17">
        <v>6.8319289999999997</v>
      </c>
      <c r="Q318" s="17">
        <v>6.164714</v>
      </c>
      <c r="R318" s="17">
        <v>3.604552</v>
      </c>
      <c r="S318" s="17">
        <v>7.6783799999999998</v>
      </c>
      <c r="AP318" s="35"/>
      <c r="AQ318" s="35"/>
      <c r="AR318" s="35"/>
      <c r="AS318" s="35"/>
    </row>
    <row r="319" spans="2:45" x14ac:dyDescent="0.2">
      <c r="B319" s="2">
        <v>43478.852488425924</v>
      </c>
      <c r="C319" s="5">
        <f t="shared" si="34"/>
        <v>2.4166665700000003</v>
      </c>
      <c r="D319" s="14">
        <v>4.3571280000000003</v>
      </c>
      <c r="E319" s="14">
        <v>4.3167650000000002</v>
      </c>
      <c r="F319" s="14">
        <v>3.8000940000000001</v>
      </c>
      <c r="G319" s="14">
        <v>2.4397389999999999</v>
      </c>
      <c r="H319" s="15">
        <v>4.0026489999999999</v>
      </c>
      <c r="I319" s="15">
        <v>3.2461449999999998</v>
      </c>
      <c r="J319" s="15">
        <v>9.6227859999999996</v>
      </c>
      <c r="K319" s="15">
        <v>3.474421</v>
      </c>
      <c r="L319" s="16">
        <v>2.9832429999999999</v>
      </c>
      <c r="M319" s="16">
        <v>5.0792120000000001</v>
      </c>
      <c r="N319" s="16">
        <v>6.5465</v>
      </c>
      <c r="O319" s="16">
        <v>3.6281870000000001</v>
      </c>
      <c r="P319" s="17">
        <v>6.8483799999999997</v>
      </c>
      <c r="Q319" s="17">
        <v>6.164714</v>
      </c>
      <c r="R319" s="17">
        <v>3.604552</v>
      </c>
      <c r="S319" s="17">
        <v>7.6783799999999998</v>
      </c>
      <c r="AP319" s="35"/>
      <c r="AQ319" s="35"/>
      <c r="AR319" s="35"/>
      <c r="AS319" s="35"/>
    </row>
    <row r="320" spans="2:45" x14ac:dyDescent="0.2">
      <c r="B320" s="2">
        <v>43478.85596064815</v>
      </c>
      <c r="C320" s="5">
        <f t="shared" si="34"/>
        <v>2.4999999000000002</v>
      </c>
      <c r="D320" s="14">
        <v>4.3571280000000003</v>
      </c>
      <c r="E320" s="14">
        <v>4.3187680000000004</v>
      </c>
      <c r="F320" s="14">
        <v>3.8000940000000001</v>
      </c>
      <c r="G320" s="14">
        <v>2.4397389999999999</v>
      </c>
      <c r="H320" s="15">
        <v>4.0238209999999999</v>
      </c>
      <c r="I320" s="15">
        <v>3.2461449999999998</v>
      </c>
      <c r="J320" s="15">
        <v>9.6373940000000005</v>
      </c>
      <c r="K320" s="15">
        <v>3.474421</v>
      </c>
      <c r="L320" s="16">
        <v>2.9832429999999999</v>
      </c>
      <c r="M320" s="16">
        <v>5.0792120000000001</v>
      </c>
      <c r="N320" s="16">
        <v>6.5465</v>
      </c>
      <c r="O320" s="16">
        <v>3.6281870000000001</v>
      </c>
      <c r="P320" s="17">
        <v>6.8648300000000004</v>
      </c>
      <c r="Q320" s="17">
        <v>6.164714</v>
      </c>
      <c r="R320" s="17">
        <v>3.604552</v>
      </c>
      <c r="S320" s="17">
        <v>7.6783799999999998</v>
      </c>
      <c r="AP320" s="35"/>
      <c r="AQ320" s="35"/>
      <c r="AR320" s="35"/>
      <c r="AS320" s="35"/>
    </row>
    <row r="321" spans="2:45" x14ac:dyDescent="0.2">
      <c r="B321" s="2">
        <v>43478.859432870369</v>
      </c>
      <c r="C321" s="5">
        <f t="shared" si="34"/>
        <v>2.58333323</v>
      </c>
      <c r="D321" s="14">
        <v>4.3571280000000003</v>
      </c>
      <c r="E321" s="14">
        <v>4.3207709999999997</v>
      </c>
      <c r="F321" s="14">
        <v>3.8000940000000001</v>
      </c>
      <c r="G321" s="14">
        <v>2.4397389999999999</v>
      </c>
      <c r="H321" s="15">
        <v>4.0449570000000001</v>
      </c>
      <c r="I321" s="15">
        <v>3.2461449999999998</v>
      </c>
      <c r="J321" s="15">
        <v>9.6373940000000005</v>
      </c>
      <c r="K321" s="15">
        <v>3.474421</v>
      </c>
      <c r="L321" s="16">
        <v>2.9832429999999999</v>
      </c>
      <c r="M321" s="16">
        <v>5.0792120000000001</v>
      </c>
      <c r="N321" s="16">
        <v>6.5465</v>
      </c>
      <c r="O321" s="16">
        <v>3.6281870000000001</v>
      </c>
      <c r="P321" s="17">
        <v>6.8812810000000004</v>
      </c>
      <c r="Q321" s="17">
        <v>6.164714</v>
      </c>
      <c r="R321" s="17">
        <v>3.604552</v>
      </c>
      <c r="S321" s="17">
        <v>7.6783799999999998</v>
      </c>
      <c r="AP321" s="35"/>
      <c r="AQ321" s="35"/>
      <c r="AR321" s="35"/>
      <c r="AS321" s="35"/>
    </row>
    <row r="322" spans="2:45" x14ac:dyDescent="0.2">
      <c r="B322" s="2">
        <v>43478.862905092596</v>
      </c>
      <c r="C322" s="5">
        <f t="shared" si="34"/>
        <v>2.6666665599999999</v>
      </c>
      <c r="D322" s="14">
        <v>4.3571280000000003</v>
      </c>
      <c r="E322" s="14">
        <v>4.3227729999999998</v>
      </c>
      <c r="F322" s="14">
        <v>3.8000940000000001</v>
      </c>
      <c r="G322" s="14">
        <v>2.4397389999999999</v>
      </c>
      <c r="H322" s="15">
        <v>4.0661290000000001</v>
      </c>
      <c r="I322" s="15">
        <v>3.247271</v>
      </c>
      <c r="J322" s="15">
        <v>9.6373940000000005</v>
      </c>
      <c r="K322" s="15">
        <v>3.474421</v>
      </c>
      <c r="L322" s="16">
        <v>2.9832429999999999</v>
      </c>
      <c r="M322" s="16">
        <v>5.0792120000000001</v>
      </c>
      <c r="N322" s="16">
        <v>6.5465</v>
      </c>
      <c r="O322" s="16">
        <v>3.6281870000000001</v>
      </c>
      <c r="P322" s="17">
        <v>6.8977320000000004</v>
      </c>
      <c r="Q322" s="17">
        <v>6.164714</v>
      </c>
      <c r="R322" s="17">
        <v>3.604552</v>
      </c>
      <c r="S322" s="17">
        <v>7.6783799999999998</v>
      </c>
      <c r="AP322" s="35"/>
      <c r="AQ322" s="35"/>
      <c r="AR322" s="35"/>
      <c r="AS322" s="35"/>
    </row>
    <row r="323" spans="2:45" x14ac:dyDescent="0.2">
      <c r="B323" s="2">
        <v>43478.866377314815</v>
      </c>
      <c r="C323" s="5">
        <f t="shared" si="34"/>
        <v>2.7499998899999998</v>
      </c>
      <c r="D323" s="14">
        <v>4.3571280000000003</v>
      </c>
      <c r="E323" s="14">
        <v>4.324776</v>
      </c>
      <c r="F323" s="14">
        <v>3.8000940000000001</v>
      </c>
      <c r="G323" s="14">
        <v>2.4397389999999999</v>
      </c>
      <c r="H323" s="15">
        <v>4.0872999999999999</v>
      </c>
      <c r="I323" s="15">
        <v>3.2487010000000001</v>
      </c>
      <c r="J323" s="15">
        <v>9.6373940000000005</v>
      </c>
      <c r="K323" s="15">
        <v>3.474421</v>
      </c>
      <c r="L323" s="16">
        <v>2.9832429999999999</v>
      </c>
      <c r="M323" s="16">
        <v>5.0792120000000001</v>
      </c>
      <c r="N323" s="16">
        <v>6.5465</v>
      </c>
      <c r="O323" s="16">
        <v>3.6281870000000001</v>
      </c>
      <c r="P323" s="17">
        <v>6.9141830000000004</v>
      </c>
      <c r="Q323" s="17">
        <v>6.164714</v>
      </c>
      <c r="R323" s="17">
        <v>3.604552</v>
      </c>
      <c r="S323" s="17">
        <v>7.6783799999999998</v>
      </c>
      <c r="AP323" s="35"/>
      <c r="AQ323" s="35"/>
      <c r="AR323" s="35"/>
      <c r="AS323" s="35"/>
    </row>
    <row r="324" spans="2:45" x14ac:dyDescent="0.2">
      <c r="B324" s="2">
        <v>43478.869849537034</v>
      </c>
      <c r="C324" s="5">
        <f t="shared" ref="C324:C387" si="40">C323+0.08333333</f>
        <v>2.8333332199999997</v>
      </c>
      <c r="D324" s="14">
        <v>4.3572040000000003</v>
      </c>
      <c r="E324" s="14">
        <v>4.3267790000000002</v>
      </c>
      <c r="F324" s="14">
        <v>3.8000940000000001</v>
      </c>
      <c r="G324" s="14">
        <v>2.4397389999999999</v>
      </c>
      <c r="H324" s="15">
        <v>4.0950980000000001</v>
      </c>
      <c r="I324" s="15">
        <v>3.2501319999999998</v>
      </c>
      <c r="J324" s="15">
        <v>9.6373940000000005</v>
      </c>
      <c r="K324" s="15">
        <v>3.474421</v>
      </c>
      <c r="L324" s="16">
        <v>2.9832429999999999</v>
      </c>
      <c r="M324" s="16">
        <v>5.0792120000000001</v>
      </c>
      <c r="N324" s="16">
        <v>6.5465</v>
      </c>
      <c r="O324" s="16">
        <v>3.6281870000000001</v>
      </c>
      <c r="P324" s="17">
        <v>6.9306340000000004</v>
      </c>
      <c r="Q324" s="17">
        <v>6.164714</v>
      </c>
      <c r="R324" s="17">
        <v>3.604552</v>
      </c>
      <c r="S324" s="17">
        <v>7.6783799999999998</v>
      </c>
      <c r="AP324" s="35"/>
      <c r="AQ324" s="35"/>
      <c r="AR324" s="35"/>
      <c r="AS324" s="35"/>
    </row>
    <row r="325" spans="2:45" x14ac:dyDescent="0.2">
      <c r="B325" s="2">
        <v>43478.87332175926</v>
      </c>
      <c r="C325" s="5">
        <f t="shared" si="40"/>
        <v>2.9166665499999995</v>
      </c>
      <c r="D325" s="14">
        <v>4.3573469999999999</v>
      </c>
      <c r="E325" s="14">
        <v>4.3287820000000004</v>
      </c>
      <c r="F325" s="14">
        <v>3.8000940000000001</v>
      </c>
      <c r="G325" s="14">
        <v>2.4397389999999999</v>
      </c>
      <c r="H325" s="15">
        <v>4.1102869999999996</v>
      </c>
      <c r="I325" s="15">
        <v>3.2515619999999998</v>
      </c>
      <c r="J325" s="15">
        <v>9.6373940000000005</v>
      </c>
      <c r="K325" s="15">
        <v>3.474421</v>
      </c>
      <c r="L325" s="16">
        <v>2.9832429999999999</v>
      </c>
      <c r="M325" s="16">
        <v>5.0792120000000001</v>
      </c>
      <c r="N325" s="16">
        <v>6.5465</v>
      </c>
      <c r="O325" s="16">
        <v>3.6281870000000001</v>
      </c>
      <c r="P325" s="17">
        <v>6.9470850000000004</v>
      </c>
      <c r="Q325" s="17">
        <v>6.164714</v>
      </c>
      <c r="R325" s="17">
        <v>3.604552</v>
      </c>
      <c r="S325" s="17">
        <v>7.6783799999999998</v>
      </c>
      <c r="AP325" s="35"/>
      <c r="AQ325" s="35"/>
      <c r="AR325" s="35"/>
      <c r="AS325" s="35"/>
    </row>
    <row r="326" spans="2:45" x14ac:dyDescent="0.2">
      <c r="B326" s="2">
        <v>43478.876793981479</v>
      </c>
      <c r="C326" s="5">
        <f t="shared" si="40"/>
        <v>2.9999998799999994</v>
      </c>
      <c r="D326" s="14">
        <v>4.3574900000000003</v>
      </c>
      <c r="E326" s="14">
        <v>4.3307840000000004</v>
      </c>
      <c r="F326" s="14">
        <v>3.8000940000000001</v>
      </c>
      <c r="G326" s="14">
        <v>2.4397389999999999</v>
      </c>
      <c r="H326" s="15">
        <v>4.1298849999999998</v>
      </c>
      <c r="I326" s="15">
        <v>3.252993</v>
      </c>
      <c r="J326" s="15">
        <v>9.6373940000000005</v>
      </c>
      <c r="K326" s="15">
        <v>3.474421</v>
      </c>
      <c r="L326" s="16">
        <v>2.9832429999999999</v>
      </c>
      <c r="M326" s="16">
        <v>5.0792120000000001</v>
      </c>
      <c r="N326" s="16">
        <v>6.5465</v>
      </c>
      <c r="O326" s="16">
        <v>3.6281870000000001</v>
      </c>
      <c r="P326" s="17">
        <v>6.9635360000000004</v>
      </c>
      <c r="Q326" s="17">
        <v>6.164714</v>
      </c>
      <c r="R326" s="17">
        <v>3.604552</v>
      </c>
      <c r="S326" s="17">
        <v>7.6783799999999998</v>
      </c>
      <c r="V326" s="25">
        <v>3</v>
      </c>
      <c r="W326">
        <f>AVERAGE(D315:D326)</f>
        <v>4.3571827500000007</v>
      </c>
      <c r="X326">
        <f t="shared" ref="X326:AL326" si="41">AVERAGE(E315:E326)</f>
        <v>4.3197693333333342</v>
      </c>
      <c r="Y326">
        <f t="shared" si="41"/>
        <v>3.800094000000001</v>
      </c>
      <c r="Z326">
        <f t="shared" si="41"/>
        <v>2.4397389999999999</v>
      </c>
      <c r="AA326">
        <f t="shared" si="41"/>
        <v>4.0299054999999999</v>
      </c>
      <c r="AB326">
        <f t="shared" si="41"/>
        <v>3.2478061666666669</v>
      </c>
      <c r="AC326">
        <f t="shared" si="41"/>
        <v>9.6148562500000008</v>
      </c>
      <c r="AD326">
        <f t="shared" si="41"/>
        <v>3.474421</v>
      </c>
      <c r="AE326">
        <f t="shared" si="41"/>
        <v>2.9832430000000003</v>
      </c>
      <c r="AF326">
        <f t="shared" si="41"/>
        <v>5.0770785833333321</v>
      </c>
      <c r="AG326">
        <f t="shared" si="41"/>
        <v>6.5464999999999991</v>
      </c>
      <c r="AH326">
        <f t="shared" si="41"/>
        <v>3.6281869999999992</v>
      </c>
      <c r="AI326">
        <f t="shared" si="41"/>
        <v>6.8730559166666678</v>
      </c>
      <c r="AJ326">
        <f t="shared" si="41"/>
        <v>6.1647140000000009</v>
      </c>
      <c r="AK326">
        <f t="shared" si="41"/>
        <v>3.6045519999999986</v>
      </c>
      <c r="AL326">
        <f t="shared" si="41"/>
        <v>7.6783800000000006</v>
      </c>
      <c r="AO326" s="25">
        <v>3</v>
      </c>
      <c r="AP326" s="35">
        <f>AVERAGE(W326:Z326)</f>
        <v>3.7291962708333339</v>
      </c>
      <c r="AQ326" s="35">
        <f>AVERAGE(AA326:AD326)</f>
        <v>5.0917472291666668</v>
      </c>
      <c r="AR326" s="35">
        <f>AVERAGE(AE326:AH326)</f>
        <v>4.5587521458333331</v>
      </c>
      <c r="AS326" s="35">
        <f>AVERAGE(AI326:AL326)</f>
        <v>6.0801754791666669</v>
      </c>
    </row>
    <row r="327" spans="2:45" x14ac:dyDescent="0.2">
      <c r="B327" s="2">
        <v>43478.880266203705</v>
      </c>
      <c r="C327" s="5">
        <f t="shared" si="40"/>
        <v>3.0833332099999993</v>
      </c>
      <c r="D327" s="14">
        <v>4.3576329999999999</v>
      </c>
      <c r="E327" s="14">
        <v>4.3327869999999997</v>
      </c>
      <c r="F327" s="14">
        <v>3.8000940000000001</v>
      </c>
      <c r="G327" s="14">
        <v>2.4397389999999999</v>
      </c>
      <c r="H327" s="15">
        <v>4.149483</v>
      </c>
      <c r="I327" s="15">
        <v>3.2544230000000001</v>
      </c>
      <c r="J327" s="15">
        <v>9.6373940000000005</v>
      </c>
      <c r="K327" s="15">
        <v>3.474421</v>
      </c>
      <c r="L327" s="16">
        <v>2.9832429999999999</v>
      </c>
      <c r="M327" s="16">
        <v>5.0792120000000001</v>
      </c>
      <c r="N327" s="16">
        <v>6.5465</v>
      </c>
      <c r="O327" s="16">
        <v>3.6281870000000001</v>
      </c>
      <c r="P327" s="17">
        <v>6.9799870000000004</v>
      </c>
      <c r="Q327" s="17">
        <v>6.164714</v>
      </c>
      <c r="R327" s="17">
        <v>3.604552</v>
      </c>
      <c r="S327" s="17">
        <v>7.6783799999999998</v>
      </c>
      <c r="AP327" s="35"/>
      <c r="AQ327" s="35"/>
      <c r="AR327" s="35"/>
      <c r="AS327" s="35"/>
    </row>
    <row r="328" spans="2:45" x14ac:dyDescent="0.2">
      <c r="B328" s="2">
        <v>43478.883738425924</v>
      </c>
      <c r="C328" s="5">
        <f t="shared" si="40"/>
        <v>3.1666665399999991</v>
      </c>
      <c r="D328" s="14">
        <v>4.3577760000000003</v>
      </c>
      <c r="E328" s="14">
        <v>4.3347899999999999</v>
      </c>
      <c r="F328" s="14">
        <v>3.8000940000000001</v>
      </c>
      <c r="G328" s="14">
        <v>2.4397389999999999</v>
      </c>
      <c r="H328" s="15">
        <v>4.1690810000000003</v>
      </c>
      <c r="I328" s="15">
        <v>3.2558539999999998</v>
      </c>
      <c r="J328" s="15">
        <v>9.6373940000000005</v>
      </c>
      <c r="K328" s="15">
        <v>3.474421</v>
      </c>
      <c r="L328" s="16">
        <v>2.9832429999999999</v>
      </c>
      <c r="M328" s="16">
        <v>5.0792120000000001</v>
      </c>
      <c r="N328" s="16">
        <v>6.5465</v>
      </c>
      <c r="O328" s="16">
        <v>3.6281870000000001</v>
      </c>
      <c r="P328" s="17">
        <v>6.9964380000000004</v>
      </c>
      <c r="Q328" s="17">
        <v>6.164714</v>
      </c>
      <c r="R328" s="17">
        <v>3.604552</v>
      </c>
      <c r="S328" s="17">
        <v>7.6783799999999998</v>
      </c>
      <c r="AP328" s="35"/>
      <c r="AQ328" s="35"/>
      <c r="AR328" s="35"/>
      <c r="AS328" s="35"/>
    </row>
    <row r="329" spans="2:45" x14ac:dyDescent="0.2">
      <c r="B329" s="2">
        <v>43478.88721064815</v>
      </c>
      <c r="C329" s="5">
        <f t="shared" si="40"/>
        <v>3.249999869999999</v>
      </c>
      <c r="D329" s="14">
        <v>4.3579189999999999</v>
      </c>
      <c r="E329" s="14">
        <v>4.3355370000000004</v>
      </c>
      <c r="F329" s="14">
        <v>3.8000940000000001</v>
      </c>
      <c r="G329" s="14">
        <v>2.4397389999999999</v>
      </c>
      <c r="H329" s="15">
        <v>4.1886789999999996</v>
      </c>
      <c r="I329" s="15">
        <v>3.2572839999999998</v>
      </c>
      <c r="J329" s="15">
        <v>9.6373940000000005</v>
      </c>
      <c r="K329" s="15">
        <v>3.474421</v>
      </c>
      <c r="L329" s="16">
        <v>2.9832429999999999</v>
      </c>
      <c r="M329" s="16">
        <v>5.0820670000000003</v>
      </c>
      <c r="N329" s="16">
        <v>6.5465</v>
      </c>
      <c r="O329" s="16">
        <v>3.6281870000000001</v>
      </c>
      <c r="P329" s="17">
        <v>7.0128880000000002</v>
      </c>
      <c r="Q329" s="17">
        <v>6.164714</v>
      </c>
      <c r="R329" s="17">
        <v>3.604552</v>
      </c>
      <c r="S329" s="17">
        <v>7.6783799999999998</v>
      </c>
      <c r="AP329" s="35"/>
      <c r="AQ329" s="35"/>
      <c r="AR329" s="35"/>
      <c r="AS329" s="35"/>
    </row>
    <row r="330" spans="2:45" x14ac:dyDescent="0.2">
      <c r="B330" s="2">
        <v>43478.890682870369</v>
      </c>
      <c r="C330" s="5">
        <f t="shared" si="40"/>
        <v>3.3333331999999989</v>
      </c>
      <c r="D330" s="14">
        <v>4.3580620000000003</v>
      </c>
      <c r="E330" s="14">
        <v>4.3358660000000002</v>
      </c>
      <c r="F330" s="14">
        <v>3.8000940000000001</v>
      </c>
      <c r="G330" s="14">
        <v>2.4397389999999999</v>
      </c>
      <c r="H330" s="15">
        <v>4.2082769999999998</v>
      </c>
      <c r="I330" s="15">
        <v>3.258715</v>
      </c>
      <c r="J330" s="15">
        <v>9.6373940000000005</v>
      </c>
      <c r="K330" s="15">
        <v>3.474421</v>
      </c>
      <c r="L330" s="16">
        <v>2.9832429999999999</v>
      </c>
      <c r="M330" s="16">
        <v>5.0856440000000003</v>
      </c>
      <c r="N330" s="16">
        <v>6.5465</v>
      </c>
      <c r="O330" s="16">
        <v>3.6281870000000001</v>
      </c>
      <c r="P330" s="17">
        <v>7.0293390000000002</v>
      </c>
      <c r="Q330" s="17">
        <v>6.164714</v>
      </c>
      <c r="R330" s="17">
        <v>3.604552</v>
      </c>
      <c r="S330" s="17">
        <v>7.6783799999999998</v>
      </c>
      <c r="AP330" s="35"/>
      <c r="AQ330" s="35"/>
      <c r="AR330" s="35"/>
      <c r="AS330" s="35"/>
    </row>
    <row r="331" spans="2:45" x14ac:dyDescent="0.2">
      <c r="B331" s="2">
        <v>43478.894155092596</v>
      </c>
      <c r="C331" s="5">
        <f t="shared" si="40"/>
        <v>3.4166665299999988</v>
      </c>
      <c r="D331" s="14">
        <v>4.3582049999999999</v>
      </c>
      <c r="E331" s="14">
        <v>4.3362959999999999</v>
      </c>
      <c r="F331" s="14">
        <v>3.8000940000000001</v>
      </c>
      <c r="G331" s="14">
        <v>2.4397389999999999</v>
      </c>
      <c r="H331" s="15">
        <v>4.227875</v>
      </c>
      <c r="I331" s="15">
        <v>3.2601450000000001</v>
      </c>
      <c r="J331" s="15">
        <v>9.6373940000000005</v>
      </c>
      <c r="K331" s="15">
        <v>3.474421</v>
      </c>
      <c r="L331" s="16">
        <v>2.9832429999999999</v>
      </c>
      <c r="M331" s="16">
        <v>5.089226</v>
      </c>
      <c r="N331" s="16">
        <v>6.5465</v>
      </c>
      <c r="O331" s="16">
        <v>3.6281870000000001</v>
      </c>
      <c r="P331" s="17">
        <v>7.0457900000000002</v>
      </c>
      <c r="Q331" s="17">
        <v>6.164714</v>
      </c>
      <c r="R331" s="17">
        <v>3.604552</v>
      </c>
      <c r="S331" s="17">
        <v>7.6783799999999998</v>
      </c>
      <c r="AP331" s="35"/>
      <c r="AQ331" s="35"/>
      <c r="AR331" s="35"/>
      <c r="AS331" s="35"/>
    </row>
    <row r="332" spans="2:45" x14ac:dyDescent="0.2">
      <c r="B332" s="2">
        <v>43478.897627314815</v>
      </c>
      <c r="C332" s="5">
        <f t="shared" si="40"/>
        <v>3.4999998599999986</v>
      </c>
      <c r="D332" s="14">
        <v>4.3583480000000003</v>
      </c>
      <c r="E332" s="14">
        <v>4.3367250000000004</v>
      </c>
      <c r="F332" s="14">
        <v>3.8000940000000001</v>
      </c>
      <c r="G332" s="14">
        <v>2.4397389999999999</v>
      </c>
      <c r="H332" s="15">
        <v>4.2474730000000003</v>
      </c>
      <c r="I332" s="15">
        <v>3.2615759999999998</v>
      </c>
      <c r="J332" s="15">
        <v>9.6373940000000005</v>
      </c>
      <c r="K332" s="15">
        <v>3.474421</v>
      </c>
      <c r="L332" s="16">
        <v>2.9832429999999999</v>
      </c>
      <c r="M332" s="16">
        <v>5.0927959999999999</v>
      </c>
      <c r="N332" s="16">
        <v>6.5465</v>
      </c>
      <c r="O332" s="16">
        <v>3.6281870000000001</v>
      </c>
      <c r="P332" s="17">
        <v>7.0622410000000002</v>
      </c>
      <c r="Q332" s="17">
        <v>6.164714</v>
      </c>
      <c r="R332" s="17">
        <v>3.604552</v>
      </c>
      <c r="S332" s="17">
        <v>7.6783799999999998</v>
      </c>
      <c r="AP332" s="35"/>
      <c r="AQ332" s="35"/>
      <c r="AR332" s="35"/>
      <c r="AS332" s="35"/>
    </row>
    <row r="333" spans="2:45" x14ac:dyDescent="0.2">
      <c r="B333" s="2">
        <v>43478.901099537034</v>
      </c>
      <c r="C333" s="5">
        <f t="shared" si="40"/>
        <v>3.5833331899999985</v>
      </c>
      <c r="D333" s="14">
        <v>4.3584909999999999</v>
      </c>
      <c r="E333" s="14">
        <v>4.337154</v>
      </c>
      <c r="F333" s="14">
        <v>3.8000940000000001</v>
      </c>
      <c r="G333" s="14">
        <v>2.4397389999999999</v>
      </c>
      <c r="H333" s="15">
        <v>4.2670709999999996</v>
      </c>
      <c r="I333" s="15">
        <v>3.2630059999999999</v>
      </c>
      <c r="J333" s="15">
        <v>9.6373940000000005</v>
      </c>
      <c r="K333" s="15">
        <v>3.474421</v>
      </c>
      <c r="L333" s="16">
        <v>2.9832429999999999</v>
      </c>
      <c r="M333" s="16">
        <v>5.0963729999999998</v>
      </c>
      <c r="N333" s="16">
        <v>6.5465</v>
      </c>
      <c r="O333" s="16">
        <v>3.6281870000000001</v>
      </c>
      <c r="P333" s="17">
        <v>7.0786920000000002</v>
      </c>
      <c r="Q333" s="17">
        <v>6.164714</v>
      </c>
      <c r="R333" s="17">
        <v>3.604552</v>
      </c>
      <c r="S333" s="17">
        <v>7.6783799999999998</v>
      </c>
      <c r="AP333" s="35"/>
      <c r="AQ333" s="35"/>
      <c r="AR333" s="35"/>
      <c r="AS333" s="35"/>
    </row>
    <row r="334" spans="2:45" x14ac:dyDescent="0.2">
      <c r="B334" s="2">
        <v>43478.90457175926</v>
      </c>
      <c r="C334" s="5">
        <f t="shared" si="40"/>
        <v>3.6666665199999984</v>
      </c>
      <c r="D334" s="14">
        <v>4.3586340000000003</v>
      </c>
      <c r="E334" s="14">
        <v>4.3375830000000004</v>
      </c>
      <c r="F334" s="14">
        <v>3.8000940000000001</v>
      </c>
      <c r="G334" s="14">
        <v>2.4397389999999999</v>
      </c>
      <c r="H334" s="15">
        <v>4.2866689999999998</v>
      </c>
      <c r="I334" s="15">
        <v>3.264437</v>
      </c>
      <c r="J334" s="15">
        <v>9.6373940000000005</v>
      </c>
      <c r="K334" s="15">
        <v>3.515285</v>
      </c>
      <c r="L334" s="16">
        <v>2.9832429999999999</v>
      </c>
      <c r="M334" s="16">
        <v>5.0999489999999996</v>
      </c>
      <c r="N334" s="16">
        <v>6.5465</v>
      </c>
      <c r="O334" s="16">
        <v>3.6281870000000001</v>
      </c>
      <c r="P334" s="17">
        <v>7.0951430000000002</v>
      </c>
      <c r="Q334" s="17">
        <v>6.164714</v>
      </c>
      <c r="R334" s="17">
        <v>3.604552</v>
      </c>
      <c r="S334" s="17">
        <v>7.6783799999999998</v>
      </c>
      <c r="AP334" s="35"/>
      <c r="AQ334" s="35"/>
      <c r="AR334" s="35"/>
      <c r="AS334" s="35"/>
    </row>
    <row r="335" spans="2:45" x14ac:dyDescent="0.2">
      <c r="B335" s="2">
        <v>43478.908043981479</v>
      </c>
      <c r="C335" s="5">
        <f t="shared" si="40"/>
        <v>3.7499998499999982</v>
      </c>
      <c r="D335" s="14">
        <v>4.358778</v>
      </c>
      <c r="E335" s="14">
        <v>4.338012</v>
      </c>
      <c r="F335" s="14">
        <v>3.8000940000000001</v>
      </c>
      <c r="G335" s="14">
        <v>2.4397389999999999</v>
      </c>
      <c r="H335" s="15">
        <v>4.3062670000000001</v>
      </c>
      <c r="I335" s="15">
        <v>3.2658670000000001</v>
      </c>
      <c r="J335" s="15">
        <v>9.6373940000000005</v>
      </c>
      <c r="K335" s="15">
        <v>3.5574849999999998</v>
      </c>
      <c r="L335" s="16">
        <v>2.9832429999999999</v>
      </c>
      <c r="M335" s="16">
        <v>5.1035250000000003</v>
      </c>
      <c r="N335" s="16">
        <v>6.5465</v>
      </c>
      <c r="O335" s="16">
        <v>3.6281870000000001</v>
      </c>
      <c r="P335" s="17">
        <v>7.1115940000000002</v>
      </c>
      <c r="Q335" s="17">
        <v>6.164714</v>
      </c>
      <c r="R335" s="17">
        <v>3.608581</v>
      </c>
      <c r="S335" s="17">
        <v>7.6783799999999998</v>
      </c>
      <c r="AP335" s="35"/>
      <c r="AQ335" s="35"/>
      <c r="AR335" s="35"/>
      <c r="AS335" s="35"/>
    </row>
    <row r="336" spans="2:45" x14ac:dyDescent="0.2">
      <c r="B336" s="2">
        <v>43478.911516203705</v>
      </c>
      <c r="C336" s="5">
        <f t="shared" si="40"/>
        <v>3.8333331799999981</v>
      </c>
      <c r="D336" s="14">
        <v>4.3589209999999996</v>
      </c>
      <c r="E336" s="14">
        <v>4.3384410000000004</v>
      </c>
      <c r="F336" s="14">
        <v>3.8000940000000001</v>
      </c>
      <c r="G336" s="14">
        <v>2.4397389999999999</v>
      </c>
      <c r="H336" s="15">
        <v>4.3258979999999996</v>
      </c>
      <c r="I336" s="15">
        <v>3.2672979999999998</v>
      </c>
      <c r="J336" s="15">
        <v>9.6373940000000005</v>
      </c>
      <c r="K336" s="15">
        <v>3.5997560000000002</v>
      </c>
      <c r="L336" s="16">
        <v>2.9832429999999999</v>
      </c>
      <c r="M336" s="16">
        <v>5.1071070000000001</v>
      </c>
      <c r="N336" s="16">
        <v>6.5465</v>
      </c>
      <c r="O336" s="16">
        <v>3.6299079999999999</v>
      </c>
      <c r="P336" s="17">
        <v>7.1280450000000002</v>
      </c>
      <c r="Q336" s="17">
        <v>6.164714</v>
      </c>
      <c r="R336" s="17">
        <v>3.6228859999999998</v>
      </c>
      <c r="S336" s="17">
        <v>7.6783799999999998</v>
      </c>
      <c r="AP336" s="35"/>
      <c r="AQ336" s="35"/>
      <c r="AR336" s="35"/>
      <c r="AS336" s="35"/>
    </row>
    <row r="337" spans="2:45" x14ac:dyDescent="0.2">
      <c r="B337" s="2">
        <v>43478.914988425924</v>
      </c>
      <c r="C337" s="5">
        <f t="shared" si="40"/>
        <v>3.916666509999998</v>
      </c>
      <c r="D337" s="14">
        <v>4.359064</v>
      </c>
      <c r="E337" s="14">
        <v>4.3388710000000001</v>
      </c>
      <c r="F337" s="14">
        <v>3.8000940000000001</v>
      </c>
      <c r="G337" s="14">
        <v>2.4397389999999999</v>
      </c>
      <c r="H337" s="15">
        <v>4.3454959999999998</v>
      </c>
      <c r="I337" s="15">
        <v>3.2687279999999999</v>
      </c>
      <c r="J337" s="15">
        <v>9.6373940000000005</v>
      </c>
      <c r="K337" s="15">
        <v>3.641956</v>
      </c>
      <c r="L337" s="16">
        <v>2.9832429999999999</v>
      </c>
      <c r="M337" s="16">
        <v>5.1106780000000001</v>
      </c>
      <c r="N337" s="16">
        <v>6.5465</v>
      </c>
      <c r="O337" s="16">
        <v>3.6327690000000001</v>
      </c>
      <c r="P337" s="17">
        <v>7.144495</v>
      </c>
      <c r="Q337" s="17">
        <v>6.164714</v>
      </c>
      <c r="R337" s="17">
        <v>3.6371910000000001</v>
      </c>
      <c r="S337" s="17">
        <v>7.6783799999999998</v>
      </c>
      <c r="AP337" s="35"/>
      <c r="AQ337" s="35"/>
      <c r="AR337" s="35"/>
      <c r="AS337" s="35"/>
    </row>
    <row r="338" spans="2:45" x14ac:dyDescent="0.2">
      <c r="B338" s="2">
        <v>43478.91846064815</v>
      </c>
      <c r="C338" s="5">
        <f t="shared" si="40"/>
        <v>3.9999998399999979</v>
      </c>
      <c r="D338" s="14">
        <v>4.3592069999999996</v>
      </c>
      <c r="E338" s="14">
        <v>4.3392999999999997</v>
      </c>
      <c r="F338" s="14">
        <v>3.8000940000000001</v>
      </c>
      <c r="G338" s="14">
        <v>2.4397389999999999</v>
      </c>
      <c r="H338" s="15">
        <v>4.3650609999999999</v>
      </c>
      <c r="I338" s="15">
        <v>3.270159</v>
      </c>
      <c r="J338" s="15">
        <v>9.6373940000000005</v>
      </c>
      <c r="K338" s="15">
        <v>3.6840850000000001</v>
      </c>
      <c r="L338" s="16">
        <v>2.9832429999999999</v>
      </c>
      <c r="M338" s="16">
        <v>5.1142539999999999</v>
      </c>
      <c r="N338" s="16">
        <v>6.5465</v>
      </c>
      <c r="O338" s="16">
        <v>3.6356299999999999</v>
      </c>
      <c r="P338" s="17">
        <v>7.160946</v>
      </c>
      <c r="Q338" s="17">
        <v>6.164714</v>
      </c>
      <c r="R338" s="17">
        <v>3.6514959999999999</v>
      </c>
      <c r="S338" s="17">
        <v>7.6783799999999998</v>
      </c>
      <c r="V338" s="25">
        <v>4</v>
      </c>
      <c r="W338">
        <f>AVERAGE(D327:D338)</f>
        <v>4.3584198333333335</v>
      </c>
      <c r="X338">
        <f t="shared" ref="X338:AL338" si="42">AVERAGE(E327:E338)</f>
        <v>4.3367801666666672</v>
      </c>
      <c r="Y338">
        <f t="shared" si="42"/>
        <v>3.800094000000001</v>
      </c>
      <c r="Z338">
        <f t="shared" si="42"/>
        <v>2.4397389999999999</v>
      </c>
      <c r="AA338">
        <f t="shared" si="42"/>
        <v>4.2572774999999998</v>
      </c>
      <c r="AB338">
        <f t="shared" si="42"/>
        <v>3.2622910000000007</v>
      </c>
      <c r="AC338">
        <f t="shared" si="42"/>
        <v>9.6373940000000005</v>
      </c>
      <c r="AD338">
        <f t="shared" si="42"/>
        <v>3.526626166666667</v>
      </c>
      <c r="AE338">
        <f t="shared" si="42"/>
        <v>2.9832430000000003</v>
      </c>
      <c r="AF338">
        <f t="shared" si="42"/>
        <v>5.0950035833333329</v>
      </c>
      <c r="AG338">
        <f t="shared" si="42"/>
        <v>6.5464999999999991</v>
      </c>
      <c r="AH338">
        <f t="shared" si="42"/>
        <v>3.6293325000000003</v>
      </c>
      <c r="AI338">
        <f t="shared" si="42"/>
        <v>7.0704665000000011</v>
      </c>
      <c r="AJ338">
        <f t="shared" si="42"/>
        <v>6.1647140000000009</v>
      </c>
      <c r="AK338">
        <f t="shared" si="42"/>
        <v>3.6130475</v>
      </c>
      <c r="AL338">
        <f t="shared" si="42"/>
        <v>7.6783800000000006</v>
      </c>
      <c r="AO338" s="25">
        <v>4</v>
      </c>
      <c r="AP338" s="35">
        <f>AVERAGE(W338:Z338)</f>
        <v>3.7337582500000002</v>
      </c>
      <c r="AQ338" s="35">
        <f>AVERAGE(AA338:AD338)</f>
        <v>5.1708971666666663</v>
      </c>
      <c r="AR338" s="35">
        <f>AVERAGE(AE338:AH338)</f>
        <v>4.5635197708333335</v>
      </c>
      <c r="AS338" s="35">
        <f>AVERAGE(AI338:AL338)</f>
        <v>6.1316520000000008</v>
      </c>
    </row>
    <row r="339" spans="2:45" x14ac:dyDescent="0.2">
      <c r="B339" s="2">
        <v>43478.921932870369</v>
      </c>
      <c r="C339" s="5">
        <f t="shared" si="40"/>
        <v>4.0833331699999977</v>
      </c>
      <c r="D339" s="14">
        <v>4.3593500000000001</v>
      </c>
      <c r="E339" s="14">
        <v>4.3397290000000002</v>
      </c>
      <c r="F339" s="14">
        <v>3.8000940000000001</v>
      </c>
      <c r="G339" s="14">
        <v>2.4397389999999999</v>
      </c>
      <c r="H339" s="15">
        <v>4.3846590000000001</v>
      </c>
      <c r="I339" s="15">
        <v>3.2715900000000002</v>
      </c>
      <c r="J339" s="15">
        <v>9.6373940000000005</v>
      </c>
      <c r="K339" s="15">
        <v>3.7262849999999998</v>
      </c>
      <c r="L339" s="16">
        <v>2.9832429999999999</v>
      </c>
      <c r="M339" s="16">
        <v>5.1178299999999997</v>
      </c>
      <c r="N339" s="16">
        <v>6.5465</v>
      </c>
      <c r="O339" s="16">
        <v>3.638496</v>
      </c>
      <c r="P339" s="17">
        <v>7.177397</v>
      </c>
      <c r="Q339" s="17">
        <v>6.164714</v>
      </c>
      <c r="R339" s="17">
        <v>3.6658249999999999</v>
      </c>
      <c r="S339" s="17">
        <v>7.6783799999999998</v>
      </c>
      <c r="AP339" s="35"/>
      <c r="AQ339" s="35"/>
      <c r="AR339" s="35"/>
      <c r="AS339" s="35"/>
    </row>
    <row r="340" spans="2:45" x14ac:dyDescent="0.2">
      <c r="B340" s="2">
        <v>43478.925405092596</v>
      </c>
      <c r="C340" s="5">
        <f t="shared" si="40"/>
        <v>4.1666664999999981</v>
      </c>
      <c r="D340" s="14">
        <v>4.3594929999999996</v>
      </c>
      <c r="E340" s="14">
        <v>4.3401579999999997</v>
      </c>
      <c r="F340" s="14">
        <v>3.8000940000000001</v>
      </c>
      <c r="G340" s="14">
        <v>2.4397389999999999</v>
      </c>
      <c r="H340" s="15">
        <v>4.4042570000000003</v>
      </c>
      <c r="I340" s="15">
        <v>3.2730199999999998</v>
      </c>
      <c r="J340" s="15">
        <v>9.6373940000000005</v>
      </c>
      <c r="K340" s="15">
        <v>3.7684859999999998</v>
      </c>
      <c r="L340" s="16">
        <v>2.9832429999999999</v>
      </c>
      <c r="M340" s="16">
        <v>5.1214069999999996</v>
      </c>
      <c r="N340" s="16">
        <v>6.5465</v>
      </c>
      <c r="O340" s="16">
        <v>3.6413519999999999</v>
      </c>
      <c r="P340" s="17">
        <v>7.193848</v>
      </c>
      <c r="Q340" s="17">
        <v>6.164714</v>
      </c>
      <c r="R340" s="17">
        <v>3.680107</v>
      </c>
      <c r="S340" s="17">
        <v>7.6783799999999998</v>
      </c>
      <c r="AP340" s="35"/>
      <c r="AQ340" s="35"/>
      <c r="AR340" s="35"/>
      <c r="AS340" s="35"/>
    </row>
    <row r="341" spans="2:45" x14ac:dyDescent="0.2">
      <c r="B341" s="2">
        <v>43478.928877314815</v>
      </c>
      <c r="C341" s="5">
        <f t="shared" si="40"/>
        <v>4.2499998299999984</v>
      </c>
      <c r="D341" s="14">
        <v>4.3596360000000001</v>
      </c>
      <c r="E341" s="14">
        <v>4.3405870000000002</v>
      </c>
      <c r="F341" s="14">
        <v>3.8000940000000001</v>
      </c>
      <c r="G341" s="14">
        <v>2.4397389999999999</v>
      </c>
      <c r="H341" s="15">
        <v>4.4238549999999996</v>
      </c>
      <c r="I341" s="15">
        <v>3.274451</v>
      </c>
      <c r="J341" s="15">
        <v>9.6373940000000005</v>
      </c>
      <c r="K341" s="15">
        <v>3.810686</v>
      </c>
      <c r="L341" s="16">
        <v>2.9832429999999999</v>
      </c>
      <c r="M341" s="16">
        <v>5.1249830000000003</v>
      </c>
      <c r="N341" s="16">
        <v>6.5465</v>
      </c>
      <c r="O341" s="16">
        <v>3.6442130000000001</v>
      </c>
      <c r="P341" s="17">
        <v>7.210299</v>
      </c>
      <c r="Q341" s="17">
        <v>6.164714</v>
      </c>
      <c r="R341" s="17">
        <v>3.6944119999999998</v>
      </c>
      <c r="S341" s="17">
        <v>7.6783799999999998</v>
      </c>
      <c r="AP341" s="35"/>
      <c r="AQ341" s="35"/>
      <c r="AR341" s="35"/>
      <c r="AS341" s="35"/>
    </row>
    <row r="342" spans="2:45" x14ac:dyDescent="0.2">
      <c r="B342" s="2">
        <v>43478.932349537034</v>
      </c>
      <c r="C342" s="5">
        <f t="shared" si="40"/>
        <v>4.3333331599999987</v>
      </c>
      <c r="D342" s="14">
        <v>4.359712</v>
      </c>
      <c r="E342" s="14">
        <v>4.3410159999999998</v>
      </c>
      <c r="F342" s="14">
        <v>3.8000940000000001</v>
      </c>
      <c r="G342" s="14">
        <v>2.4397389999999999</v>
      </c>
      <c r="H342" s="15">
        <v>4.4434529999999999</v>
      </c>
      <c r="I342" s="15">
        <v>3.275881</v>
      </c>
      <c r="J342" s="15">
        <v>9.6373940000000005</v>
      </c>
      <c r="K342" s="15">
        <v>3.8528859999999998</v>
      </c>
      <c r="L342" s="16">
        <v>2.9832429999999999</v>
      </c>
      <c r="M342" s="16">
        <v>5.12568</v>
      </c>
      <c r="N342" s="16">
        <v>6.5465</v>
      </c>
      <c r="O342" s="16">
        <v>3.6470739999999999</v>
      </c>
      <c r="P342" s="17">
        <v>7.22675</v>
      </c>
      <c r="Q342" s="17">
        <v>6.164714</v>
      </c>
      <c r="R342" s="17">
        <v>3.708717</v>
      </c>
      <c r="S342" s="17">
        <v>7.6783799999999998</v>
      </c>
      <c r="AP342" s="35"/>
      <c r="AQ342" s="35"/>
      <c r="AR342" s="35"/>
      <c r="AS342" s="35"/>
    </row>
    <row r="343" spans="2:45" x14ac:dyDescent="0.2">
      <c r="B343" s="2">
        <v>43478.93582175926</v>
      </c>
      <c r="C343" s="5">
        <f t="shared" si="40"/>
        <v>4.416666489999999</v>
      </c>
      <c r="D343" s="14">
        <v>4.359712</v>
      </c>
      <c r="E343" s="14">
        <v>4.3414450000000002</v>
      </c>
      <c r="F343" s="14">
        <v>3.8000940000000001</v>
      </c>
      <c r="G343" s="14">
        <v>2.4397389999999999</v>
      </c>
      <c r="H343" s="15">
        <v>4.4630510000000001</v>
      </c>
      <c r="I343" s="15">
        <v>3.2773119999999998</v>
      </c>
      <c r="J343" s="15">
        <v>9.6373940000000005</v>
      </c>
      <c r="K343" s="15">
        <v>3.895086</v>
      </c>
      <c r="L343" s="16">
        <v>2.9832429999999999</v>
      </c>
      <c r="M343" s="16">
        <v>5.12568</v>
      </c>
      <c r="N343" s="16">
        <v>6.5465</v>
      </c>
      <c r="O343" s="16">
        <v>3.6499350000000002</v>
      </c>
      <c r="P343" s="17">
        <v>7.243201</v>
      </c>
      <c r="Q343" s="17">
        <v>6.164714</v>
      </c>
      <c r="R343" s="17">
        <v>3.7230219999999998</v>
      </c>
      <c r="S343" s="17">
        <v>7.6783799999999998</v>
      </c>
      <c r="AP343" s="35"/>
      <c r="AQ343" s="35"/>
      <c r="AR343" s="35"/>
      <c r="AS343" s="35"/>
    </row>
    <row r="344" spans="2:45" x14ac:dyDescent="0.2">
      <c r="B344" s="2">
        <v>43478.939293981479</v>
      </c>
      <c r="C344" s="5">
        <f t="shared" si="40"/>
        <v>4.4999998199999993</v>
      </c>
      <c r="D344" s="14">
        <v>4.359712</v>
      </c>
      <c r="E344" s="14">
        <v>4.3418749999999999</v>
      </c>
      <c r="F344" s="14">
        <v>3.8000940000000001</v>
      </c>
      <c r="G344" s="14">
        <v>2.4397389999999999</v>
      </c>
      <c r="H344" s="15">
        <v>4.4826490000000003</v>
      </c>
      <c r="I344" s="15">
        <v>3.2787419999999998</v>
      </c>
      <c r="J344" s="15">
        <v>9.6373940000000005</v>
      </c>
      <c r="K344" s="15">
        <v>3.9372859999999998</v>
      </c>
      <c r="L344" s="16">
        <v>2.9832429999999999</v>
      </c>
      <c r="M344" s="16">
        <v>5.12568</v>
      </c>
      <c r="N344" s="16">
        <v>6.5465</v>
      </c>
      <c r="O344" s="16">
        <v>3.6527970000000001</v>
      </c>
      <c r="P344" s="17">
        <v>7.259652</v>
      </c>
      <c r="Q344" s="17">
        <v>6.164714</v>
      </c>
      <c r="R344" s="17">
        <v>3.7373270000000001</v>
      </c>
      <c r="S344" s="17">
        <v>7.6783799999999998</v>
      </c>
      <c r="AP344" s="35"/>
      <c r="AQ344" s="35"/>
      <c r="AR344" s="35"/>
      <c r="AS344" s="35"/>
    </row>
    <row r="345" spans="2:45" x14ac:dyDescent="0.2">
      <c r="B345" s="2">
        <v>43478.942766203705</v>
      </c>
      <c r="C345" s="5">
        <f t="shared" si="40"/>
        <v>4.5833331499999996</v>
      </c>
      <c r="D345" s="14">
        <v>4.359712</v>
      </c>
      <c r="E345" s="14">
        <v>4.3423040000000004</v>
      </c>
      <c r="F345" s="14">
        <v>3.8000940000000001</v>
      </c>
      <c r="G345" s="14">
        <v>2.4397389999999999</v>
      </c>
      <c r="H345" s="15">
        <v>4.5022469999999997</v>
      </c>
      <c r="I345" s="15">
        <v>3.280173</v>
      </c>
      <c r="J345" s="15">
        <v>9.6373940000000005</v>
      </c>
      <c r="K345" s="15">
        <v>3.9794860000000001</v>
      </c>
      <c r="L345" s="16">
        <v>2.9832429999999999</v>
      </c>
      <c r="M345" s="16">
        <v>5.12568</v>
      </c>
      <c r="N345" s="16">
        <v>6.5465</v>
      </c>
      <c r="O345" s="16">
        <v>3.6556579999999999</v>
      </c>
      <c r="P345" s="17">
        <v>7.276103</v>
      </c>
      <c r="Q345" s="17">
        <v>6.164714</v>
      </c>
      <c r="R345" s="17">
        <v>3.7516319999999999</v>
      </c>
      <c r="S345" s="17">
        <v>7.6783799999999998</v>
      </c>
      <c r="AP345" s="35"/>
      <c r="AQ345" s="35"/>
      <c r="AR345" s="35"/>
      <c r="AS345" s="35"/>
    </row>
    <row r="346" spans="2:45" x14ac:dyDescent="0.2">
      <c r="B346" s="2">
        <v>43478.946238425924</v>
      </c>
      <c r="C346" s="5">
        <f t="shared" si="40"/>
        <v>4.66666648</v>
      </c>
      <c r="D346" s="14">
        <v>4.359712</v>
      </c>
      <c r="E346" s="14">
        <v>4.342733</v>
      </c>
      <c r="F346" s="14">
        <v>3.8000940000000001</v>
      </c>
      <c r="G346" s="14">
        <v>2.4397389999999999</v>
      </c>
      <c r="H346" s="15">
        <v>4.5218449999999999</v>
      </c>
      <c r="I346" s="15">
        <v>3.281603</v>
      </c>
      <c r="J346" s="15">
        <v>9.6373940000000005</v>
      </c>
      <c r="K346" s="15">
        <v>4.021687</v>
      </c>
      <c r="L346" s="16">
        <v>2.9832429999999999</v>
      </c>
      <c r="M346" s="16">
        <v>5.12568</v>
      </c>
      <c r="N346" s="16">
        <v>6.5465</v>
      </c>
      <c r="O346" s="16">
        <v>3.6585190000000001</v>
      </c>
      <c r="P346" s="17">
        <v>7.2925529999999998</v>
      </c>
      <c r="Q346" s="17">
        <v>6.164714</v>
      </c>
      <c r="R346" s="17">
        <v>3.7659370000000001</v>
      </c>
      <c r="S346" s="17">
        <v>7.6783799999999998</v>
      </c>
      <c r="AP346" s="35"/>
      <c r="AQ346" s="35"/>
      <c r="AR346" s="35"/>
      <c r="AS346" s="35"/>
    </row>
    <row r="347" spans="2:45" x14ac:dyDescent="0.2">
      <c r="B347" s="2">
        <v>43478.94971064815</v>
      </c>
      <c r="C347" s="5">
        <f t="shared" si="40"/>
        <v>4.7499998100000003</v>
      </c>
      <c r="D347" s="14">
        <v>4.359712</v>
      </c>
      <c r="E347" s="14">
        <v>4.3431620000000004</v>
      </c>
      <c r="F347" s="14">
        <v>3.8000940000000001</v>
      </c>
      <c r="G347" s="14">
        <v>2.4397389999999999</v>
      </c>
      <c r="H347" s="15">
        <v>4.5414430000000001</v>
      </c>
      <c r="I347" s="15">
        <v>3.2830339999999998</v>
      </c>
      <c r="J347" s="15">
        <v>9.6373940000000005</v>
      </c>
      <c r="K347" s="15">
        <v>4.0638870000000002</v>
      </c>
      <c r="L347" s="16">
        <v>2.9832429999999999</v>
      </c>
      <c r="M347" s="16">
        <v>5.12568</v>
      </c>
      <c r="N347" s="16">
        <v>6.5465</v>
      </c>
      <c r="O347" s="16">
        <v>3.6613799999999999</v>
      </c>
      <c r="P347" s="17">
        <v>7.3090039999999998</v>
      </c>
      <c r="Q347" s="17">
        <v>6.164714</v>
      </c>
      <c r="R347" s="17">
        <v>3.7802419999999999</v>
      </c>
      <c r="S347" s="17">
        <v>7.6783799999999998</v>
      </c>
      <c r="AP347" s="35"/>
      <c r="AQ347" s="35"/>
      <c r="AR347" s="35"/>
      <c r="AS347" s="35"/>
    </row>
    <row r="348" spans="2:45" x14ac:dyDescent="0.2">
      <c r="B348" s="2">
        <v>43478.953182870369</v>
      </c>
      <c r="C348" s="5">
        <f t="shared" si="40"/>
        <v>4.8333331400000006</v>
      </c>
      <c r="D348" s="14">
        <v>4.359712</v>
      </c>
      <c r="E348" s="14">
        <v>4.343591</v>
      </c>
      <c r="F348" s="14">
        <v>3.8000940000000001</v>
      </c>
      <c r="G348" s="14">
        <v>2.4397389999999999</v>
      </c>
      <c r="H348" s="15">
        <v>4.5610410000000003</v>
      </c>
      <c r="I348" s="15">
        <v>3.2844639999999998</v>
      </c>
      <c r="J348" s="15">
        <v>9.6373940000000005</v>
      </c>
      <c r="K348" s="15">
        <v>4.0806959999999997</v>
      </c>
      <c r="L348" s="16">
        <v>2.9832429999999999</v>
      </c>
      <c r="M348" s="16">
        <v>5.12568</v>
      </c>
      <c r="N348" s="16">
        <v>6.5470940000000004</v>
      </c>
      <c r="O348" s="16">
        <v>3.6642410000000001</v>
      </c>
      <c r="P348" s="17">
        <v>7.3254549999999998</v>
      </c>
      <c r="Q348" s="17">
        <v>6.164714</v>
      </c>
      <c r="R348" s="17">
        <v>3.7945479999999998</v>
      </c>
      <c r="S348" s="17">
        <v>7.6783799999999998</v>
      </c>
      <c r="AP348" s="35"/>
      <c r="AQ348" s="35"/>
      <c r="AR348" s="35"/>
      <c r="AS348" s="35"/>
    </row>
    <row r="349" spans="2:45" x14ac:dyDescent="0.2">
      <c r="B349" s="2">
        <v>43478.956655092596</v>
      </c>
      <c r="C349" s="5">
        <f t="shared" si="40"/>
        <v>4.9166664700000009</v>
      </c>
      <c r="D349" s="14">
        <v>4.359712</v>
      </c>
      <c r="E349" s="14">
        <v>4.3440200000000004</v>
      </c>
      <c r="F349" s="14">
        <v>3.8000940000000001</v>
      </c>
      <c r="G349" s="14">
        <v>2.4397389999999999</v>
      </c>
      <c r="H349" s="15">
        <v>4.5806389999999997</v>
      </c>
      <c r="I349" s="15">
        <v>3.285895</v>
      </c>
      <c r="J349" s="15">
        <v>9.6373940000000005</v>
      </c>
      <c r="K349" s="15">
        <v>4.0807880000000001</v>
      </c>
      <c r="L349" s="16">
        <v>2.9832429999999999</v>
      </c>
      <c r="M349" s="16">
        <v>5.12568</v>
      </c>
      <c r="N349" s="16">
        <v>6.5478100000000001</v>
      </c>
      <c r="O349" s="16">
        <v>3.6671019999999999</v>
      </c>
      <c r="P349" s="17">
        <v>7.3419059999999998</v>
      </c>
      <c r="Q349" s="17">
        <v>6.164714</v>
      </c>
      <c r="R349" s="17">
        <v>3.808853</v>
      </c>
      <c r="S349" s="17">
        <v>7.6783799999999998</v>
      </c>
      <c r="AP349" s="35"/>
      <c r="AQ349" s="35"/>
      <c r="AR349" s="35"/>
      <c r="AS349" s="35"/>
    </row>
    <row r="350" spans="2:45" x14ac:dyDescent="0.2">
      <c r="B350" s="2">
        <v>43478.960127314815</v>
      </c>
      <c r="C350" s="5">
        <f t="shared" si="40"/>
        <v>4.9999998000000012</v>
      </c>
      <c r="D350" s="14">
        <v>4.359712</v>
      </c>
      <c r="E350" s="14">
        <v>4.3444500000000001</v>
      </c>
      <c r="F350" s="14">
        <v>3.8000940000000001</v>
      </c>
      <c r="G350" s="14">
        <v>2.4397389999999999</v>
      </c>
      <c r="H350" s="15">
        <v>4.6002369999999999</v>
      </c>
      <c r="I350" s="15">
        <v>3.2873250000000001</v>
      </c>
      <c r="J350" s="15">
        <v>9.6373940000000005</v>
      </c>
      <c r="K350" s="15">
        <v>4.0817889999999997</v>
      </c>
      <c r="L350" s="16">
        <v>2.9832429999999999</v>
      </c>
      <c r="M350" s="16">
        <v>5.12568</v>
      </c>
      <c r="N350" s="16">
        <v>6.5485249999999997</v>
      </c>
      <c r="O350" s="16">
        <v>3.6699630000000001</v>
      </c>
      <c r="P350" s="17">
        <v>7.3583569999999998</v>
      </c>
      <c r="Q350" s="17">
        <v>6.164714</v>
      </c>
      <c r="R350" s="17">
        <v>3.8231579999999998</v>
      </c>
      <c r="S350" s="17">
        <v>7.6783799999999998</v>
      </c>
      <c r="V350" s="25">
        <v>5</v>
      </c>
      <c r="W350">
        <f>AVERAGE(D339:D350)</f>
        <v>4.3596572500000006</v>
      </c>
      <c r="X350">
        <f t="shared" ref="X350:AL350" si="43">AVERAGE(E339:E350)</f>
        <v>4.3420891666666668</v>
      </c>
      <c r="Y350">
        <f t="shared" si="43"/>
        <v>3.800094000000001</v>
      </c>
      <c r="Z350">
        <f t="shared" si="43"/>
        <v>2.4397389999999999</v>
      </c>
      <c r="AA350">
        <f t="shared" si="43"/>
        <v>4.4924480000000004</v>
      </c>
      <c r="AB350">
        <f t="shared" si="43"/>
        <v>3.2794574999999999</v>
      </c>
      <c r="AC350">
        <f t="shared" si="43"/>
        <v>9.6373940000000005</v>
      </c>
      <c r="AD350">
        <f t="shared" si="43"/>
        <v>3.9415873333333331</v>
      </c>
      <c r="AE350">
        <f t="shared" si="43"/>
        <v>2.9832430000000003</v>
      </c>
      <c r="AF350">
        <f t="shared" si="43"/>
        <v>5.1246116666666675</v>
      </c>
      <c r="AG350">
        <f t="shared" si="43"/>
        <v>6.5468274166666669</v>
      </c>
      <c r="AH350">
        <f t="shared" si="43"/>
        <v>3.6542274999999997</v>
      </c>
      <c r="AI350">
        <f t="shared" si="43"/>
        <v>7.2678770833333326</v>
      </c>
      <c r="AJ350">
        <f t="shared" si="43"/>
        <v>6.1647140000000009</v>
      </c>
      <c r="AK350">
        <f t="shared" si="43"/>
        <v>3.7444816666666667</v>
      </c>
      <c r="AL350">
        <f t="shared" si="43"/>
        <v>7.6783800000000006</v>
      </c>
      <c r="AO350" s="25">
        <v>5</v>
      </c>
      <c r="AP350" s="35">
        <f>AVERAGE(W350:Z350)</f>
        <v>3.7353948541666671</v>
      </c>
      <c r="AQ350" s="35">
        <f>AVERAGE(AA350:AD350)</f>
        <v>5.3377217083333344</v>
      </c>
      <c r="AR350" s="35">
        <f>AVERAGE(AE350:AH350)</f>
        <v>4.5772273958333338</v>
      </c>
      <c r="AS350" s="35">
        <f>AVERAGE(AI350:AL350)</f>
        <v>6.2138631875000003</v>
      </c>
    </row>
    <row r="351" spans="2:45" x14ac:dyDescent="0.2">
      <c r="B351" s="2">
        <v>43478.963599537034</v>
      </c>
      <c r="C351" s="5">
        <f t="shared" si="40"/>
        <v>5.0833331300000015</v>
      </c>
      <c r="D351" s="14">
        <v>4.359712</v>
      </c>
      <c r="E351" s="14">
        <v>4.3448789999999997</v>
      </c>
      <c r="F351" s="14">
        <v>3.8000940000000001</v>
      </c>
      <c r="G351" s="14">
        <v>2.4397389999999999</v>
      </c>
      <c r="H351" s="15">
        <v>4.6198350000000001</v>
      </c>
      <c r="I351" s="15">
        <v>3.288303</v>
      </c>
      <c r="J351" s="15">
        <v>9.6373940000000005</v>
      </c>
      <c r="K351" s="15">
        <v>4.0827900000000001</v>
      </c>
      <c r="L351" s="16">
        <v>2.9832429999999999</v>
      </c>
      <c r="M351" s="16">
        <v>5.12568</v>
      </c>
      <c r="N351" s="16">
        <v>6.5492400000000002</v>
      </c>
      <c r="O351" s="16">
        <v>3.6728239999999999</v>
      </c>
      <c r="P351" s="17">
        <v>7.3748079999999998</v>
      </c>
      <c r="Q351" s="17">
        <v>6.164714</v>
      </c>
      <c r="R351" s="17">
        <v>3.8374630000000001</v>
      </c>
      <c r="S351" s="17">
        <v>7.6783799999999998</v>
      </c>
      <c r="AP351" s="35"/>
      <c r="AQ351" s="35"/>
      <c r="AR351" s="35"/>
      <c r="AS351" s="35"/>
    </row>
    <row r="352" spans="2:45" x14ac:dyDescent="0.2">
      <c r="B352" s="2">
        <v>43478.96707175926</v>
      </c>
      <c r="C352" s="5">
        <f t="shared" si="40"/>
        <v>5.1666664600000018</v>
      </c>
      <c r="D352" s="14">
        <v>4.359712</v>
      </c>
      <c r="E352" s="14">
        <v>4.3453080000000002</v>
      </c>
      <c r="F352" s="14">
        <v>3.800122</v>
      </c>
      <c r="G352" s="14">
        <v>2.4397389999999999</v>
      </c>
      <c r="H352" s="15">
        <v>4.6394330000000004</v>
      </c>
      <c r="I352" s="15">
        <v>3.288303</v>
      </c>
      <c r="J352" s="15">
        <v>9.6373940000000005</v>
      </c>
      <c r="K352" s="15">
        <v>4.0837919999999999</v>
      </c>
      <c r="L352" s="16">
        <v>2.9832429999999999</v>
      </c>
      <c r="M352" s="16">
        <v>5.12568</v>
      </c>
      <c r="N352" s="16">
        <v>6.5499549999999997</v>
      </c>
      <c r="O352" s="16">
        <v>3.6756850000000001</v>
      </c>
      <c r="P352" s="17">
        <v>7.3912589999999998</v>
      </c>
      <c r="Q352" s="17">
        <v>6.164714</v>
      </c>
      <c r="R352" s="17">
        <v>3.8517679999999999</v>
      </c>
      <c r="S352" s="17">
        <v>7.6783799999999998</v>
      </c>
      <c r="AP352" s="35"/>
      <c r="AQ352" s="35"/>
      <c r="AR352" s="35"/>
      <c r="AS352" s="35"/>
    </row>
    <row r="353" spans="2:45" x14ac:dyDescent="0.2">
      <c r="B353" s="2">
        <v>43478.970543981479</v>
      </c>
      <c r="C353" s="5">
        <f t="shared" si="40"/>
        <v>5.2499997900000022</v>
      </c>
      <c r="D353" s="14">
        <v>4.359712</v>
      </c>
      <c r="E353" s="14">
        <v>4.3457369999999997</v>
      </c>
      <c r="F353" s="14">
        <v>3.8001930000000002</v>
      </c>
      <c r="G353" s="14">
        <v>2.4397389999999999</v>
      </c>
      <c r="H353" s="15">
        <v>4.6590309999999997</v>
      </c>
      <c r="I353" s="15">
        <v>3.2889409999999999</v>
      </c>
      <c r="J353" s="15">
        <v>9.6373940000000005</v>
      </c>
      <c r="K353" s="15">
        <v>4.0847930000000003</v>
      </c>
      <c r="L353" s="16">
        <v>2.9832429999999999</v>
      </c>
      <c r="M353" s="16">
        <v>5.12568</v>
      </c>
      <c r="N353" s="16">
        <v>6.5506710000000004</v>
      </c>
      <c r="O353" s="16">
        <v>3.6785459999999999</v>
      </c>
      <c r="P353" s="17">
        <v>7.4077099999999998</v>
      </c>
      <c r="Q353" s="17">
        <v>6.164714</v>
      </c>
      <c r="R353" s="17">
        <v>3.8660730000000001</v>
      </c>
      <c r="S353" s="17">
        <v>7.6783799999999998</v>
      </c>
      <c r="AP353" s="35"/>
      <c r="AQ353" s="35"/>
      <c r="AR353" s="35"/>
      <c r="AS353" s="35"/>
    </row>
    <row r="354" spans="2:45" x14ac:dyDescent="0.2">
      <c r="B354" s="2">
        <v>43478.974016203705</v>
      </c>
      <c r="C354" s="5">
        <f t="shared" si="40"/>
        <v>5.3333331200000025</v>
      </c>
      <c r="D354" s="14">
        <v>4.359712</v>
      </c>
      <c r="E354" s="14">
        <v>4.3461660000000002</v>
      </c>
      <c r="F354" s="14">
        <v>3.800265</v>
      </c>
      <c r="G354" s="14">
        <v>2.4397389999999999</v>
      </c>
      <c r="H354" s="15">
        <v>4.6786289999999999</v>
      </c>
      <c r="I354" s="15">
        <v>3.292303</v>
      </c>
      <c r="J354" s="15">
        <v>9.6373940000000005</v>
      </c>
      <c r="K354" s="15">
        <v>4.0857939999999999</v>
      </c>
      <c r="L354" s="16">
        <v>2.9832429999999999</v>
      </c>
      <c r="M354" s="16">
        <v>5.12568</v>
      </c>
      <c r="N354" s="16">
        <v>6.5513859999999999</v>
      </c>
      <c r="O354" s="16">
        <v>3.6814070000000001</v>
      </c>
      <c r="P354" s="17">
        <v>7.4241599999999996</v>
      </c>
      <c r="Q354" s="17">
        <v>6.164714</v>
      </c>
      <c r="R354" s="17">
        <v>3.8803779999999999</v>
      </c>
      <c r="S354" s="17">
        <v>7.6783799999999998</v>
      </c>
      <c r="AP354" s="35"/>
      <c r="AQ354" s="35"/>
      <c r="AR354" s="35"/>
      <c r="AS354" s="35"/>
    </row>
    <row r="355" spans="2:45" x14ac:dyDescent="0.2">
      <c r="B355" s="2">
        <v>43478.977488425924</v>
      </c>
      <c r="C355" s="5">
        <f t="shared" si="40"/>
        <v>5.4166664500000028</v>
      </c>
      <c r="D355" s="14">
        <v>4.359712</v>
      </c>
      <c r="E355" s="14">
        <v>4.3465949999999998</v>
      </c>
      <c r="F355" s="14">
        <v>3.8003360000000002</v>
      </c>
      <c r="G355" s="14">
        <v>2.4397389999999999</v>
      </c>
      <c r="H355" s="15">
        <v>4.6982270000000002</v>
      </c>
      <c r="I355" s="15">
        <v>3.2956650000000001</v>
      </c>
      <c r="J355" s="15">
        <v>9.6373940000000005</v>
      </c>
      <c r="K355" s="15">
        <v>4.0867959999999997</v>
      </c>
      <c r="L355" s="16">
        <v>2.9832429999999999</v>
      </c>
      <c r="M355" s="16">
        <v>5.12568</v>
      </c>
      <c r="N355" s="16">
        <v>6.5521010000000004</v>
      </c>
      <c r="O355" s="16">
        <v>3.6842679999999999</v>
      </c>
      <c r="P355" s="17">
        <v>7.4337569999999999</v>
      </c>
      <c r="Q355" s="17">
        <v>6.164714</v>
      </c>
      <c r="R355" s="17">
        <v>3.8946830000000001</v>
      </c>
      <c r="S355" s="17">
        <v>7.6783799999999998</v>
      </c>
      <c r="AP355" s="35"/>
      <c r="AQ355" s="35"/>
      <c r="AR355" s="35"/>
      <c r="AS355" s="35"/>
    </row>
    <row r="356" spans="2:45" x14ac:dyDescent="0.2">
      <c r="B356" s="2">
        <v>43478.98096064815</v>
      </c>
      <c r="C356" s="5">
        <f t="shared" si="40"/>
        <v>5.4999997800000031</v>
      </c>
      <c r="D356" s="14">
        <v>4.359712</v>
      </c>
      <c r="E356" s="14">
        <v>4.3470240000000002</v>
      </c>
      <c r="F356" s="14">
        <v>3.800408</v>
      </c>
      <c r="G356" s="14">
        <v>2.4397389999999999</v>
      </c>
      <c r="H356" s="15">
        <v>4.7178250000000004</v>
      </c>
      <c r="I356" s="15">
        <v>3.299026</v>
      </c>
      <c r="J356" s="15">
        <v>9.6373940000000005</v>
      </c>
      <c r="K356" s="15">
        <v>4.0877970000000001</v>
      </c>
      <c r="L356" s="16">
        <v>2.9832429999999999</v>
      </c>
      <c r="M356" s="16">
        <v>5.12568</v>
      </c>
      <c r="N356" s="16">
        <v>6.552816</v>
      </c>
      <c r="O356" s="16">
        <v>3.6871290000000001</v>
      </c>
      <c r="P356" s="17">
        <v>7.4337569999999999</v>
      </c>
      <c r="Q356" s="17">
        <v>6.164714</v>
      </c>
      <c r="R356" s="17">
        <v>3.9089879999999999</v>
      </c>
      <c r="S356" s="17">
        <v>7.6783799999999998</v>
      </c>
      <c r="AP356" s="35"/>
      <c r="AQ356" s="35"/>
      <c r="AR356" s="35"/>
      <c r="AS356" s="35"/>
    </row>
    <row r="357" spans="2:45" x14ac:dyDescent="0.2">
      <c r="B357" s="2">
        <v>43478.984432870369</v>
      </c>
      <c r="C357" s="5">
        <f t="shared" si="40"/>
        <v>5.5833331100000034</v>
      </c>
      <c r="D357" s="14">
        <v>4.359712</v>
      </c>
      <c r="E357" s="14">
        <v>4.3474539999999999</v>
      </c>
      <c r="F357" s="14">
        <v>3.8004790000000002</v>
      </c>
      <c r="G357" s="14">
        <v>2.4397389999999999</v>
      </c>
      <c r="H357" s="15">
        <v>4.7374229999999997</v>
      </c>
      <c r="I357" s="15">
        <v>3.3023880000000001</v>
      </c>
      <c r="J357" s="15">
        <v>9.6373940000000005</v>
      </c>
      <c r="K357" s="15">
        <v>4.0887989999999999</v>
      </c>
      <c r="L357" s="16">
        <v>2.9832429999999999</v>
      </c>
      <c r="M357" s="16">
        <v>5.12568</v>
      </c>
      <c r="N357" s="16">
        <v>6.5535319999999997</v>
      </c>
      <c r="O357" s="16">
        <v>3.6899899999999999</v>
      </c>
      <c r="P357" s="17">
        <v>7.4357170000000004</v>
      </c>
      <c r="Q357" s="17">
        <v>6.164714</v>
      </c>
      <c r="R357" s="17">
        <v>3.9232939999999998</v>
      </c>
      <c r="S357" s="17">
        <v>7.6783799999999998</v>
      </c>
      <c r="AP357" s="35"/>
      <c r="AQ357" s="35"/>
      <c r="AR357" s="35"/>
      <c r="AS357" s="35"/>
    </row>
    <row r="358" spans="2:45" x14ac:dyDescent="0.2">
      <c r="B358" s="2">
        <v>43478.987905092596</v>
      </c>
      <c r="C358" s="5">
        <f t="shared" si="40"/>
        <v>5.6666664400000037</v>
      </c>
      <c r="D358" s="14">
        <v>4.359712</v>
      </c>
      <c r="E358" s="14">
        <v>4.3478830000000004</v>
      </c>
      <c r="F358" s="14">
        <v>3.800551</v>
      </c>
      <c r="G358" s="14">
        <v>2.4397389999999999</v>
      </c>
      <c r="H358" s="15">
        <v>4.7570209999999999</v>
      </c>
      <c r="I358" s="15">
        <v>3.3057500000000002</v>
      </c>
      <c r="J358" s="15">
        <v>9.6373940000000005</v>
      </c>
      <c r="K358" s="15">
        <v>4.0891109999999999</v>
      </c>
      <c r="L358" s="16">
        <v>2.9832429999999999</v>
      </c>
      <c r="M358" s="16">
        <v>5.12568</v>
      </c>
      <c r="N358" s="16">
        <v>6.5542470000000002</v>
      </c>
      <c r="O358" s="16">
        <v>3.6928559999999999</v>
      </c>
      <c r="P358" s="17">
        <v>7.4400079999999997</v>
      </c>
      <c r="Q358" s="17">
        <v>6.164714</v>
      </c>
      <c r="R358" s="17">
        <v>3.9376229999999999</v>
      </c>
      <c r="S358" s="17">
        <v>7.6783799999999998</v>
      </c>
      <c r="AP358" s="35"/>
      <c r="AQ358" s="35"/>
      <c r="AR358" s="35"/>
      <c r="AS358" s="35"/>
    </row>
    <row r="359" spans="2:45" x14ac:dyDescent="0.2">
      <c r="B359" s="2">
        <v>43478.991377314815</v>
      </c>
      <c r="C359" s="5">
        <f t="shared" si="40"/>
        <v>5.7499997700000041</v>
      </c>
      <c r="D359" s="14">
        <v>4.364287</v>
      </c>
      <c r="E359" s="14">
        <v>4.348312</v>
      </c>
      <c r="F359" s="14">
        <v>3.8006220000000002</v>
      </c>
      <c r="G359" s="14">
        <v>2.4397389999999999</v>
      </c>
      <c r="H359" s="15">
        <v>4.7635870000000002</v>
      </c>
      <c r="I359" s="15">
        <v>3.3091119999999998</v>
      </c>
      <c r="J359" s="15">
        <v>9.6373940000000005</v>
      </c>
      <c r="K359" s="15">
        <v>4.0926710000000002</v>
      </c>
      <c r="L359" s="16">
        <v>2.9832429999999999</v>
      </c>
      <c r="M359" s="16">
        <v>5.12568</v>
      </c>
      <c r="N359" s="16">
        <v>6.5549619999999997</v>
      </c>
      <c r="O359" s="16">
        <v>3.6957119999999999</v>
      </c>
      <c r="P359" s="17">
        <v>7.4443000000000001</v>
      </c>
      <c r="Q359" s="17">
        <v>6.164714</v>
      </c>
      <c r="R359" s="17">
        <v>3.9519039999999999</v>
      </c>
      <c r="S359" s="17">
        <v>7.6783799999999998</v>
      </c>
      <c r="AP359" s="35"/>
      <c r="AQ359" s="35"/>
      <c r="AR359" s="35"/>
      <c r="AS359" s="35"/>
    </row>
    <row r="360" spans="2:45" x14ac:dyDescent="0.2">
      <c r="B360" s="2">
        <v>43478.994849537034</v>
      </c>
      <c r="C360" s="5">
        <f t="shared" si="40"/>
        <v>5.8333331000000044</v>
      </c>
      <c r="D360" s="14">
        <v>4.369866</v>
      </c>
      <c r="E360" s="14">
        <v>4.3487410000000004</v>
      </c>
      <c r="F360" s="14">
        <v>3.800694</v>
      </c>
      <c r="G360" s="14">
        <v>2.4397389999999999</v>
      </c>
      <c r="H360" s="15">
        <v>4.7635870000000002</v>
      </c>
      <c r="I360" s="15">
        <v>3.3124729999999998</v>
      </c>
      <c r="J360" s="15">
        <v>9.6373940000000005</v>
      </c>
      <c r="K360" s="15">
        <v>4.093178</v>
      </c>
      <c r="L360" s="16">
        <v>2.9832429999999999</v>
      </c>
      <c r="M360" s="16">
        <v>5.12568</v>
      </c>
      <c r="N360" s="16">
        <v>6.5555669999999999</v>
      </c>
      <c r="O360" s="16">
        <v>3.6985730000000001</v>
      </c>
      <c r="P360" s="17">
        <v>7.4485910000000004</v>
      </c>
      <c r="Q360" s="17">
        <v>6.164714</v>
      </c>
      <c r="R360" s="17">
        <v>3.9662090000000001</v>
      </c>
      <c r="S360" s="17">
        <v>7.6783799999999998</v>
      </c>
      <c r="AP360" s="35"/>
      <c r="AQ360" s="35"/>
      <c r="AR360" s="35"/>
      <c r="AS360" s="35"/>
    </row>
    <row r="361" spans="2:45" x14ac:dyDescent="0.2">
      <c r="B361" s="2">
        <v>43478.99832175926</v>
      </c>
      <c r="C361" s="5">
        <f t="shared" si="40"/>
        <v>5.9166664300000047</v>
      </c>
      <c r="D361" s="14">
        <v>4.3726180000000001</v>
      </c>
      <c r="E361" s="14">
        <v>4.34917</v>
      </c>
      <c r="F361" s="14">
        <v>3.8007659999999999</v>
      </c>
      <c r="G361" s="14">
        <v>2.4397389999999999</v>
      </c>
      <c r="H361" s="15">
        <v>4.7635870000000002</v>
      </c>
      <c r="I361" s="15">
        <v>3.3158349999999999</v>
      </c>
      <c r="J361" s="15">
        <v>9.6373940000000005</v>
      </c>
      <c r="K361" s="15">
        <v>4.103167</v>
      </c>
      <c r="L361" s="16">
        <v>2.9832429999999999</v>
      </c>
      <c r="M361" s="16">
        <v>5.12568</v>
      </c>
      <c r="N361" s="16">
        <v>6.5555669999999999</v>
      </c>
      <c r="O361" s="16">
        <v>3.7014339999999999</v>
      </c>
      <c r="P361" s="17">
        <v>7.4528829999999999</v>
      </c>
      <c r="Q361" s="17">
        <v>6.164714</v>
      </c>
      <c r="R361" s="17">
        <v>3.9805139999999999</v>
      </c>
      <c r="S361" s="17">
        <v>7.6783799999999998</v>
      </c>
      <c r="AP361" s="35"/>
      <c r="AQ361" s="35"/>
      <c r="AR361" s="35"/>
      <c r="AS361" s="35"/>
    </row>
    <row r="362" spans="2:45" x14ac:dyDescent="0.2">
      <c r="B362" s="2">
        <v>43479.001793981479</v>
      </c>
      <c r="C362" s="5">
        <f t="shared" si="40"/>
        <v>5.999999760000005</v>
      </c>
      <c r="D362" s="14">
        <v>4.3760060000000003</v>
      </c>
      <c r="E362" s="14">
        <v>4.3495990000000004</v>
      </c>
      <c r="F362" s="14">
        <v>3.800837</v>
      </c>
      <c r="G362" s="14">
        <v>2.4397389999999999</v>
      </c>
      <c r="H362" s="15">
        <v>4.7635870000000002</v>
      </c>
      <c r="I362" s="15">
        <v>3.319197</v>
      </c>
      <c r="J362" s="15">
        <v>9.6373940000000005</v>
      </c>
      <c r="K362" s="15">
        <v>4.1181869999999998</v>
      </c>
      <c r="L362" s="16">
        <v>2.9832429999999999</v>
      </c>
      <c r="M362" s="16">
        <v>5.12568</v>
      </c>
      <c r="N362" s="16">
        <v>6.5555669999999999</v>
      </c>
      <c r="O362" s="16">
        <v>3.7042999999999999</v>
      </c>
      <c r="P362" s="17">
        <v>7.4571740000000002</v>
      </c>
      <c r="Q362" s="17">
        <v>6.164714</v>
      </c>
      <c r="R362" s="17">
        <v>3.9948429999999999</v>
      </c>
      <c r="S362" s="17">
        <v>7.6783799999999998</v>
      </c>
      <c r="V362" s="25">
        <v>6</v>
      </c>
      <c r="W362">
        <f>AVERAGE(D351:D362)</f>
        <v>4.3633727500000008</v>
      </c>
      <c r="X362">
        <f t="shared" ref="X362:AK362" si="44">AVERAGE(E351:E362)</f>
        <v>4.3472389999999992</v>
      </c>
      <c r="Y362">
        <f t="shared" si="44"/>
        <v>3.8004472499999999</v>
      </c>
      <c r="Z362">
        <f t="shared" si="44"/>
        <v>2.4397389999999999</v>
      </c>
      <c r="AA362">
        <f t="shared" si="44"/>
        <v>4.7134810000000007</v>
      </c>
      <c r="AB362">
        <f t="shared" si="44"/>
        <v>3.3014413333333334</v>
      </c>
      <c r="AC362">
        <f t="shared" si="44"/>
        <v>9.6373940000000005</v>
      </c>
      <c r="AD362">
        <f t="shared" si="44"/>
        <v>4.0914062500000004</v>
      </c>
      <c r="AE362">
        <f t="shared" si="44"/>
        <v>2.9832430000000003</v>
      </c>
      <c r="AF362">
        <f t="shared" si="44"/>
        <v>5.1256800000000009</v>
      </c>
      <c r="AG362">
        <f t="shared" si="44"/>
        <v>6.5529675833333334</v>
      </c>
      <c r="AH362">
        <f t="shared" si="44"/>
        <v>3.6885603333333337</v>
      </c>
      <c r="AI362">
        <f t="shared" si="44"/>
        <v>7.4286770000000004</v>
      </c>
      <c r="AJ362">
        <f t="shared" si="44"/>
        <v>6.1647140000000009</v>
      </c>
      <c r="AK362">
        <f t="shared" si="44"/>
        <v>3.9161450000000002</v>
      </c>
      <c r="AL362">
        <f>AVERAGE(S351:S362)</f>
        <v>7.6783800000000006</v>
      </c>
      <c r="AO362" s="25">
        <v>6</v>
      </c>
      <c r="AP362" s="35">
        <f>AVERAGE(W362:Z362)</f>
        <v>3.7376994999999997</v>
      </c>
      <c r="AQ362" s="35">
        <f>AVERAGE(AA362:AD362)</f>
        <v>5.4359306458333343</v>
      </c>
      <c r="AR362" s="35">
        <f>AVERAGE(AE362:AH362)</f>
        <v>4.5876127291666675</v>
      </c>
      <c r="AS362" s="35">
        <f>AVERAGE(AI362:AL362)</f>
        <v>6.2969790000000003</v>
      </c>
    </row>
    <row r="363" spans="2:45" x14ac:dyDescent="0.2">
      <c r="B363" s="2">
        <v>43479.005266203705</v>
      </c>
      <c r="C363" s="5">
        <f t="shared" si="40"/>
        <v>6.0833330900000053</v>
      </c>
      <c r="D363" s="14">
        <v>4.3805829999999997</v>
      </c>
      <c r="E363" s="14">
        <v>4.3500290000000001</v>
      </c>
      <c r="F363" s="14">
        <v>3.8009089999999999</v>
      </c>
      <c r="G363" s="14">
        <v>2.4397389999999999</v>
      </c>
      <c r="H363" s="15">
        <v>4.7635870000000002</v>
      </c>
      <c r="I363" s="15">
        <v>3.3225579999999999</v>
      </c>
      <c r="J363" s="15">
        <v>9.6373940000000005</v>
      </c>
      <c r="K363" s="15">
        <v>4.1332329999999997</v>
      </c>
      <c r="L363" s="16">
        <v>2.9832429999999999</v>
      </c>
      <c r="M363" s="16">
        <v>5.12568</v>
      </c>
      <c r="N363" s="16">
        <v>6.5555669999999999</v>
      </c>
      <c r="O363" s="16">
        <v>3.7071559999999999</v>
      </c>
      <c r="P363" s="17">
        <v>7.4614659999999997</v>
      </c>
      <c r="Q363" s="17">
        <v>6.164714</v>
      </c>
      <c r="R363" s="17">
        <v>4.0091239999999999</v>
      </c>
      <c r="S363" s="17">
        <v>7.6783799999999998</v>
      </c>
      <c r="AP363" s="35"/>
      <c r="AQ363" s="35"/>
      <c r="AR363" s="35"/>
      <c r="AS363" s="35"/>
    </row>
    <row r="364" spans="2:45" x14ac:dyDescent="0.2">
      <c r="B364" s="2">
        <v>43479.008738425924</v>
      </c>
      <c r="C364" s="5">
        <f t="shared" si="40"/>
        <v>6.1666664200000056</v>
      </c>
      <c r="D364" s="14">
        <v>4.3851610000000001</v>
      </c>
      <c r="E364" s="14">
        <v>4.3504579999999997</v>
      </c>
      <c r="F364" s="14">
        <v>3.80098</v>
      </c>
      <c r="G364" s="14">
        <v>2.4397389999999999</v>
      </c>
      <c r="H364" s="15">
        <v>4.7635870000000002</v>
      </c>
      <c r="I364" s="15">
        <v>3.32592</v>
      </c>
      <c r="J364" s="15">
        <v>9.6373940000000005</v>
      </c>
      <c r="K364" s="15">
        <v>4.1482279999999996</v>
      </c>
      <c r="L364" s="16">
        <v>2.9832429999999999</v>
      </c>
      <c r="M364" s="16">
        <v>5.12568</v>
      </c>
      <c r="N364" s="16">
        <v>6.5555669999999999</v>
      </c>
      <c r="O364" s="16">
        <v>3.7100170000000001</v>
      </c>
      <c r="P364" s="17">
        <v>7.465757</v>
      </c>
      <c r="Q364" s="17">
        <v>6.164714</v>
      </c>
      <c r="R364" s="17">
        <v>4.0234290000000001</v>
      </c>
      <c r="S364" s="17">
        <v>7.6783799999999998</v>
      </c>
      <c r="AP364" s="35"/>
      <c r="AQ364" s="35"/>
      <c r="AR364" s="35"/>
      <c r="AS364" s="35"/>
    </row>
    <row r="365" spans="2:45" x14ac:dyDescent="0.2">
      <c r="B365" s="2">
        <v>43479.01221064815</v>
      </c>
      <c r="C365" s="5">
        <f t="shared" si="40"/>
        <v>6.249999750000006</v>
      </c>
      <c r="D365" s="14">
        <v>4.3897389999999996</v>
      </c>
      <c r="E365" s="14">
        <v>4.3508870000000002</v>
      </c>
      <c r="F365" s="14">
        <v>3.8010519999999999</v>
      </c>
      <c r="G365" s="14">
        <v>2.4397389999999999</v>
      </c>
      <c r="H365" s="15">
        <v>4.7635870000000002</v>
      </c>
      <c r="I365" s="15">
        <v>3.3292820000000001</v>
      </c>
      <c r="J365" s="15">
        <v>9.6373940000000005</v>
      </c>
      <c r="K365" s="15">
        <v>4.1632480000000003</v>
      </c>
      <c r="L365" s="16">
        <v>2.9832429999999999</v>
      </c>
      <c r="M365" s="16">
        <v>5.12568</v>
      </c>
      <c r="N365" s="16">
        <v>6.5555669999999999</v>
      </c>
      <c r="O365" s="16">
        <v>3.7128779999999999</v>
      </c>
      <c r="P365" s="17">
        <v>7.4700490000000004</v>
      </c>
      <c r="Q365" s="17">
        <v>6.164714</v>
      </c>
      <c r="R365" s="17">
        <v>4.0377349999999996</v>
      </c>
      <c r="S365" s="17">
        <v>7.6783799999999998</v>
      </c>
      <c r="AP365" s="35"/>
      <c r="AQ365" s="35"/>
      <c r="AR365" s="35"/>
      <c r="AS365" s="35"/>
    </row>
    <row r="366" spans="2:45" x14ac:dyDescent="0.2">
      <c r="B366" s="2">
        <v>43479.015682870369</v>
      </c>
      <c r="C366" s="5">
        <f t="shared" si="40"/>
        <v>6.3333330800000063</v>
      </c>
      <c r="D366" s="14">
        <v>4.3943159999999999</v>
      </c>
      <c r="E366" s="14">
        <v>4.3513159999999997</v>
      </c>
      <c r="F366" s="14">
        <v>3.801123</v>
      </c>
      <c r="G366" s="14">
        <v>2.4397389999999999</v>
      </c>
      <c r="H366" s="15">
        <v>4.7635870000000002</v>
      </c>
      <c r="I366" s="15">
        <v>3.3326440000000002</v>
      </c>
      <c r="J366" s="15">
        <v>9.6373940000000005</v>
      </c>
      <c r="K366" s="15">
        <v>4.1782680000000001</v>
      </c>
      <c r="L366" s="16">
        <v>2.9832429999999999</v>
      </c>
      <c r="M366" s="16">
        <v>5.12568</v>
      </c>
      <c r="N366" s="16">
        <v>6.5555669999999999</v>
      </c>
      <c r="O366" s="16">
        <v>3.7157390000000001</v>
      </c>
      <c r="P366" s="17">
        <v>7.4743399999999998</v>
      </c>
      <c r="Q366" s="17">
        <v>6.164714</v>
      </c>
      <c r="R366" s="17">
        <v>4.0520399999999999</v>
      </c>
      <c r="S366" s="17">
        <v>7.6783799999999998</v>
      </c>
      <c r="AP366" s="35"/>
      <c r="AQ366" s="35"/>
      <c r="AR366" s="35"/>
      <c r="AS366" s="35"/>
    </row>
    <row r="367" spans="2:45" x14ac:dyDescent="0.2">
      <c r="B367" s="2">
        <v>43479.019155092596</v>
      </c>
      <c r="C367" s="5">
        <f t="shared" si="40"/>
        <v>6.4166664100000066</v>
      </c>
      <c r="D367" s="14">
        <v>4.3988940000000003</v>
      </c>
      <c r="E367" s="14">
        <v>4.3517450000000002</v>
      </c>
      <c r="F367" s="14">
        <v>3.8011949999999999</v>
      </c>
      <c r="G367" s="14">
        <v>2.4397389999999999</v>
      </c>
      <c r="H367" s="15">
        <v>4.7635870000000002</v>
      </c>
      <c r="I367" s="15">
        <v>3.3360050000000001</v>
      </c>
      <c r="J367" s="15">
        <v>9.6373940000000005</v>
      </c>
      <c r="K367" s="15">
        <v>4.193289</v>
      </c>
      <c r="L367" s="16">
        <v>2.9832429999999999</v>
      </c>
      <c r="M367" s="16">
        <v>5.12568</v>
      </c>
      <c r="N367" s="16">
        <v>6.5555669999999999</v>
      </c>
      <c r="O367" s="16">
        <v>3.7185999999999999</v>
      </c>
      <c r="P367" s="17">
        <v>7.4786320000000002</v>
      </c>
      <c r="Q367" s="17">
        <v>6.164714</v>
      </c>
      <c r="R367" s="17">
        <v>4.0663450000000001</v>
      </c>
      <c r="S367" s="17">
        <v>7.6783799999999998</v>
      </c>
      <c r="AP367" s="35"/>
      <c r="AQ367" s="35"/>
      <c r="AR367" s="35"/>
      <c r="AS367" s="35"/>
    </row>
    <row r="368" spans="2:45" x14ac:dyDescent="0.2">
      <c r="B368" s="2">
        <v>43479.022627314815</v>
      </c>
      <c r="C368" s="5">
        <f t="shared" si="40"/>
        <v>6.4999997400000069</v>
      </c>
      <c r="D368" s="14">
        <v>4.4034709999999997</v>
      </c>
      <c r="E368" s="14">
        <v>4.3521739999999998</v>
      </c>
      <c r="F368" s="14">
        <v>3.801266</v>
      </c>
      <c r="G368" s="14">
        <v>2.4397389999999999</v>
      </c>
      <c r="H368" s="15">
        <v>4.7635870000000002</v>
      </c>
      <c r="I368" s="15">
        <v>3.3393670000000002</v>
      </c>
      <c r="J368" s="15">
        <v>9.6373940000000005</v>
      </c>
      <c r="K368" s="15">
        <v>4.2083089999999999</v>
      </c>
      <c r="L368" s="16">
        <v>2.9832429999999999</v>
      </c>
      <c r="M368" s="16">
        <v>5.12568</v>
      </c>
      <c r="N368" s="16">
        <v>6.5555669999999999</v>
      </c>
      <c r="O368" s="16">
        <v>3.7214610000000001</v>
      </c>
      <c r="P368" s="17">
        <v>7.4820650000000004</v>
      </c>
      <c r="Q368" s="17">
        <v>6.164714</v>
      </c>
      <c r="R368" s="17">
        <v>4.0806500000000003</v>
      </c>
      <c r="S368" s="17">
        <v>7.6783799999999998</v>
      </c>
      <c r="AP368" s="35"/>
      <c r="AQ368" s="35"/>
      <c r="AR368" s="35"/>
      <c r="AS368" s="35"/>
    </row>
    <row r="369" spans="2:45" x14ac:dyDescent="0.2">
      <c r="B369" s="2">
        <v>43479.026099537034</v>
      </c>
      <c r="C369" s="5">
        <f t="shared" si="40"/>
        <v>6.5833330700000072</v>
      </c>
      <c r="D369" s="14">
        <v>4.4062029999999996</v>
      </c>
      <c r="E369" s="14">
        <v>4.3526030000000002</v>
      </c>
      <c r="F369" s="14">
        <v>3.8013379999999999</v>
      </c>
      <c r="G369" s="14">
        <v>2.4397389999999999</v>
      </c>
      <c r="H369" s="15">
        <v>4.7635870000000002</v>
      </c>
      <c r="I369" s="15">
        <v>3.3427289999999998</v>
      </c>
      <c r="J369" s="15">
        <v>9.6373940000000005</v>
      </c>
      <c r="K369" s="15">
        <v>4.2233549999999997</v>
      </c>
      <c r="L369" s="16">
        <v>2.9832429999999999</v>
      </c>
      <c r="M369" s="16">
        <v>5.12568</v>
      </c>
      <c r="N369" s="16">
        <v>6.5555669999999999</v>
      </c>
      <c r="O369" s="16">
        <v>3.7243219999999999</v>
      </c>
      <c r="P369" s="17">
        <v>7.4820650000000004</v>
      </c>
      <c r="Q369" s="17">
        <v>6.164714</v>
      </c>
      <c r="R369" s="17">
        <v>4.0949549999999997</v>
      </c>
      <c r="S369" s="17">
        <v>7.6783799999999998</v>
      </c>
      <c r="AP369" s="35"/>
      <c r="AQ369" s="35"/>
      <c r="AR369" s="35"/>
      <c r="AS369" s="35"/>
    </row>
    <row r="370" spans="2:45" x14ac:dyDescent="0.2">
      <c r="B370" s="2">
        <v>43479.02957175926</v>
      </c>
      <c r="C370" s="5">
        <f t="shared" si="40"/>
        <v>6.6666664000000075</v>
      </c>
      <c r="D370" s="14">
        <v>4.4097759999999999</v>
      </c>
      <c r="E370" s="14">
        <v>4.3530329999999999</v>
      </c>
      <c r="F370" s="14">
        <v>3.801409</v>
      </c>
      <c r="G370" s="14">
        <v>2.4399639999999998</v>
      </c>
      <c r="H370" s="15">
        <v>4.7635870000000002</v>
      </c>
      <c r="I370" s="15">
        <v>3.3446449999999999</v>
      </c>
      <c r="J370" s="15">
        <v>9.6373940000000005</v>
      </c>
      <c r="K370" s="15">
        <v>4.2383499999999996</v>
      </c>
      <c r="L370" s="16">
        <v>2.9832429999999999</v>
      </c>
      <c r="M370" s="16">
        <v>5.12568</v>
      </c>
      <c r="N370" s="16">
        <v>6.5555669999999999</v>
      </c>
      <c r="O370" s="16">
        <v>3.7271830000000001</v>
      </c>
      <c r="P370" s="17">
        <v>7.4820650000000004</v>
      </c>
      <c r="Q370" s="17">
        <v>6.164714</v>
      </c>
      <c r="R370" s="17">
        <v>4.1092599999999999</v>
      </c>
      <c r="S370" s="17">
        <v>7.6783799999999998</v>
      </c>
      <c r="AP370" s="35"/>
      <c r="AQ370" s="35"/>
      <c r="AR370" s="35"/>
      <c r="AS370" s="35"/>
    </row>
    <row r="371" spans="2:45" x14ac:dyDescent="0.2">
      <c r="B371" s="2">
        <v>43479.033043981479</v>
      </c>
      <c r="C371" s="5">
        <f t="shared" si="40"/>
        <v>6.7499997300000079</v>
      </c>
      <c r="D371" s="14">
        <v>4.4182160000000001</v>
      </c>
      <c r="E371" s="14">
        <v>4.3534620000000004</v>
      </c>
      <c r="F371" s="14">
        <v>3.8014809999999999</v>
      </c>
      <c r="G371" s="14">
        <v>2.4407510000000001</v>
      </c>
      <c r="H371" s="15">
        <v>4.7635870000000002</v>
      </c>
      <c r="I371" s="15">
        <v>3.3500559999999999</v>
      </c>
      <c r="J371" s="15">
        <v>9.6373940000000005</v>
      </c>
      <c r="K371" s="15">
        <v>4.2533700000000003</v>
      </c>
      <c r="L371" s="16">
        <v>2.9832429999999999</v>
      </c>
      <c r="M371" s="16">
        <v>5.12568</v>
      </c>
      <c r="N371" s="16">
        <v>6.5555669999999999</v>
      </c>
      <c r="O371" s="16">
        <v>3.7300439999999999</v>
      </c>
      <c r="P371" s="17">
        <v>7.4820650000000004</v>
      </c>
      <c r="Q371" s="17">
        <v>6.164714</v>
      </c>
      <c r="R371" s="17">
        <v>4.1235650000000001</v>
      </c>
      <c r="S371" s="17">
        <v>7.6783799999999998</v>
      </c>
      <c r="AP371" s="35"/>
      <c r="AQ371" s="35"/>
      <c r="AR371" s="35"/>
      <c r="AS371" s="35"/>
    </row>
    <row r="372" spans="2:45" x14ac:dyDescent="0.2">
      <c r="B372" s="2">
        <v>43479.036516203705</v>
      </c>
      <c r="C372" s="5">
        <f t="shared" si="40"/>
        <v>6.8333330600000082</v>
      </c>
      <c r="D372" s="14">
        <v>4.4266560000000004</v>
      </c>
      <c r="E372" s="14">
        <v>4.3536580000000002</v>
      </c>
      <c r="F372" s="14">
        <v>3.801552</v>
      </c>
      <c r="G372" s="14">
        <v>2.4415369999999998</v>
      </c>
      <c r="H372" s="15">
        <v>4.7635870000000002</v>
      </c>
      <c r="I372" s="15">
        <v>3.3556349999999999</v>
      </c>
      <c r="J372" s="15">
        <v>9.6373940000000005</v>
      </c>
      <c r="K372" s="15">
        <v>4.2683910000000003</v>
      </c>
      <c r="L372" s="16">
        <v>2.9832429999999999</v>
      </c>
      <c r="M372" s="16">
        <v>5.12568</v>
      </c>
      <c r="N372" s="16">
        <v>6.5555669999999999</v>
      </c>
      <c r="O372" s="16">
        <v>3.7329050000000001</v>
      </c>
      <c r="P372" s="17">
        <v>7.4820650000000004</v>
      </c>
      <c r="Q372" s="17">
        <v>6.164714</v>
      </c>
      <c r="R372" s="17">
        <v>4.1378700000000004</v>
      </c>
      <c r="S372" s="17">
        <v>7.6783799999999998</v>
      </c>
      <c r="AP372" s="35"/>
      <c r="AQ372" s="35"/>
      <c r="AR372" s="35"/>
      <c r="AS372" s="35"/>
    </row>
    <row r="373" spans="2:45" x14ac:dyDescent="0.2">
      <c r="B373" s="2">
        <v>43479.039988425924</v>
      </c>
      <c r="C373" s="5">
        <f t="shared" si="40"/>
        <v>6.9166663900000085</v>
      </c>
      <c r="D373" s="14">
        <v>4.4350959999999997</v>
      </c>
      <c r="E373" s="14">
        <v>4.3543589999999996</v>
      </c>
      <c r="F373" s="14">
        <v>3.8016239999999999</v>
      </c>
      <c r="G373" s="14">
        <v>2.4423240000000002</v>
      </c>
      <c r="H373" s="15">
        <v>4.7635870000000002</v>
      </c>
      <c r="I373" s="15">
        <v>3.3606940000000001</v>
      </c>
      <c r="J373" s="15">
        <v>9.6373940000000005</v>
      </c>
      <c r="K373" s="15">
        <v>4.2834110000000001</v>
      </c>
      <c r="L373" s="16">
        <v>2.9832429999999999</v>
      </c>
      <c r="M373" s="16">
        <v>5.12568</v>
      </c>
      <c r="N373" s="16">
        <v>6.5555669999999999</v>
      </c>
      <c r="O373" s="16">
        <v>3.7357659999999999</v>
      </c>
      <c r="P373" s="17">
        <v>7.4820650000000004</v>
      </c>
      <c r="Q373" s="17">
        <v>6.164714</v>
      </c>
      <c r="R373" s="17">
        <v>4.1398489999999999</v>
      </c>
      <c r="S373" s="17">
        <v>7.6783799999999998</v>
      </c>
      <c r="AP373" s="35"/>
      <c r="AQ373" s="35"/>
      <c r="AR373" s="35"/>
      <c r="AS373" s="35"/>
    </row>
    <row r="374" spans="2:45" x14ac:dyDescent="0.2">
      <c r="B374" s="2">
        <v>43479.04346064815</v>
      </c>
      <c r="C374" s="5">
        <f t="shared" si="40"/>
        <v>6.9999997200000088</v>
      </c>
      <c r="D374" s="14">
        <v>4.4435359999999999</v>
      </c>
      <c r="E374" s="14">
        <v>4.3553600000000001</v>
      </c>
      <c r="F374" s="14">
        <v>3.801695</v>
      </c>
      <c r="G374" s="14">
        <v>2.443111</v>
      </c>
      <c r="H374" s="15">
        <v>4.7635870000000002</v>
      </c>
      <c r="I374" s="15">
        <v>3.3606940000000001</v>
      </c>
      <c r="J374" s="15">
        <v>9.6373940000000005</v>
      </c>
      <c r="K374" s="15">
        <v>4.2984309999999999</v>
      </c>
      <c r="L374" s="16">
        <v>2.9832429999999999</v>
      </c>
      <c r="M374" s="16">
        <v>5.12568</v>
      </c>
      <c r="N374" s="16">
        <v>6.5555669999999999</v>
      </c>
      <c r="O374" s="16">
        <v>3.7386270000000001</v>
      </c>
      <c r="P374" s="17">
        <v>7.4820650000000004</v>
      </c>
      <c r="Q374" s="17">
        <v>6.164714</v>
      </c>
      <c r="R374" s="17">
        <v>4.1398489999999999</v>
      </c>
      <c r="S374" s="17">
        <v>7.6783799999999998</v>
      </c>
      <c r="V374" s="25">
        <v>7</v>
      </c>
      <c r="W374">
        <f>AVERAGE(D363:D374)</f>
        <v>4.4076372500000005</v>
      </c>
      <c r="X374">
        <f t="shared" ref="X374:AL374" si="45">AVERAGE(E363:E374)</f>
        <v>4.3524236666666676</v>
      </c>
      <c r="Y374">
        <f t="shared" si="45"/>
        <v>3.8013020000000002</v>
      </c>
      <c r="Z374">
        <f t="shared" si="45"/>
        <v>2.4404883333333331</v>
      </c>
      <c r="AA374">
        <f t="shared" si="45"/>
        <v>4.7635870000000002</v>
      </c>
      <c r="AB374">
        <f t="shared" si="45"/>
        <v>3.3416857499999999</v>
      </c>
      <c r="AC374">
        <f t="shared" si="45"/>
        <v>9.6373940000000005</v>
      </c>
      <c r="AD374">
        <f t="shared" si="45"/>
        <v>4.2158235833333331</v>
      </c>
      <c r="AE374">
        <f t="shared" si="45"/>
        <v>2.9832430000000003</v>
      </c>
      <c r="AF374">
        <f t="shared" si="45"/>
        <v>5.1256800000000009</v>
      </c>
      <c r="AG374">
        <f t="shared" si="45"/>
        <v>6.5555669999999973</v>
      </c>
      <c r="AH374">
        <f t="shared" si="45"/>
        <v>3.7228915000000007</v>
      </c>
      <c r="AI374">
        <f t="shared" si="45"/>
        <v>7.4770582500000016</v>
      </c>
      <c r="AJ374">
        <f t="shared" si="45"/>
        <v>6.1647140000000009</v>
      </c>
      <c r="AK374">
        <f t="shared" si="45"/>
        <v>4.0845559166666661</v>
      </c>
      <c r="AL374">
        <f t="shared" si="45"/>
        <v>7.6783800000000006</v>
      </c>
      <c r="AO374" s="25">
        <v>7</v>
      </c>
      <c r="AP374" s="35">
        <f>AVERAGE(W374:Z374)</f>
        <v>3.7504628124999999</v>
      </c>
      <c r="AQ374" s="35">
        <f>AVERAGE(AA374:AD374)</f>
        <v>5.4896225833333334</v>
      </c>
      <c r="AR374" s="35">
        <f>AVERAGE(AE374:AH374)</f>
        <v>4.5968453749999991</v>
      </c>
      <c r="AS374" s="35">
        <f>AVERAGE(AI374:AL374)</f>
        <v>6.3511770416666673</v>
      </c>
    </row>
    <row r="375" spans="2:45" x14ac:dyDescent="0.2">
      <c r="B375" s="2">
        <v>43479.046932870369</v>
      </c>
      <c r="C375" s="5">
        <f t="shared" si="40"/>
        <v>7.0833330500000091</v>
      </c>
      <c r="D375" s="14">
        <v>4.4519760000000002</v>
      </c>
      <c r="E375" s="14">
        <v>4.3563609999999997</v>
      </c>
      <c r="F375" s="14">
        <v>3.8017669999999999</v>
      </c>
      <c r="G375" s="14">
        <v>2.4438979999999999</v>
      </c>
      <c r="H375" s="15">
        <v>4.7635870000000002</v>
      </c>
      <c r="I375" s="15">
        <v>3.3606940000000001</v>
      </c>
      <c r="J375" s="15">
        <v>9.6373940000000005</v>
      </c>
      <c r="K375" s="15">
        <v>4.3134519999999998</v>
      </c>
      <c r="L375" s="16">
        <v>2.9832429999999999</v>
      </c>
      <c r="M375" s="16">
        <v>5.12568</v>
      </c>
      <c r="N375" s="16">
        <v>6.5555669999999999</v>
      </c>
      <c r="O375" s="16">
        <v>3.7414879999999999</v>
      </c>
      <c r="P375" s="17">
        <v>7.4820650000000004</v>
      </c>
      <c r="Q375" s="17">
        <v>6.164714</v>
      </c>
      <c r="R375" s="17">
        <v>4.1398489999999999</v>
      </c>
      <c r="S375" s="17">
        <v>7.6783799999999998</v>
      </c>
      <c r="AP375" s="35"/>
      <c r="AQ375" s="35"/>
      <c r="AR375" s="35"/>
      <c r="AS375" s="35"/>
    </row>
    <row r="376" spans="2:45" x14ac:dyDescent="0.2">
      <c r="B376" s="2">
        <v>43479.050405092596</v>
      </c>
      <c r="C376" s="5">
        <f t="shared" si="40"/>
        <v>7.1666663800000094</v>
      </c>
      <c r="D376" s="14">
        <v>4.4604160000000004</v>
      </c>
      <c r="E376" s="14">
        <v>4.3573630000000003</v>
      </c>
      <c r="F376" s="14">
        <v>3.8018380000000001</v>
      </c>
      <c r="G376" s="14">
        <v>2.4446850000000002</v>
      </c>
      <c r="H376" s="15">
        <v>4.7635870000000002</v>
      </c>
      <c r="I376" s="15">
        <v>3.3606940000000001</v>
      </c>
      <c r="J376" s="15">
        <v>9.6373940000000005</v>
      </c>
      <c r="K376" s="15">
        <v>4.3284719999999997</v>
      </c>
      <c r="L376" s="16">
        <v>2.9832429999999999</v>
      </c>
      <c r="M376" s="16">
        <v>5.12568</v>
      </c>
      <c r="N376" s="16">
        <v>6.5555669999999999</v>
      </c>
      <c r="O376" s="16">
        <v>3.7443490000000001</v>
      </c>
      <c r="P376" s="17">
        <v>7.4820650000000004</v>
      </c>
      <c r="Q376" s="17">
        <v>6.164714</v>
      </c>
      <c r="R376" s="17">
        <v>4.1398489999999999</v>
      </c>
      <c r="S376" s="17">
        <v>7.6783799999999998</v>
      </c>
      <c r="AP376" s="35"/>
      <c r="AQ376" s="35"/>
      <c r="AR376" s="35"/>
      <c r="AS376" s="35"/>
    </row>
    <row r="377" spans="2:45" x14ac:dyDescent="0.2">
      <c r="B377" s="2">
        <v>43479.053877314815</v>
      </c>
      <c r="C377" s="5">
        <f t="shared" si="40"/>
        <v>7.2499997100000098</v>
      </c>
      <c r="D377" s="14">
        <v>4.4688559999999997</v>
      </c>
      <c r="E377" s="14">
        <v>4.3583639999999999</v>
      </c>
      <c r="F377" s="14">
        <v>3.8019099999999999</v>
      </c>
      <c r="G377" s="14">
        <v>2.445471</v>
      </c>
      <c r="H377" s="15">
        <v>4.7635870000000002</v>
      </c>
      <c r="I377" s="15">
        <v>3.3624670000000001</v>
      </c>
      <c r="J377" s="15">
        <v>9.6373940000000005</v>
      </c>
      <c r="K377" s="15">
        <v>4.3434929999999996</v>
      </c>
      <c r="L377" s="16">
        <v>2.9832429999999999</v>
      </c>
      <c r="M377" s="16">
        <v>5.12568</v>
      </c>
      <c r="N377" s="16">
        <v>6.5555669999999999</v>
      </c>
      <c r="O377" s="16">
        <v>3.7472099999999999</v>
      </c>
      <c r="P377" s="17">
        <v>7.4820650000000004</v>
      </c>
      <c r="Q377" s="17">
        <v>6.164714</v>
      </c>
      <c r="R377" s="17">
        <v>4.1398489999999999</v>
      </c>
      <c r="S377" s="17">
        <v>7.6783799999999998</v>
      </c>
      <c r="AP377" s="35"/>
      <c r="AQ377" s="35"/>
      <c r="AR377" s="35"/>
      <c r="AS377" s="35"/>
    </row>
    <row r="378" spans="2:45" x14ac:dyDescent="0.2">
      <c r="B378" s="2">
        <v>43479.057349537034</v>
      </c>
      <c r="C378" s="5">
        <f t="shared" si="40"/>
        <v>7.3333330400000101</v>
      </c>
      <c r="D378" s="14">
        <v>4.4772959999999999</v>
      </c>
      <c r="E378" s="14">
        <v>4.3593650000000004</v>
      </c>
      <c r="F378" s="14">
        <v>3.8019810000000001</v>
      </c>
      <c r="G378" s="14">
        <v>2.4462579999999998</v>
      </c>
      <c r="H378" s="15">
        <v>4.7635870000000002</v>
      </c>
      <c r="I378" s="15">
        <v>3.3661859999999999</v>
      </c>
      <c r="J378" s="15">
        <v>9.6373940000000005</v>
      </c>
      <c r="K378" s="15">
        <v>4.3585130000000003</v>
      </c>
      <c r="L378" s="16">
        <v>2.9832429999999999</v>
      </c>
      <c r="M378" s="16">
        <v>5.12568</v>
      </c>
      <c r="N378" s="16">
        <v>6.5555669999999999</v>
      </c>
      <c r="O378" s="16">
        <v>3.7500710000000002</v>
      </c>
      <c r="P378" s="17">
        <v>7.4820650000000004</v>
      </c>
      <c r="Q378" s="17">
        <v>6.164714</v>
      </c>
      <c r="R378" s="17">
        <v>4.1398489999999999</v>
      </c>
      <c r="S378" s="17">
        <v>7.6783799999999998</v>
      </c>
      <c r="AP378" s="35"/>
      <c r="AQ378" s="35"/>
      <c r="AR378" s="35"/>
      <c r="AS378" s="35"/>
    </row>
    <row r="379" spans="2:45" x14ac:dyDescent="0.2">
      <c r="B379" s="2">
        <v>43479.06082175926</v>
      </c>
      <c r="C379" s="5">
        <f t="shared" si="40"/>
        <v>7.4166663700000104</v>
      </c>
      <c r="D379" s="14">
        <v>4.4857360000000002</v>
      </c>
      <c r="E379" s="14">
        <v>4.3603670000000001</v>
      </c>
      <c r="F379" s="14">
        <v>3.8020529999999999</v>
      </c>
      <c r="G379" s="14">
        <v>2.4470450000000001</v>
      </c>
      <c r="H379" s="15">
        <v>4.7635870000000002</v>
      </c>
      <c r="I379" s="15">
        <v>3.3699050000000002</v>
      </c>
      <c r="J379" s="15">
        <v>9.6373940000000005</v>
      </c>
      <c r="K379" s="15">
        <v>4.3735330000000001</v>
      </c>
      <c r="L379" s="16">
        <v>2.9832429999999999</v>
      </c>
      <c r="M379" s="16">
        <v>5.12568</v>
      </c>
      <c r="N379" s="16">
        <v>6.5555669999999999</v>
      </c>
      <c r="O379" s="16">
        <v>3.7529319999999999</v>
      </c>
      <c r="P379" s="17">
        <v>7.4820650000000004</v>
      </c>
      <c r="Q379" s="17">
        <v>6.164714</v>
      </c>
      <c r="R379" s="17">
        <v>4.1398489999999999</v>
      </c>
      <c r="S379" s="17">
        <v>7.6783799999999998</v>
      </c>
      <c r="AP379" s="35"/>
      <c r="AQ379" s="35"/>
      <c r="AR379" s="35"/>
      <c r="AS379" s="35"/>
    </row>
    <row r="380" spans="2:45" x14ac:dyDescent="0.2">
      <c r="B380" s="2">
        <v>43479.064293981479</v>
      </c>
      <c r="C380" s="5">
        <f t="shared" si="40"/>
        <v>7.4999997000000107</v>
      </c>
      <c r="D380" s="14">
        <v>4.4941760000000004</v>
      </c>
      <c r="E380" s="14">
        <v>4.3613679999999997</v>
      </c>
      <c r="F380" s="14">
        <v>3.8021250000000002</v>
      </c>
      <c r="G380" s="14">
        <v>2.447832</v>
      </c>
      <c r="H380" s="15">
        <v>4.7635870000000002</v>
      </c>
      <c r="I380" s="15">
        <v>3.3736250000000001</v>
      </c>
      <c r="J380" s="15">
        <v>9.6373940000000005</v>
      </c>
      <c r="K380" s="15">
        <v>4.3885540000000001</v>
      </c>
      <c r="L380" s="16">
        <v>2.9832429999999999</v>
      </c>
      <c r="M380" s="16">
        <v>5.12568</v>
      </c>
      <c r="N380" s="16">
        <v>6.5555669999999999</v>
      </c>
      <c r="O380" s="16">
        <v>3.7557930000000002</v>
      </c>
      <c r="P380" s="17">
        <v>7.4820650000000004</v>
      </c>
      <c r="Q380" s="17">
        <v>6.164714</v>
      </c>
      <c r="R380" s="17">
        <v>4.1398489999999999</v>
      </c>
      <c r="S380" s="17">
        <v>7.6783799999999998</v>
      </c>
      <c r="AP380" s="35"/>
      <c r="AQ380" s="35"/>
      <c r="AR380" s="35"/>
      <c r="AS380" s="35"/>
    </row>
    <row r="381" spans="2:45" x14ac:dyDescent="0.2">
      <c r="B381" s="2">
        <v>43479.067766203705</v>
      </c>
      <c r="C381" s="5">
        <f t="shared" si="40"/>
        <v>7.583333030000011</v>
      </c>
      <c r="D381" s="14">
        <v>4.5026159999999997</v>
      </c>
      <c r="E381" s="14">
        <v>4.3623700000000003</v>
      </c>
      <c r="F381" s="14">
        <v>3.8021959999999999</v>
      </c>
      <c r="G381" s="14">
        <v>2.4486180000000002</v>
      </c>
      <c r="H381" s="15">
        <v>4.7635870000000002</v>
      </c>
      <c r="I381" s="15">
        <v>3.3773439999999999</v>
      </c>
      <c r="J381" s="15">
        <v>9.6373940000000005</v>
      </c>
      <c r="K381" s="15">
        <v>4.4035739999999999</v>
      </c>
      <c r="L381" s="16">
        <v>2.9832429999999999</v>
      </c>
      <c r="M381" s="16">
        <v>5.12568</v>
      </c>
      <c r="N381" s="16">
        <v>6.5555669999999999</v>
      </c>
      <c r="O381" s="16">
        <v>3.7586539999999999</v>
      </c>
      <c r="P381" s="17">
        <v>7.4820650000000004</v>
      </c>
      <c r="Q381" s="17">
        <v>6.164714</v>
      </c>
      <c r="R381" s="17">
        <v>4.1398489999999999</v>
      </c>
      <c r="S381" s="17">
        <v>7.6783799999999998</v>
      </c>
      <c r="AP381" s="35"/>
      <c r="AQ381" s="35"/>
      <c r="AR381" s="35"/>
      <c r="AS381" s="35"/>
    </row>
    <row r="382" spans="2:45" x14ac:dyDescent="0.2">
      <c r="B382" s="2">
        <v>43479.071238425924</v>
      </c>
      <c r="C382" s="5">
        <f t="shared" si="40"/>
        <v>7.6666663600000113</v>
      </c>
      <c r="D382" s="14">
        <v>4.511056</v>
      </c>
      <c r="E382" s="14">
        <v>4.3633709999999999</v>
      </c>
      <c r="F382" s="14">
        <v>3.8022680000000002</v>
      </c>
      <c r="G382" s="14">
        <v>2.4494050000000001</v>
      </c>
      <c r="H382" s="15">
        <v>4.7635870000000002</v>
      </c>
      <c r="I382" s="15">
        <v>3.3810630000000002</v>
      </c>
      <c r="J382" s="15">
        <v>9.6522249999999996</v>
      </c>
      <c r="K382" s="15">
        <v>4.4185939999999997</v>
      </c>
      <c r="L382" s="16">
        <v>2.9832429999999999</v>
      </c>
      <c r="M382" s="16">
        <v>5.1266160000000003</v>
      </c>
      <c r="N382" s="16">
        <v>6.5555669999999999</v>
      </c>
      <c r="O382" s="16">
        <v>3.7615150000000002</v>
      </c>
      <c r="P382" s="17">
        <v>7.4820650000000004</v>
      </c>
      <c r="Q382" s="17">
        <v>6.164714</v>
      </c>
      <c r="R382" s="17">
        <v>4.1398489999999999</v>
      </c>
      <c r="S382" s="17">
        <v>7.6783799999999998</v>
      </c>
      <c r="AP382" s="35"/>
      <c r="AQ382" s="35"/>
      <c r="AR382" s="35"/>
      <c r="AS382" s="35"/>
    </row>
    <row r="383" spans="2:45" x14ac:dyDescent="0.2">
      <c r="B383" s="2">
        <v>43479.07471064815</v>
      </c>
      <c r="C383" s="5">
        <f t="shared" si="40"/>
        <v>7.7499996900000117</v>
      </c>
      <c r="D383" s="14">
        <v>4.5194960000000002</v>
      </c>
      <c r="E383" s="14">
        <v>4.3643720000000004</v>
      </c>
      <c r="F383" s="14">
        <v>3.8023389999999999</v>
      </c>
      <c r="G383" s="14">
        <v>2.4501919999999999</v>
      </c>
      <c r="H383" s="15">
        <v>4.7635870000000002</v>
      </c>
      <c r="I383" s="15">
        <v>3.3847830000000001</v>
      </c>
      <c r="J383" s="15">
        <v>9.679691</v>
      </c>
      <c r="K383" s="15">
        <v>4.4336149999999996</v>
      </c>
      <c r="L383" s="16">
        <v>2.9832429999999999</v>
      </c>
      <c r="M383" s="16">
        <v>5.1301920000000001</v>
      </c>
      <c r="N383" s="16">
        <v>6.5555669999999999</v>
      </c>
      <c r="O383" s="16">
        <v>3.7643759999999999</v>
      </c>
      <c r="P383" s="17">
        <v>7.4820650000000004</v>
      </c>
      <c r="Q383" s="17">
        <v>6.164714</v>
      </c>
      <c r="R383" s="17">
        <v>4.1398489999999999</v>
      </c>
      <c r="S383" s="17">
        <v>7.6783799999999998</v>
      </c>
      <c r="AP383" s="35"/>
      <c r="AQ383" s="35"/>
      <c r="AR383" s="35"/>
      <c r="AS383" s="35"/>
    </row>
    <row r="384" spans="2:45" x14ac:dyDescent="0.2">
      <c r="B384" s="2">
        <v>43479.078182870369</v>
      </c>
      <c r="C384" s="5">
        <f t="shared" si="40"/>
        <v>7.833333020000012</v>
      </c>
      <c r="D384" s="14">
        <v>4.5279360000000004</v>
      </c>
      <c r="E384" s="14">
        <v>4.3653740000000001</v>
      </c>
      <c r="F384" s="14">
        <v>3.8024110000000002</v>
      </c>
      <c r="G384" s="14">
        <v>2.4509789999999998</v>
      </c>
      <c r="H384" s="15">
        <v>4.7635870000000002</v>
      </c>
      <c r="I384" s="15">
        <v>3.3885019999999999</v>
      </c>
      <c r="J384" s="15">
        <v>9.7071570000000005</v>
      </c>
      <c r="K384" s="15">
        <v>4.4486350000000003</v>
      </c>
      <c r="L384" s="16">
        <v>2.9832429999999999</v>
      </c>
      <c r="M384" s="16">
        <v>5.1337679999999999</v>
      </c>
      <c r="N384" s="16">
        <v>6.5555669999999999</v>
      </c>
      <c r="O384" s="16">
        <v>3.7672370000000002</v>
      </c>
      <c r="P384" s="17">
        <v>7.4820650000000004</v>
      </c>
      <c r="Q384" s="17">
        <v>6.164714</v>
      </c>
      <c r="R384" s="17">
        <v>4.1398489999999999</v>
      </c>
      <c r="S384" s="17">
        <v>7.6783799999999998</v>
      </c>
      <c r="AP384" s="35"/>
      <c r="AQ384" s="35"/>
      <c r="AR384" s="35"/>
      <c r="AS384" s="35"/>
    </row>
    <row r="385" spans="2:45" x14ac:dyDescent="0.2">
      <c r="B385" s="2">
        <v>43479.081655092596</v>
      </c>
      <c r="C385" s="5">
        <f t="shared" si="40"/>
        <v>7.9166663500000123</v>
      </c>
      <c r="D385" s="14">
        <v>4.5363759999999997</v>
      </c>
      <c r="E385" s="14">
        <v>4.3663749999999997</v>
      </c>
      <c r="F385" s="14">
        <v>3.8024819999999999</v>
      </c>
      <c r="G385" s="14">
        <v>2.4517660000000001</v>
      </c>
      <c r="H385" s="15">
        <v>4.7635870000000002</v>
      </c>
      <c r="I385" s="15">
        <v>3.3922210000000002</v>
      </c>
      <c r="J385" s="15">
        <v>9.7346229999999991</v>
      </c>
      <c r="K385" s="15">
        <v>4.4636550000000002</v>
      </c>
      <c r="L385" s="16">
        <v>2.9832429999999999</v>
      </c>
      <c r="M385" s="16">
        <v>5.1373439999999997</v>
      </c>
      <c r="N385" s="16">
        <v>6.5555669999999999</v>
      </c>
      <c r="O385" s="16">
        <v>3.7700979999999999</v>
      </c>
      <c r="P385" s="17">
        <v>7.4820650000000004</v>
      </c>
      <c r="Q385" s="17">
        <v>6.164714</v>
      </c>
      <c r="R385" s="17">
        <v>4.1398489999999999</v>
      </c>
      <c r="S385" s="17">
        <v>7.6783799999999998</v>
      </c>
      <c r="AP385" s="35"/>
      <c r="AQ385" s="35"/>
      <c r="AR385" s="35"/>
      <c r="AS385" s="35"/>
    </row>
    <row r="386" spans="2:45" x14ac:dyDescent="0.2">
      <c r="B386" s="2">
        <v>43479.085127314815</v>
      </c>
      <c r="C386" s="5">
        <f t="shared" si="40"/>
        <v>7.9999996800000126</v>
      </c>
      <c r="D386" s="14">
        <v>4.544816</v>
      </c>
      <c r="E386" s="14">
        <v>4.3673760000000001</v>
      </c>
      <c r="F386" s="14">
        <v>3.8025540000000002</v>
      </c>
      <c r="G386" s="14">
        <v>2.4525519999999998</v>
      </c>
      <c r="H386" s="15">
        <v>4.7635870000000002</v>
      </c>
      <c r="I386" s="15">
        <v>3.394701</v>
      </c>
      <c r="J386" s="15">
        <v>9.7620889999999996</v>
      </c>
      <c r="K386" s="15">
        <v>4.4660840000000004</v>
      </c>
      <c r="L386" s="16">
        <v>2.9832429999999999</v>
      </c>
      <c r="M386" s="16">
        <v>5.1409209999999996</v>
      </c>
      <c r="N386" s="16">
        <v>6.5555669999999999</v>
      </c>
      <c r="O386" s="16">
        <v>3.7729590000000002</v>
      </c>
      <c r="P386" s="17">
        <v>7.4820650000000004</v>
      </c>
      <c r="Q386" s="17">
        <v>6.164714</v>
      </c>
      <c r="R386" s="17">
        <v>4.1398489999999999</v>
      </c>
      <c r="S386" s="17">
        <v>7.6783799999999998</v>
      </c>
      <c r="V386" s="25">
        <v>8</v>
      </c>
      <c r="W386">
        <f>AVERAGE(D375:D386)</f>
        <v>4.4983959999999987</v>
      </c>
      <c r="X386">
        <f t="shared" ref="X386:AL386" si="46">AVERAGE(E375:E386)</f>
        <v>4.3618688333333333</v>
      </c>
      <c r="Y386">
        <f t="shared" si="46"/>
        <v>3.8021603333333331</v>
      </c>
      <c r="Z386">
        <f t="shared" si="46"/>
        <v>2.4482250833333334</v>
      </c>
      <c r="AA386">
        <f t="shared" si="46"/>
        <v>4.7635870000000002</v>
      </c>
      <c r="AB386">
        <f t="shared" si="46"/>
        <v>3.3760154166666663</v>
      </c>
      <c r="AC386">
        <f t="shared" si="46"/>
        <v>9.6664619166666679</v>
      </c>
      <c r="AD386">
        <f t="shared" si="46"/>
        <v>4.3950145000000012</v>
      </c>
      <c r="AE386">
        <f t="shared" si="46"/>
        <v>2.9832430000000003</v>
      </c>
      <c r="AF386">
        <f t="shared" si="46"/>
        <v>5.1290500833333335</v>
      </c>
      <c r="AG386">
        <f t="shared" si="46"/>
        <v>6.5555669999999973</v>
      </c>
      <c r="AH386">
        <f t="shared" si="46"/>
        <v>3.7572234999999998</v>
      </c>
      <c r="AI386">
        <f t="shared" si="46"/>
        <v>7.4820650000000013</v>
      </c>
      <c r="AJ386">
        <f t="shared" si="46"/>
        <v>6.1647140000000009</v>
      </c>
      <c r="AK386">
        <f t="shared" si="46"/>
        <v>4.139848999999999</v>
      </c>
      <c r="AL386">
        <f t="shared" si="46"/>
        <v>7.6783800000000006</v>
      </c>
      <c r="AO386" s="25">
        <v>8</v>
      </c>
      <c r="AP386" s="35">
        <f>AVERAGE(W386:Z386)</f>
        <v>3.7776625624999998</v>
      </c>
      <c r="AQ386" s="35">
        <f>AVERAGE(AA386:AD386)</f>
        <v>5.5502697083333334</v>
      </c>
      <c r="AR386" s="35">
        <f>AVERAGE(AE386:AH386)</f>
        <v>4.6062708958333323</v>
      </c>
      <c r="AS386" s="35">
        <f>AVERAGE(AI386:AL386)</f>
        <v>6.3662520000000002</v>
      </c>
    </row>
    <row r="387" spans="2:45" x14ac:dyDescent="0.2">
      <c r="B387" s="2">
        <v>43479.088599537034</v>
      </c>
      <c r="C387" s="5">
        <f t="shared" si="40"/>
        <v>8.0833330100000129</v>
      </c>
      <c r="D387" s="14">
        <v>4.5532560000000002</v>
      </c>
      <c r="E387" s="14">
        <v>4.3683779999999999</v>
      </c>
      <c r="F387" s="14">
        <v>3.8026249999999999</v>
      </c>
      <c r="G387" s="14">
        <v>2.4533390000000002</v>
      </c>
      <c r="H387" s="15">
        <v>4.7635870000000002</v>
      </c>
      <c r="I387" s="15">
        <v>3.394701</v>
      </c>
      <c r="J387" s="15">
        <v>9.789555</v>
      </c>
      <c r="K387" s="15">
        <v>4.4660840000000004</v>
      </c>
      <c r="L387" s="16">
        <v>2.9832429999999999</v>
      </c>
      <c r="M387" s="16">
        <v>5.1435380000000004</v>
      </c>
      <c r="N387" s="16">
        <v>6.5555669999999999</v>
      </c>
      <c r="O387" s="16">
        <v>3.77582</v>
      </c>
      <c r="P387" s="17">
        <v>7.4820650000000004</v>
      </c>
      <c r="Q387" s="17">
        <v>6.164714</v>
      </c>
      <c r="R387" s="17">
        <v>4.1398489999999999</v>
      </c>
      <c r="S387" s="17">
        <v>7.7107859999999997</v>
      </c>
      <c r="AP387" s="35"/>
      <c r="AQ387" s="35"/>
      <c r="AR387" s="35"/>
      <c r="AS387" s="35"/>
    </row>
    <row r="388" spans="2:45" x14ac:dyDescent="0.2">
      <c r="B388" s="2">
        <v>43479.09207175926</v>
      </c>
      <c r="C388" s="5">
        <f t="shared" ref="C388:C451" si="47">C387+0.08333333</f>
        <v>8.1666663400000132</v>
      </c>
      <c r="D388" s="14">
        <v>4.5616960000000004</v>
      </c>
      <c r="E388" s="14">
        <v>4.3693790000000003</v>
      </c>
      <c r="F388" s="14">
        <v>3.8026970000000002</v>
      </c>
      <c r="G388" s="14">
        <v>2.454126</v>
      </c>
      <c r="H388" s="15">
        <v>4.7635870000000002</v>
      </c>
      <c r="I388" s="15">
        <v>3.394701</v>
      </c>
      <c r="J388" s="15">
        <v>9.8170199999999994</v>
      </c>
      <c r="K388" s="15">
        <v>4.4667029999999999</v>
      </c>
      <c r="L388" s="16">
        <v>2.9832429999999999</v>
      </c>
      <c r="M388" s="16">
        <v>5.1435380000000004</v>
      </c>
      <c r="N388" s="16">
        <v>6.5555669999999999</v>
      </c>
      <c r="O388" s="16">
        <v>3.7786819999999999</v>
      </c>
      <c r="P388" s="17">
        <v>7.4820650000000004</v>
      </c>
      <c r="Q388" s="17">
        <v>6.164714</v>
      </c>
      <c r="R388" s="17">
        <v>4.1398489999999999</v>
      </c>
      <c r="S388" s="17">
        <v>7.7452620000000003</v>
      </c>
      <c r="AP388" s="35"/>
      <c r="AQ388" s="35"/>
      <c r="AR388" s="35"/>
      <c r="AS388" s="35"/>
    </row>
    <row r="389" spans="2:45" x14ac:dyDescent="0.2">
      <c r="B389" s="2">
        <v>43479.095543981479</v>
      </c>
      <c r="C389" s="5">
        <f t="shared" si="47"/>
        <v>8.2499996700000136</v>
      </c>
      <c r="D389" s="14">
        <v>4.5701359999999998</v>
      </c>
      <c r="E389" s="14">
        <v>4.3703799999999999</v>
      </c>
      <c r="F389" s="14">
        <v>3.8027679999999999</v>
      </c>
      <c r="G389" s="14">
        <v>2.4549129999999999</v>
      </c>
      <c r="H389" s="15">
        <v>4.7635870000000002</v>
      </c>
      <c r="I389" s="15">
        <v>3.394701</v>
      </c>
      <c r="J389" s="15">
        <v>9.8444859999999998</v>
      </c>
      <c r="K389" s="15">
        <v>4.467562</v>
      </c>
      <c r="L389" s="16">
        <v>2.9832429999999999</v>
      </c>
      <c r="M389" s="16">
        <v>5.1435380000000004</v>
      </c>
      <c r="N389" s="16">
        <v>6.5555669999999999</v>
      </c>
      <c r="O389" s="16">
        <v>3.7808989999999998</v>
      </c>
      <c r="P389" s="17">
        <v>7.4820650000000004</v>
      </c>
      <c r="Q389" s="17">
        <v>6.1671569999999996</v>
      </c>
      <c r="R389" s="17">
        <v>4.1398489999999999</v>
      </c>
      <c r="S389" s="17">
        <v>7.7797369999999999</v>
      </c>
      <c r="AP389" s="35"/>
      <c r="AQ389" s="35"/>
      <c r="AR389" s="35"/>
      <c r="AS389" s="35"/>
    </row>
    <row r="390" spans="2:45" x14ac:dyDescent="0.2">
      <c r="B390" s="2">
        <v>43479.099016203705</v>
      </c>
      <c r="C390" s="5">
        <f t="shared" si="47"/>
        <v>8.3333330000000139</v>
      </c>
      <c r="D390" s="14">
        <v>4.578576</v>
      </c>
      <c r="E390" s="14">
        <v>4.3713819999999997</v>
      </c>
      <c r="F390" s="14">
        <v>3.8028400000000002</v>
      </c>
      <c r="G390" s="14">
        <v>2.4556990000000001</v>
      </c>
      <c r="H390" s="15">
        <v>4.7635870000000002</v>
      </c>
      <c r="I390" s="15">
        <v>3.394701</v>
      </c>
      <c r="J390" s="15">
        <v>9.8719520000000003</v>
      </c>
      <c r="K390" s="15">
        <v>4.4684200000000001</v>
      </c>
      <c r="L390" s="16">
        <v>2.9832429999999999</v>
      </c>
      <c r="M390" s="16">
        <v>5.1435380000000004</v>
      </c>
      <c r="N390" s="16">
        <v>6.5555669999999999</v>
      </c>
      <c r="O390" s="16">
        <v>3.7808989999999998</v>
      </c>
      <c r="P390" s="17">
        <v>7.4820650000000004</v>
      </c>
      <c r="Q390" s="17">
        <v>6.1708759999999998</v>
      </c>
      <c r="R390" s="17">
        <v>4.1398489999999999</v>
      </c>
      <c r="S390" s="17">
        <v>7.8142120000000004</v>
      </c>
      <c r="AP390" s="35"/>
      <c r="AQ390" s="35"/>
      <c r="AR390" s="35"/>
      <c r="AS390" s="35"/>
    </row>
    <row r="391" spans="2:45" x14ac:dyDescent="0.2">
      <c r="B391" s="2">
        <v>43479.102488425924</v>
      </c>
      <c r="C391" s="5">
        <f t="shared" si="47"/>
        <v>8.4166663300000142</v>
      </c>
      <c r="D391" s="14">
        <v>4.5870160000000002</v>
      </c>
      <c r="E391" s="14">
        <v>4.3723830000000001</v>
      </c>
      <c r="F391" s="14">
        <v>3.8029109999999999</v>
      </c>
      <c r="G391" s="14">
        <v>2.4564859999999999</v>
      </c>
      <c r="H391" s="15">
        <v>4.7635870000000002</v>
      </c>
      <c r="I391" s="15">
        <v>3.394701</v>
      </c>
      <c r="J391" s="15">
        <v>9.8962140000000005</v>
      </c>
      <c r="K391" s="15">
        <v>4.4692780000000001</v>
      </c>
      <c r="L391" s="16">
        <v>2.9832429999999999</v>
      </c>
      <c r="M391" s="16">
        <v>5.1435380000000004</v>
      </c>
      <c r="N391" s="16">
        <v>6.5555669999999999</v>
      </c>
      <c r="O391" s="16">
        <v>3.7808989999999998</v>
      </c>
      <c r="P391" s="17">
        <v>7.4820650000000004</v>
      </c>
      <c r="Q391" s="17">
        <v>6.1745950000000001</v>
      </c>
      <c r="R391" s="17">
        <v>4.1398489999999999</v>
      </c>
      <c r="S391" s="17">
        <v>7.8486880000000001</v>
      </c>
      <c r="AP391" s="35"/>
      <c r="AQ391" s="35"/>
      <c r="AR391" s="35"/>
      <c r="AS391" s="35"/>
    </row>
    <row r="392" spans="2:45" x14ac:dyDescent="0.2">
      <c r="B392" s="2">
        <v>43479.10596064815</v>
      </c>
      <c r="C392" s="5">
        <f t="shared" si="47"/>
        <v>8.4999996600000145</v>
      </c>
      <c r="D392" s="14">
        <v>4.5954560000000004</v>
      </c>
      <c r="E392" s="14">
        <v>4.3733839999999997</v>
      </c>
      <c r="F392" s="14">
        <v>3.8029829999999998</v>
      </c>
      <c r="G392" s="14">
        <v>2.4572729999999998</v>
      </c>
      <c r="H392" s="15">
        <v>4.7635870000000002</v>
      </c>
      <c r="I392" s="15">
        <v>3.394701</v>
      </c>
      <c r="J392" s="15">
        <v>9.8962140000000005</v>
      </c>
      <c r="K392" s="15">
        <v>4.4701769999999996</v>
      </c>
      <c r="L392" s="16">
        <v>2.9832429999999999</v>
      </c>
      <c r="M392" s="16">
        <v>5.1435380000000004</v>
      </c>
      <c r="N392" s="16">
        <v>6.5555669999999999</v>
      </c>
      <c r="O392" s="16">
        <v>3.784173</v>
      </c>
      <c r="P392" s="17">
        <v>7.4820650000000004</v>
      </c>
      <c r="Q392" s="17">
        <v>6.1783149999999996</v>
      </c>
      <c r="R392" s="17">
        <v>4.1398489999999999</v>
      </c>
      <c r="S392" s="17">
        <v>7.8831629999999997</v>
      </c>
      <c r="AP392" s="35"/>
      <c r="AQ392" s="35"/>
      <c r="AR392" s="35"/>
      <c r="AS392" s="35"/>
    </row>
    <row r="393" spans="2:45" x14ac:dyDescent="0.2">
      <c r="B393" s="2">
        <v>43479.109432870369</v>
      </c>
      <c r="C393" s="5">
        <f t="shared" si="47"/>
        <v>8.5833329900000148</v>
      </c>
      <c r="D393" s="14">
        <v>4.6038959999999998</v>
      </c>
      <c r="E393" s="14">
        <v>4.3743860000000003</v>
      </c>
      <c r="F393" s="14">
        <v>3.8030539999999999</v>
      </c>
      <c r="G393" s="14">
        <v>2.4580139999999999</v>
      </c>
      <c r="H393" s="15">
        <v>4.7635870000000002</v>
      </c>
      <c r="I393" s="15">
        <v>3.394701</v>
      </c>
      <c r="J393" s="15">
        <v>9.8962140000000005</v>
      </c>
      <c r="K393" s="15">
        <v>4.4701870000000001</v>
      </c>
      <c r="L393" s="16">
        <v>2.9832429999999999</v>
      </c>
      <c r="M393" s="16">
        <v>5.1435380000000004</v>
      </c>
      <c r="N393" s="16">
        <v>6.5555669999999999</v>
      </c>
      <c r="O393" s="16">
        <v>3.7900390000000002</v>
      </c>
      <c r="P393" s="17">
        <v>7.4820650000000004</v>
      </c>
      <c r="Q393" s="17">
        <v>6.1820339999999998</v>
      </c>
      <c r="R393" s="17">
        <v>4.1446719999999999</v>
      </c>
      <c r="S393" s="17">
        <v>7.9176380000000002</v>
      </c>
      <c r="AP393" s="35"/>
      <c r="AQ393" s="35"/>
      <c r="AR393" s="35"/>
      <c r="AS393" s="35"/>
    </row>
    <row r="394" spans="2:45" x14ac:dyDescent="0.2">
      <c r="B394" s="2">
        <v>43479.112905092596</v>
      </c>
      <c r="C394" s="5">
        <f t="shared" si="47"/>
        <v>8.6666663200000151</v>
      </c>
      <c r="D394" s="14">
        <v>4.612336</v>
      </c>
      <c r="E394" s="14">
        <v>4.3753869999999999</v>
      </c>
      <c r="F394" s="14">
        <v>3.8031259999999998</v>
      </c>
      <c r="G394" s="14">
        <v>2.4599869999999999</v>
      </c>
      <c r="H394" s="15">
        <v>4.7635870000000002</v>
      </c>
      <c r="I394" s="15">
        <v>3.394701</v>
      </c>
      <c r="J394" s="15">
        <v>9.8962140000000005</v>
      </c>
      <c r="K394" s="15">
        <v>4.4701870000000001</v>
      </c>
      <c r="L394" s="16">
        <v>2.9832429999999999</v>
      </c>
      <c r="M394" s="16">
        <v>5.1435380000000004</v>
      </c>
      <c r="N394" s="16">
        <v>6.5555669999999999</v>
      </c>
      <c r="O394" s="16">
        <v>3.7959040000000002</v>
      </c>
      <c r="P394" s="17">
        <v>7.4820650000000004</v>
      </c>
      <c r="Q394" s="17">
        <v>6.1857530000000001</v>
      </c>
      <c r="R394" s="17">
        <v>4.1546859999999999</v>
      </c>
      <c r="S394" s="17">
        <v>7.9521139999999999</v>
      </c>
      <c r="AP394" s="35"/>
      <c r="AQ394" s="35"/>
      <c r="AR394" s="35"/>
      <c r="AS394" s="35"/>
    </row>
    <row r="395" spans="2:45" x14ac:dyDescent="0.2">
      <c r="B395" s="2">
        <v>43479.116377314815</v>
      </c>
      <c r="C395" s="5">
        <f t="shared" si="47"/>
        <v>8.7499996500000154</v>
      </c>
      <c r="D395" s="14">
        <v>4.6207760000000002</v>
      </c>
      <c r="E395" s="14">
        <v>4.3763889999999996</v>
      </c>
      <c r="F395" s="14">
        <v>3.8031969999999999</v>
      </c>
      <c r="G395" s="14">
        <v>2.4644219999999999</v>
      </c>
      <c r="H395" s="15">
        <v>4.7635870000000002</v>
      </c>
      <c r="I395" s="15">
        <v>3.394701</v>
      </c>
      <c r="J395" s="15">
        <v>9.8962140000000005</v>
      </c>
      <c r="K395" s="15">
        <v>4.4701870000000001</v>
      </c>
      <c r="L395" s="16">
        <v>2.9832429999999999</v>
      </c>
      <c r="M395" s="16">
        <v>5.1435380000000004</v>
      </c>
      <c r="N395" s="16">
        <v>6.5555669999999999</v>
      </c>
      <c r="O395" s="16">
        <v>3.800195</v>
      </c>
      <c r="P395" s="17">
        <v>7.4821559999999998</v>
      </c>
      <c r="Q395" s="17">
        <v>6.1894729999999996</v>
      </c>
      <c r="R395" s="17">
        <v>4.1646999999999998</v>
      </c>
      <c r="S395" s="17">
        <v>7.9865890000000004</v>
      </c>
      <c r="AP395" s="35"/>
      <c r="AQ395" s="35"/>
      <c r="AR395" s="35"/>
      <c r="AS395" s="35"/>
    </row>
    <row r="396" spans="2:45" x14ac:dyDescent="0.2">
      <c r="B396" s="2">
        <v>43479.119849537034</v>
      </c>
      <c r="C396" s="5">
        <f t="shared" si="47"/>
        <v>8.8333329800000158</v>
      </c>
      <c r="D396" s="14">
        <v>4.6292160000000004</v>
      </c>
      <c r="E396" s="14">
        <v>4.3773900000000001</v>
      </c>
      <c r="F396" s="14">
        <v>3.8032629999999998</v>
      </c>
      <c r="G396" s="14">
        <v>2.4688560000000002</v>
      </c>
      <c r="H396" s="15">
        <v>4.7635870000000002</v>
      </c>
      <c r="I396" s="15">
        <v>3.394701</v>
      </c>
      <c r="J396" s="15">
        <v>9.8962140000000005</v>
      </c>
      <c r="K396" s="15">
        <v>4.4710239999999999</v>
      </c>
      <c r="L396" s="16">
        <v>2.9832429999999999</v>
      </c>
      <c r="M396" s="16">
        <v>5.1435380000000004</v>
      </c>
      <c r="N396" s="16">
        <v>6.5555669999999999</v>
      </c>
      <c r="O396" s="16">
        <v>3.8020160000000001</v>
      </c>
      <c r="P396" s="17">
        <v>7.4848739999999996</v>
      </c>
      <c r="Q396" s="17">
        <v>6.1931919999999998</v>
      </c>
      <c r="R396" s="17">
        <v>4.1747129999999997</v>
      </c>
      <c r="S396" s="17">
        <v>8.0211520000000007</v>
      </c>
      <c r="AP396" s="35"/>
      <c r="AQ396" s="35"/>
      <c r="AR396" s="35"/>
      <c r="AS396" s="35"/>
    </row>
    <row r="397" spans="2:45" x14ac:dyDescent="0.2">
      <c r="B397" s="2">
        <v>43479.12332175926</v>
      </c>
      <c r="C397" s="5">
        <f t="shared" si="47"/>
        <v>8.9166663100000161</v>
      </c>
      <c r="D397" s="14">
        <v>4.6376559999999998</v>
      </c>
      <c r="E397" s="14">
        <v>4.3783909999999997</v>
      </c>
      <c r="F397" s="14">
        <v>3.8032629999999998</v>
      </c>
      <c r="G397" s="14">
        <v>2.4732910000000001</v>
      </c>
      <c r="H397" s="15">
        <v>4.7635870000000002</v>
      </c>
      <c r="I397" s="15">
        <v>3.394701</v>
      </c>
      <c r="J397" s="15">
        <v>9.8962140000000005</v>
      </c>
      <c r="K397" s="15">
        <v>4.4724539999999999</v>
      </c>
      <c r="L397" s="16">
        <v>2.9832429999999999</v>
      </c>
      <c r="M397" s="16">
        <v>5.1435380000000004</v>
      </c>
      <c r="N397" s="16">
        <v>6.5555669999999999</v>
      </c>
      <c r="O397" s="16">
        <v>3.8074520000000001</v>
      </c>
      <c r="P397" s="17">
        <v>7.4875920000000002</v>
      </c>
      <c r="Q397" s="17">
        <v>6.1969110000000001</v>
      </c>
      <c r="R397" s="17">
        <v>4.1847269999999996</v>
      </c>
      <c r="S397" s="17">
        <v>8.0557700000000008</v>
      </c>
      <c r="AP397" s="35"/>
      <c r="AQ397" s="35"/>
      <c r="AR397" s="35"/>
      <c r="AS397" s="35"/>
    </row>
    <row r="398" spans="2:45" x14ac:dyDescent="0.2">
      <c r="B398" s="2">
        <v>43479.126793981479</v>
      </c>
      <c r="C398" s="5">
        <f t="shared" si="47"/>
        <v>8.9999996400000164</v>
      </c>
      <c r="D398" s="14">
        <v>4.646096</v>
      </c>
      <c r="E398" s="14">
        <v>4.3793930000000003</v>
      </c>
      <c r="F398" s="14">
        <v>3.805072</v>
      </c>
      <c r="G398" s="14">
        <v>2.4777260000000001</v>
      </c>
      <c r="H398" s="15">
        <v>4.7635870000000002</v>
      </c>
      <c r="I398" s="15">
        <v>3.394701</v>
      </c>
      <c r="J398" s="15">
        <v>9.8962140000000005</v>
      </c>
      <c r="K398" s="15">
        <v>4.472747</v>
      </c>
      <c r="L398" s="16">
        <v>2.9832429999999999</v>
      </c>
      <c r="M398" s="16">
        <v>5.1435380000000004</v>
      </c>
      <c r="N398" s="16">
        <v>6.5555669999999999</v>
      </c>
      <c r="O398" s="16">
        <v>3.8128880000000001</v>
      </c>
      <c r="P398" s="17">
        <v>7.49031</v>
      </c>
      <c r="Q398" s="17">
        <v>6.2006309999999996</v>
      </c>
      <c r="R398" s="17">
        <v>4.1947400000000004</v>
      </c>
      <c r="S398" s="17">
        <v>8.0643089999999997</v>
      </c>
      <c r="V398" s="25">
        <v>9</v>
      </c>
      <c r="W398">
        <f>AVERAGE(D387:D398)</f>
        <v>4.5996759999999997</v>
      </c>
      <c r="X398">
        <f t="shared" ref="X398:AL398" si="48">AVERAGE(E387:E398)</f>
        <v>4.3738851666666667</v>
      </c>
      <c r="Y398">
        <f t="shared" si="48"/>
        <v>3.8031499166666669</v>
      </c>
      <c r="Z398">
        <f t="shared" si="48"/>
        <v>2.4611776666666665</v>
      </c>
      <c r="AA398">
        <f t="shared" si="48"/>
        <v>4.7635870000000002</v>
      </c>
      <c r="AB398">
        <f t="shared" si="48"/>
        <v>3.394701</v>
      </c>
      <c r="AC398">
        <f t="shared" si="48"/>
        <v>9.8743937500000012</v>
      </c>
      <c r="AD398">
        <f t="shared" si="48"/>
        <v>4.4695841666666665</v>
      </c>
      <c r="AE398">
        <f t="shared" si="48"/>
        <v>2.9832430000000003</v>
      </c>
      <c r="AF398">
        <f t="shared" si="48"/>
        <v>5.1435380000000004</v>
      </c>
      <c r="AG398">
        <f t="shared" si="48"/>
        <v>6.5555669999999973</v>
      </c>
      <c r="AH398">
        <f t="shared" si="48"/>
        <v>3.7908221666666666</v>
      </c>
      <c r="AI398">
        <f t="shared" si="48"/>
        <v>7.4834543333333334</v>
      </c>
      <c r="AJ398">
        <f t="shared" si="48"/>
        <v>6.1806970833333326</v>
      </c>
      <c r="AK398">
        <f t="shared" si="48"/>
        <v>4.1547776666666669</v>
      </c>
      <c r="AL398">
        <f t="shared" si="48"/>
        <v>7.8982849999999987</v>
      </c>
      <c r="AO398" s="25">
        <v>9</v>
      </c>
      <c r="AP398" s="35">
        <f>AVERAGE(W398:Z398)</f>
        <v>3.8094721874999999</v>
      </c>
      <c r="AQ398" s="35">
        <f>AVERAGE(AA398:AD398)</f>
        <v>5.6255664791666673</v>
      </c>
      <c r="AR398" s="35">
        <f>AVERAGE(AE398:AH398)</f>
        <v>4.6182925416666656</v>
      </c>
      <c r="AS398" s="35">
        <f>AVERAGE(AI398:AL398)</f>
        <v>6.4293035208333329</v>
      </c>
    </row>
    <row r="399" spans="2:45" x14ac:dyDescent="0.2">
      <c r="B399" s="2">
        <v>43479.130266203705</v>
      </c>
      <c r="C399" s="5">
        <f t="shared" si="47"/>
        <v>9.0833329700000167</v>
      </c>
      <c r="D399" s="14">
        <v>4.6545360000000002</v>
      </c>
      <c r="E399" s="14">
        <v>4.3803939999999999</v>
      </c>
      <c r="F399" s="14">
        <v>3.8103639999999999</v>
      </c>
      <c r="G399" s="14">
        <v>2.4793880000000001</v>
      </c>
      <c r="H399" s="15">
        <v>4.7635870000000002</v>
      </c>
      <c r="I399" s="15">
        <v>3.394701</v>
      </c>
      <c r="J399" s="15">
        <v>9.8962140000000005</v>
      </c>
      <c r="K399" s="15">
        <v>4.472747</v>
      </c>
      <c r="L399" s="16">
        <v>2.9832429999999999</v>
      </c>
      <c r="M399" s="16">
        <v>5.1435380000000004</v>
      </c>
      <c r="N399" s="16">
        <v>6.5555669999999999</v>
      </c>
      <c r="O399" s="16">
        <v>3.8183240000000001</v>
      </c>
      <c r="P399" s="17">
        <v>7.4930279999999998</v>
      </c>
      <c r="Q399" s="17">
        <v>6.2043499999999998</v>
      </c>
      <c r="R399" s="17">
        <v>4.2047540000000003</v>
      </c>
      <c r="S399" s="17">
        <v>8.0643089999999997</v>
      </c>
      <c r="AP399" s="35"/>
      <c r="AQ399" s="35"/>
      <c r="AR399" s="35"/>
      <c r="AS399" s="35"/>
    </row>
    <row r="400" spans="2:45" x14ac:dyDescent="0.2">
      <c r="B400" s="2">
        <v>43479.133738425924</v>
      </c>
      <c r="C400" s="5">
        <f t="shared" si="47"/>
        <v>9.166666300000017</v>
      </c>
      <c r="D400" s="14">
        <v>4.6629759999999996</v>
      </c>
      <c r="E400" s="14">
        <v>4.3813950000000004</v>
      </c>
      <c r="F400" s="14">
        <v>3.8156569999999999</v>
      </c>
      <c r="G400" s="14">
        <v>2.4793880000000001</v>
      </c>
      <c r="H400" s="15">
        <v>4.7635870000000002</v>
      </c>
      <c r="I400" s="15">
        <v>3.394701</v>
      </c>
      <c r="J400" s="15">
        <v>9.8962140000000005</v>
      </c>
      <c r="K400" s="15">
        <v>4.472747</v>
      </c>
      <c r="L400" s="16">
        <v>2.9832429999999999</v>
      </c>
      <c r="M400" s="16">
        <v>5.1435380000000004</v>
      </c>
      <c r="N400" s="16">
        <v>6.5555669999999999</v>
      </c>
      <c r="O400" s="16">
        <v>3.82376</v>
      </c>
      <c r="P400" s="17">
        <v>7.4957459999999996</v>
      </c>
      <c r="Q400" s="17">
        <v>6.2080690000000001</v>
      </c>
      <c r="R400" s="17">
        <v>4.2147670000000002</v>
      </c>
      <c r="S400" s="17">
        <v>8.0643089999999997</v>
      </c>
      <c r="AP400" s="35"/>
      <c r="AQ400" s="35"/>
      <c r="AR400" s="35"/>
      <c r="AS400" s="35"/>
    </row>
    <row r="401" spans="2:45" x14ac:dyDescent="0.2">
      <c r="B401" s="2">
        <v>43479.13721064815</v>
      </c>
      <c r="C401" s="5">
        <f t="shared" si="47"/>
        <v>9.2499996300000173</v>
      </c>
      <c r="D401" s="14">
        <v>4.6714159999999998</v>
      </c>
      <c r="E401" s="14">
        <v>4.3823970000000001</v>
      </c>
      <c r="F401" s="14">
        <v>3.8209499999999998</v>
      </c>
      <c r="G401" s="14">
        <v>2.4854910000000001</v>
      </c>
      <c r="H401" s="15">
        <v>4.7635870000000002</v>
      </c>
      <c r="I401" s="15">
        <v>3.394701</v>
      </c>
      <c r="J401" s="15">
        <v>9.8962140000000005</v>
      </c>
      <c r="K401" s="15">
        <v>4.472747</v>
      </c>
      <c r="L401" s="16">
        <v>2.9832429999999999</v>
      </c>
      <c r="M401" s="16">
        <v>5.1435380000000004</v>
      </c>
      <c r="N401" s="16">
        <v>6.5555669999999999</v>
      </c>
      <c r="O401" s="16">
        <v>3.829196</v>
      </c>
      <c r="P401" s="17">
        <v>7.4984640000000002</v>
      </c>
      <c r="Q401" s="17">
        <v>6.2117889999999996</v>
      </c>
      <c r="R401" s="17">
        <v>4.2247810000000001</v>
      </c>
      <c r="S401" s="17">
        <v>8.0643089999999997</v>
      </c>
      <c r="AP401" s="35"/>
      <c r="AQ401" s="35"/>
      <c r="AR401" s="35"/>
      <c r="AS401" s="35"/>
    </row>
    <row r="402" spans="2:45" x14ac:dyDescent="0.2">
      <c r="B402" s="2">
        <v>43479.140682870369</v>
      </c>
      <c r="C402" s="5">
        <f t="shared" si="47"/>
        <v>9.3333329600000177</v>
      </c>
      <c r="D402" s="14">
        <v>4.679856</v>
      </c>
      <c r="E402" s="14">
        <v>4.3833979999999997</v>
      </c>
      <c r="F402" s="14">
        <v>3.8262429999999998</v>
      </c>
      <c r="G402" s="14">
        <v>2.493573</v>
      </c>
      <c r="H402" s="15">
        <v>4.7635870000000002</v>
      </c>
      <c r="I402" s="15">
        <v>3.394701</v>
      </c>
      <c r="J402" s="15">
        <v>9.8962140000000005</v>
      </c>
      <c r="K402" s="15">
        <v>4.472747</v>
      </c>
      <c r="L402" s="16">
        <v>2.9832429999999999</v>
      </c>
      <c r="M402" s="16">
        <v>5.1435380000000004</v>
      </c>
      <c r="N402" s="16">
        <v>6.5555669999999999</v>
      </c>
      <c r="O402" s="16">
        <v>3.834632</v>
      </c>
      <c r="P402" s="17">
        <v>7.501182</v>
      </c>
      <c r="Q402" s="17">
        <v>6.2155079999999998</v>
      </c>
      <c r="R402" s="17">
        <v>4.2347950000000001</v>
      </c>
      <c r="S402" s="17">
        <v>8.0655780000000004</v>
      </c>
      <c r="AP402" s="35"/>
      <c r="AQ402" s="35"/>
      <c r="AR402" s="35"/>
      <c r="AS402" s="35"/>
    </row>
    <row r="403" spans="2:45" x14ac:dyDescent="0.2">
      <c r="B403" s="2">
        <v>43479.144155092596</v>
      </c>
      <c r="C403" s="5">
        <f t="shared" si="47"/>
        <v>9.416666290000018</v>
      </c>
      <c r="D403" s="14">
        <v>4.6882960000000002</v>
      </c>
      <c r="E403" s="14">
        <v>4.3843990000000002</v>
      </c>
      <c r="F403" s="14">
        <v>3.8315359999999998</v>
      </c>
      <c r="G403" s="14">
        <v>2.5016560000000001</v>
      </c>
      <c r="H403" s="15">
        <v>4.7635870000000002</v>
      </c>
      <c r="I403" s="15">
        <v>3.394701</v>
      </c>
      <c r="J403" s="15">
        <v>9.9028890000000001</v>
      </c>
      <c r="K403" s="15">
        <v>4.472747</v>
      </c>
      <c r="L403" s="16">
        <v>2.9832429999999999</v>
      </c>
      <c r="M403" s="16">
        <v>5.1435380000000004</v>
      </c>
      <c r="N403" s="16">
        <v>6.5555669999999999</v>
      </c>
      <c r="O403" s="16">
        <v>3.840068</v>
      </c>
      <c r="P403" s="17">
        <v>7.5038999999999998</v>
      </c>
      <c r="Q403" s="17">
        <v>6.2192270000000001</v>
      </c>
      <c r="R403" s="17">
        <v>4.2448079999999999</v>
      </c>
      <c r="S403" s="17">
        <v>8.0695829999999997</v>
      </c>
      <c r="AP403" s="35"/>
      <c r="AQ403" s="35"/>
      <c r="AR403" s="35"/>
      <c r="AS403" s="35"/>
    </row>
    <row r="404" spans="2:45" x14ac:dyDescent="0.2">
      <c r="B404" s="2">
        <v>43479.147627314815</v>
      </c>
      <c r="C404" s="5">
        <f t="shared" si="47"/>
        <v>9.4999996200000183</v>
      </c>
      <c r="D404" s="14">
        <v>4.6967359999999996</v>
      </c>
      <c r="E404" s="14">
        <v>4.3854009999999999</v>
      </c>
      <c r="F404" s="14">
        <v>3.8368289999999998</v>
      </c>
      <c r="G404" s="14">
        <v>2.509738</v>
      </c>
      <c r="H404" s="15">
        <v>4.7635870000000002</v>
      </c>
      <c r="I404" s="15">
        <v>3.394701</v>
      </c>
      <c r="J404" s="15">
        <v>9.912903</v>
      </c>
      <c r="K404" s="15">
        <v>4.472747</v>
      </c>
      <c r="L404" s="16">
        <v>2.9832429999999999</v>
      </c>
      <c r="M404" s="16">
        <v>5.1435380000000004</v>
      </c>
      <c r="N404" s="16">
        <v>6.5555669999999999</v>
      </c>
      <c r="O404" s="16">
        <v>3.845504</v>
      </c>
      <c r="P404" s="17">
        <v>7.5066179999999996</v>
      </c>
      <c r="Q404" s="17">
        <v>6.2229469999999996</v>
      </c>
      <c r="R404" s="17">
        <v>4.2495649999999996</v>
      </c>
      <c r="S404" s="17">
        <v>8.0735880000000009</v>
      </c>
      <c r="AP404" s="35"/>
      <c r="AQ404" s="35"/>
      <c r="AR404" s="35"/>
      <c r="AS404" s="35"/>
    </row>
    <row r="405" spans="2:45" x14ac:dyDescent="0.2">
      <c r="B405" s="2">
        <v>43479.151099537034</v>
      </c>
      <c r="C405" s="5">
        <f t="shared" si="47"/>
        <v>9.5833329500000186</v>
      </c>
      <c r="D405" s="14">
        <v>4.7051759999999998</v>
      </c>
      <c r="E405" s="14">
        <v>4.3864020000000004</v>
      </c>
      <c r="F405" s="14">
        <v>3.8421219999999998</v>
      </c>
      <c r="G405" s="14">
        <v>2.5178199999999999</v>
      </c>
      <c r="H405" s="15">
        <v>4.7635870000000002</v>
      </c>
      <c r="I405" s="15">
        <v>3.394701</v>
      </c>
      <c r="J405" s="15">
        <v>9.9229160000000007</v>
      </c>
      <c r="K405" s="15">
        <v>4.472747</v>
      </c>
      <c r="L405" s="16">
        <v>2.9832429999999999</v>
      </c>
      <c r="M405" s="16">
        <v>5.1435380000000004</v>
      </c>
      <c r="N405" s="16">
        <v>6.5555669999999999</v>
      </c>
      <c r="O405" s="16">
        <v>3.8483209999999999</v>
      </c>
      <c r="P405" s="17">
        <v>7.5093360000000002</v>
      </c>
      <c r="Q405" s="17">
        <v>6.2266659999999998</v>
      </c>
      <c r="R405" s="17">
        <v>4.253844</v>
      </c>
      <c r="S405" s="17">
        <v>8.0775939999999995</v>
      </c>
      <c r="AP405" s="35"/>
      <c r="AQ405" s="35"/>
      <c r="AR405" s="35"/>
      <c r="AS405" s="35"/>
    </row>
    <row r="406" spans="2:45" x14ac:dyDescent="0.2">
      <c r="B406" s="2">
        <v>43479.15457175926</v>
      </c>
      <c r="C406" s="5">
        <f t="shared" si="47"/>
        <v>9.6666662800000189</v>
      </c>
      <c r="D406" s="14">
        <v>4.713616</v>
      </c>
      <c r="E406" s="14">
        <v>4.3874029999999999</v>
      </c>
      <c r="F406" s="14">
        <v>3.8474149999999998</v>
      </c>
      <c r="G406" s="14">
        <v>2.525903</v>
      </c>
      <c r="H406" s="15">
        <v>4.7635870000000002</v>
      </c>
      <c r="I406" s="15">
        <v>3.394701</v>
      </c>
      <c r="J406" s="15">
        <v>9.9329300000000007</v>
      </c>
      <c r="K406" s="15">
        <v>4.472747</v>
      </c>
      <c r="L406" s="16">
        <v>2.9832429999999999</v>
      </c>
      <c r="M406" s="16">
        <v>5.1435380000000004</v>
      </c>
      <c r="N406" s="16">
        <v>6.5555669999999999</v>
      </c>
      <c r="O406" s="16">
        <v>3.8483209999999999</v>
      </c>
      <c r="P406" s="17">
        <v>7.5120529999999999</v>
      </c>
      <c r="Q406" s="17">
        <v>6.2303850000000001</v>
      </c>
      <c r="R406" s="17">
        <v>4.2582789999999999</v>
      </c>
      <c r="S406" s="17">
        <v>8.0815990000000006</v>
      </c>
      <c r="AP406" s="35"/>
      <c r="AQ406" s="35"/>
      <c r="AR406" s="35"/>
      <c r="AS406" s="35"/>
    </row>
    <row r="407" spans="2:45" x14ac:dyDescent="0.2">
      <c r="B407" s="2">
        <v>43479.158043981479</v>
      </c>
      <c r="C407" s="5">
        <f t="shared" si="47"/>
        <v>9.7499996100000192</v>
      </c>
      <c r="D407" s="14">
        <v>4.7220560000000003</v>
      </c>
      <c r="E407" s="14">
        <v>4.3884049999999997</v>
      </c>
      <c r="F407" s="14">
        <v>3.8527079999999998</v>
      </c>
      <c r="G407" s="14">
        <v>2.5339849999999999</v>
      </c>
      <c r="H407" s="15">
        <v>4.7635870000000002</v>
      </c>
      <c r="I407" s="15">
        <v>3.394701</v>
      </c>
      <c r="J407" s="15">
        <v>9.9429440000000007</v>
      </c>
      <c r="K407" s="15">
        <v>4.472747</v>
      </c>
      <c r="L407" s="16">
        <v>2.9832429999999999</v>
      </c>
      <c r="M407" s="16">
        <v>5.1435380000000004</v>
      </c>
      <c r="N407" s="16">
        <v>6.5555669999999999</v>
      </c>
      <c r="O407" s="16">
        <v>3.8483209999999999</v>
      </c>
      <c r="P407" s="17">
        <v>7.5147709999999996</v>
      </c>
      <c r="Q407" s="17">
        <v>6.2341049999999996</v>
      </c>
      <c r="R407" s="17">
        <v>4.2627129999999998</v>
      </c>
      <c r="S407" s="17">
        <v>8.0856049999999993</v>
      </c>
      <c r="AP407" s="35"/>
      <c r="AQ407" s="35"/>
      <c r="AR407" s="35"/>
      <c r="AS407" s="35"/>
    </row>
    <row r="408" spans="2:45" x14ac:dyDescent="0.2">
      <c r="B408" s="2">
        <v>43479.161516203705</v>
      </c>
      <c r="C408" s="5">
        <f t="shared" si="47"/>
        <v>9.8333329400000196</v>
      </c>
      <c r="D408" s="14">
        <v>4.7304959999999996</v>
      </c>
      <c r="E408" s="14">
        <v>4.3894060000000001</v>
      </c>
      <c r="F408" s="14">
        <v>3.8580009999999998</v>
      </c>
      <c r="G408" s="14">
        <v>2.542068</v>
      </c>
      <c r="H408" s="15">
        <v>4.7635870000000002</v>
      </c>
      <c r="I408" s="15">
        <v>3.394701</v>
      </c>
      <c r="J408" s="15">
        <v>9.9529569999999996</v>
      </c>
      <c r="K408" s="15">
        <v>4.472747</v>
      </c>
      <c r="L408" s="16">
        <v>2.9832429999999999</v>
      </c>
      <c r="M408" s="16">
        <v>5.1435380000000004</v>
      </c>
      <c r="N408" s="16">
        <v>6.5555669999999999</v>
      </c>
      <c r="O408" s="16">
        <v>3.8483209999999999</v>
      </c>
      <c r="P408" s="17">
        <v>7.5174890000000003</v>
      </c>
      <c r="Q408" s="17">
        <v>6.2378239999999998</v>
      </c>
      <c r="R408" s="17">
        <v>4.2671479999999997</v>
      </c>
      <c r="S408" s="17">
        <v>8.0896100000000004</v>
      </c>
      <c r="AP408" s="35"/>
      <c r="AQ408" s="35"/>
      <c r="AR408" s="35"/>
      <c r="AS408" s="35"/>
    </row>
    <row r="409" spans="2:45" x14ac:dyDescent="0.2">
      <c r="B409" s="2">
        <v>43479.164988425924</v>
      </c>
      <c r="C409" s="5">
        <f t="shared" si="47"/>
        <v>9.9166662700000199</v>
      </c>
      <c r="D409" s="14">
        <v>4.7389359999999998</v>
      </c>
      <c r="E409" s="14">
        <v>4.3904079999999999</v>
      </c>
      <c r="F409" s="14">
        <v>3.8632930000000001</v>
      </c>
      <c r="G409" s="14">
        <v>2.5501499999999999</v>
      </c>
      <c r="H409" s="15">
        <v>4.7635870000000002</v>
      </c>
      <c r="I409" s="15">
        <v>3.394701</v>
      </c>
      <c r="J409" s="15">
        <v>9.9629709999999996</v>
      </c>
      <c r="K409" s="15">
        <v>4.472747</v>
      </c>
      <c r="L409" s="16">
        <v>2.9832429999999999</v>
      </c>
      <c r="M409" s="16">
        <v>5.1435380000000004</v>
      </c>
      <c r="N409" s="16">
        <v>6.5555669999999999</v>
      </c>
      <c r="O409" s="16">
        <v>3.8483209999999999</v>
      </c>
      <c r="P409" s="17">
        <v>7.5202070000000001</v>
      </c>
      <c r="Q409" s="17">
        <v>6.2415430000000001</v>
      </c>
      <c r="R409" s="17">
        <v>4.2715829999999997</v>
      </c>
      <c r="S409" s="17">
        <v>8.0936160000000008</v>
      </c>
      <c r="AP409" s="35"/>
      <c r="AQ409" s="35"/>
      <c r="AR409" s="35"/>
      <c r="AS409" s="35"/>
    </row>
    <row r="410" spans="2:45" x14ac:dyDescent="0.2">
      <c r="B410" s="2">
        <v>43479.16846064815</v>
      </c>
      <c r="C410" s="5">
        <f t="shared" si="47"/>
        <v>9.9999996000000202</v>
      </c>
      <c r="D410" s="14">
        <v>4.747376</v>
      </c>
      <c r="E410" s="14">
        <v>4.3914090000000003</v>
      </c>
      <c r="F410" s="14">
        <v>3.8685860000000001</v>
      </c>
      <c r="G410" s="14">
        <v>2.5582319999999998</v>
      </c>
      <c r="H410" s="15">
        <v>4.7635870000000002</v>
      </c>
      <c r="I410" s="15">
        <v>3.394701</v>
      </c>
      <c r="J410" s="15">
        <v>9.9729840000000003</v>
      </c>
      <c r="K410" s="15">
        <v>4.472747</v>
      </c>
      <c r="L410" s="16">
        <v>2.9832429999999999</v>
      </c>
      <c r="M410" s="16">
        <v>5.1435380000000004</v>
      </c>
      <c r="N410" s="16">
        <v>6.5555669999999999</v>
      </c>
      <c r="O410" s="16">
        <v>3.8483209999999999</v>
      </c>
      <c r="P410" s="17">
        <v>7.5229249999999999</v>
      </c>
      <c r="Q410" s="17">
        <v>6.2452629999999996</v>
      </c>
      <c r="R410" s="17">
        <v>4.2760170000000004</v>
      </c>
      <c r="S410" s="17">
        <v>8.0976210000000002</v>
      </c>
      <c r="V410" s="25">
        <v>10</v>
      </c>
      <c r="W410">
        <f>AVERAGE(D399:D410)</f>
        <v>4.7009560000000015</v>
      </c>
      <c r="X410">
        <f t="shared" ref="X410:AL410" si="49">AVERAGE(E399:E410)</f>
        <v>4.385901416666667</v>
      </c>
      <c r="Y410">
        <f t="shared" si="49"/>
        <v>3.8394753333333331</v>
      </c>
      <c r="Z410">
        <f t="shared" si="49"/>
        <v>2.5147826666666666</v>
      </c>
      <c r="AA410">
        <f t="shared" si="49"/>
        <v>4.7635870000000002</v>
      </c>
      <c r="AB410">
        <f t="shared" si="49"/>
        <v>3.394701</v>
      </c>
      <c r="AC410">
        <f t="shared" si="49"/>
        <v>9.9240291666666653</v>
      </c>
      <c r="AD410">
        <f t="shared" si="49"/>
        <v>4.4727469999999991</v>
      </c>
      <c r="AE410">
        <f t="shared" si="49"/>
        <v>2.9832430000000003</v>
      </c>
      <c r="AF410">
        <f t="shared" si="49"/>
        <v>5.1435380000000004</v>
      </c>
      <c r="AG410">
        <f t="shared" si="49"/>
        <v>6.5555669999999973</v>
      </c>
      <c r="AH410">
        <f t="shared" si="49"/>
        <v>3.8401174999999994</v>
      </c>
      <c r="AI410">
        <f t="shared" si="49"/>
        <v>7.5079765833333321</v>
      </c>
      <c r="AJ410">
        <f t="shared" si="49"/>
        <v>6.2248063333333334</v>
      </c>
      <c r="AK410">
        <f t="shared" si="49"/>
        <v>4.2469211666666666</v>
      </c>
      <c r="AL410">
        <f t="shared" si="49"/>
        <v>8.0772767500000011</v>
      </c>
      <c r="AO410" s="25">
        <v>10</v>
      </c>
      <c r="AP410" s="35">
        <f>AVERAGE(W410:Z410)</f>
        <v>3.8602788541666668</v>
      </c>
      <c r="AQ410" s="35">
        <f>AVERAGE(AA410:AD410)</f>
        <v>5.6387660416666661</v>
      </c>
      <c r="AR410" s="35">
        <f>AVERAGE(AE410:AH410)</f>
        <v>4.6306163749999989</v>
      </c>
      <c r="AS410" s="35">
        <f>AVERAGE(AI410:AL410)</f>
        <v>6.5142452083333335</v>
      </c>
    </row>
    <row r="411" spans="2:45" x14ac:dyDescent="0.2">
      <c r="B411" s="2">
        <v>43479.171932870369</v>
      </c>
      <c r="C411" s="5">
        <f t="shared" si="47"/>
        <v>10.083332930000021</v>
      </c>
      <c r="D411" s="14">
        <v>4.7558160000000003</v>
      </c>
      <c r="E411" s="14">
        <v>4.3924099999999999</v>
      </c>
      <c r="F411" s="14">
        <v>3.8738790000000001</v>
      </c>
      <c r="G411" s="14">
        <v>2.5663149999999999</v>
      </c>
      <c r="H411" s="15">
        <v>4.7635870000000002</v>
      </c>
      <c r="I411" s="15">
        <v>3.394701</v>
      </c>
      <c r="J411" s="15">
        <v>9.9829980000000003</v>
      </c>
      <c r="K411" s="15">
        <v>4.472747</v>
      </c>
      <c r="L411" s="16">
        <v>2.9832429999999999</v>
      </c>
      <c r="M411" s="16">
        <v>5.1435380000000004</v>
      </c>
      <c r="N411" s="16">
        <v>6.5555669999999999</v>
      </c>
      <c r="O411" s="16">
        <v>3.8483209999999999</v>
      </c>
      <c r="P411" s="17">
        <v>7.5256429999999996</v>
      </c>
      <c r="Q411" s="17">
        <v>6.2489819999999998</v>
      </c>
      <c r="R411" s="17">
        <v>4.2804520000000004</v>
      </c>
      <c r="S411" s="17">
        <v>8.1016259999999996</v>
      </c>
      <c r="AP411" s="35"/>
      <c r="AQ411" s="35"/>
      <c r="AR411" s="35"/>
      <c r="AS411" s="35"/>
    </row>
    <row r="412" spans="2:45" x14ac:dyDescent="0.2">
      <c r="B412" s="2">
        <v>43479.175405092596</v>
      </c>
      <c r="C412" s="5">
        <f t="shared" si="47"/>
        <v>10.166666260000021</v>
      </c>
      <c r="D412" s="14">
        <v>4.7642559999999996</v>
      </c>
      <c r="E412" s="14">
        <v>4.3934119999999997</v>
      </c>
      <c r="F412" s="14">
        <v>3.8791720000000001</v>
      </c>
      <c r="G412" s="14">
        <v>2.5743969999999998</v>
      </c>
      <c r="H412" s="15">
        <v>4.7635870000000002</v>
      </c>
      <c r="I412" s="15">
        <v>3.394701</v>
      </c>
      <c r="J412" s="15">
        <v>9.9930109999999992</v>
      </c>
      <c r="K412" s="15">
        <v>4.472747</v>
      </c>
      <c r="L412" s="16">
        <v>2.9832429999999999</v>
      </c>
      <c r="M412" s="16">
        <v>5.1435380000000004</v>
      </c>
      <c r="N412" s="16">
        <v>6.5555669999999999</v>
      </c>
      <c r="O412" s="16">
        <v>3.8483209999999999</v>
      </c>
      <c r="P412" s="17">
        <v>7.5283610000000003</v>
      </c>
      <c r="Q412" s="17">
        <v>6.2527010000000001</v>
      </c>
      <c r="R412" s="17">
        <v>4.2848860000000002</v>
      </c>
      <c r="S412" s="17">
        <v>8.1056319999999999</v>
      </c>
      <c r="AP412" s="35"/>
      <c r="AQ412" s="35"/>
      <c r="AR412" s="35"/>
      <c r="AS412" s="35"/>
    </row>
    <row r="413" spans="2:45" x14ac:dyDescent="0.2">
      <c r="B413" s="2">
        <v>43479.178877314815</v>
      </c>
      <c r="C413" s="5">
        <f t="shared" si="47"/>
        <v>10.249999590000021</v>
      </c>
      <c r="D413" s="14">
        <v>4.7726959999999998</v>
      </c>
      <c r="E413" s="14">
        <v>4.3944130000000001</v>
      </c>
      <c r="F413" s="14">
        <v>3.8844650000000001</v>
      </c>
      <c r="G413" s="14">
        <v>2.5824790000000002</v>
      </c>
      <c r="H413" s="15">
        <v>4.7635870000000002</v>
      </c>
      <c r="I413" s="15">
        <v>3.394701</v>
      </c>
      <c r="J413" s="15">
        <v>10.003030000000001</v>
      </c>
      <c r="K413" s="15">
        <v>4.472747</v>
      </c>
      <c r="L413" s="16">
        <v>2.9832429999999999</v>
      </c>
      <c r="M413" s="16">
        <v>5.1435380000000004</v>
      </c>
      <c r="N413" s="16">
        <v>6.5555669999999999</v>
      </c>
      <c r="O413" s="16">
        <v>3.8483209999999999</v>
      </c>
      <c r="P413" s="17">
        <v>7.5310790000000001</v>
      </c>
      <c r="Q413" s="17">
        <v>6.2564209999999996</v>
      </c>
      <c r="R413" s="17">
        <v>4.2893210000000002</v>
      </c>
      <c r="S413" s="17">
        <v>8.1096369999999993</v>
      </c>
      <c r="AP413" s="35"/>
      <c r="AQ413" s="35"/>
      <c r="AR413" s="35"/>
      <c r="AS413" s="35"/>
    </row>
    <row r="414" spans="2:45" x14ac:dyDescent="0.2">
      <c r="B414" s="2">
        <v>43479.182349537034</v>
      </c>
      <c r="C414" s="5">
        <f t="shared" si="47"/>
        <v>10.333332920000021</v>
      </c>
      <c r="D414" s="14">
        <v>4.7811370000000002</v>
      </c>
      <c r="E414" s="14">
        <v>4.3954139999999997</v>
      </c>
      <c r="F414" s="14">
        <v>3.8892899999999999</v>
      </c>
      <c r="G414" s="14">
        <v>2.5905619999999998</v>
      </c>
      <c r="H414" s="15">
        <v>4.7635870000000002</v>
      </c>
      <c r="I414" s="15">
        <v>3.394701</v>
      </c>
      <c r="J414" s="15">
        <v>10.01304</v>
      </c>
      <c r="K414" s="15">
        <v>4.472747</v>
      </c>
      <c r="L414" s="16">
        <v>2.9832429999999999</v>
      </c>
      <c r="M414" s="16">
        <v>5.1435380000000004</v>
      </c>
      <c r="N414" s="16">
        <v>6.5555669999999999</v>
      </c>
      <c r="O414" s="16">
        <v>3.8483209999999999</v>
      </c>
      <c r="P414" s="17">
        <v>7.5337969999999999</v>
      </c>
      <c r="Q414" s="17">
        <v>6.2601399999999998</v>
      </c>
      <c r="R414" s="17">
        <v>4.2937560000000001</v>
      </c>
      <c r="S414" s="17">
        <v>8.1136429999999997</v>
      </c>
      <c r="AP414" s="35"/>
      <c r="AQ414" s="35"/>
      <c r="AR414" s="35"/>
      <c r="AS414" s="35"/>
    </row>
    <row r="415" spans="2:45" x14ac:dyDescent="0.2">
      <c r="B415" s="2">
        <v>43479.18582175926</v>
      </c>
      <c r="C415" s="5">
        <f t="shared" si="47"/>
        <v>10.416666250000022</v>
      </c>
      <c r="D415" s="14">
        <v>4.7895770000000004</v>
      </c>
      <c r="E415" s="14">
        <v>4.3964160000000003</v>
      </c>
      <c r="F415" s="14">
        <v>3.8895770000000001</v>
      </c>
      <c r="G415" s="14">
        <v>2.5986440000000002</v>
      </c>
      <c r="H415" s="15">
        <v>4.7635870000000002</v>
      </c>
      <c r="I415" s="15">
        <v>3.394701</v>
      </c>
      <c r="J415" s="15">
        <v>10.02305</v>
      </c>
      <c r="K415" s="15">
        <v>4.472747</v>
      </c>
      <c r="L415" s="16">
        <v>2.9832429999999999</v>
      </c>
      <c r="M415" s="16">
        <v>5.1435380000000004</v>
      </c>
      <c r="N415" s="16">
        <v>6.5555669999999999</v>
      </c>
      <c r="O415" s="16">
        <v>3.8483209999999999</v>
      </c>
      <c r="P415" s="17">
        <v>7.5365149999999996</v>
      </c>
      <c r="Q415" s="17">
        <v>6.2638590000000001</v>
      </c>
      <c r="R415" s="17">
        <v>4.29819</v>
      </c>
      <c r="S415" s="17">
        <v>8.1176480000000009</v>
      </c>
      <c r="AP415" s="35"/>
      <c r="AQ415" s="35"/>
      <c r="AR415" s="35"/>
      <c r="AS415" s="35"/>
    </row>
    <row r="416" spans="2:45" x14ac:dyDescent="0.2">
      <c r="B416" s="2">
        <v>43479.189293981479</v>
      </c>
      <c r="C416" s="5">
        <f t="shared" si="47"/>
        <v>10.499999580000022</v>
      </c>
      <c r="D416" s="14">
        <v>4.7980169999999998</v>
      </c>
      <c r="E416" s="14">
        <v>4.3974169999999999</v>
      </c>
      <c r="F416" s="14">
        <v>3.8903639999999999</v>
      </c>
      <c r="G416" s="14">
        <v>2.6067269999999998</v>
      </c>
      <c r="H416" s="15">
        <v>4.7635870000000002</v>
      </c>
      <c r="I416" s="15">
        <v>3.394701</v>
      </c>
      <c r="J416" s="15">
        <v>10.03307</v>
      </c>
      <c r="K416" s="15">
        <v>4.472747</v>
      </c>
      <c r="L416" s="16">
        <v>2.9832429999999999</v>
      </c>
      <c r="M416" s="16">
        <v>5.1435380000000004</v>
      </c>
      <c r="N416" s="16">
        <v>6.5555669999999999</v>
      </c>
      <c r="O416" s="16">
        <v>3.8483209999999999</v>
      </c>
      <c r="P416" s="17">
        <v>7.5392330000000003</v>
      </c>
      <c r="Q416" s="17">
        <v>6.2675789999999996</v>
      </c>
      <c r="R416" s="17">
        <v>4.3026249999999999</v>
      </c>
      <c r="S416" s="17">
        <v>8.1216539999999995</v>
      </c>
      <c r="AP416" s="35"/>
      <c r="AQ416" s="35"/>
      <c r="AR416" s="35"/>
      <c r="AS416" s="35"/>
    </row>
    <row r="417" spans="2:45" x14ac:dyDescent="0.2">
      <c r="B417" s="2">
        <v>43479.192766203705</v>
      </c>
      <c r="C417" s="5">
        <f t="shared" si="47"/>
        <v>10.583332910000022</v>
      </c>
      <c r="D417" s="14">
        <v>4.8006890000000002</v>
      </c>
      <c r="E417" s="14">
        <v>4.3984180000000004</v>
      </c>
      <c r="F417" s="14">
        <v>3.8911509999999998</v>
      </c>
      <c r="G417" s="14">
        <v>2.6148090000000002</v>
      </c>
      <c r="H417" s="15">
        <v>4.7653530000000002</v>
      </c>
      <c r="I417" s="15">
        <v>3.394701</v>
      </c>
      <c r="J417" s="15">
        <v>10.04308</v>
      </c>
      <c r="K417" s="15">
        <v>4.472747</v>
      </c>
      <c r="L417" s="16">
        <v>2.9832429999999999</v>
      </c>
      <c r="M417" s="16">
        <v>5.1435380000000004</v>
      </c>
      <c r="N417" s="16">
        <v>6.5555669999999999</v>
      </c>
      <c r="O417" s="16">
        <v>3.8483209999999999</v>
      </c>
      <c r="P417" s="17">
        <v>7.5419510000000001</v>
      </c>
      <c r="Q417" s="17">
        <v>6.2712979999999998</v>
      </c>
      <c r="R417" s="17">
        <v>4.3070589999999997</v>
      </c>
      <c r="S417" s="17">
        <v>8.1256590000000006</v>
      </c>
      <c r="AP417" s="35"/>
      <c r="AQ417" s="35"/>
      <c r="AR417" s="35"/>
      <c r="AS417" s="35"/>
    </row>
    <row r="418" spans="2:45" x14ac:dyDescent="0.2">
      <c r="B418" s="2">
        <v>43479.196238425924</v>
      </c>
      <c r="C418" s="5">
        <f t="shared" si="47"/>
        <v>10.666666240000023</v>
      </c>
      <c r="D418" s="14">
        <v>4.8026559999999998</v>
      </c>
      <c r="E418" s="14">
        <v>4.3994200000000001</v>
      </c>
      <c r="F418" s="14">
        <v>3.8919380000000001</v>
      </c>
      <c r="G418" s="14">
        <v>2.6228910000000001</v>
      </c>
      <c r="H418" s="15">
        <v>4.7696449999999997</v>
      </c>
      <c r="I418" s="15">
        <v>3.394701</v>
      </c>
      <c r="J418" s="15">
        <v>10.053089999999999</v>
      </c>
      <c r="K418" s="15">
        <v>4.472747</v>
      </c>
      <c r="L418" s="16">
        <v>2.9832429999999999</v>
      </c>
      <c r="M418" s="16">
        <v>5.1435380000000004</v>
      </c>
      <c r="N418" s="16">
        <v>6.5555669999999999</v>
      </c>
      <c r="O418" s="16">
        <v>3.8483209999999999</v>
      </c>
      <c r="P418" s="17">
        <v>7.5446689999999998</v>
      </c>
      <c r="Q418" s="17">
        <v>6.2750170000000001</v>
      </c>
      <c r="R418" s="17">
        <v>4.3114939999999997</v>
      </c>
      <c r="S418" s="17">
        <v>8.129664</v>
      </c>
      <c r="AP418" s="35"/>
      <c r="AQ418" s="35"/>
      <c r="AR418" s="35"/>
      <c r="AS418" s="35"/>
    </row>
    <row r="419" spans="2:45" x14ac:dyDescent="0.2">
      <c r="B419" s="2">
        <v>43479.19971064815</v>
      </c>
      <c r="C419" s="5">
        <f t="shared" si="47"/>
        <v>10.749999570000023</v>
      </c>
      <c r="D419" s="14">
        <v>4.8073769999999998</v>
      </c>
      <c r="E419" s="14">
        <v>4.4004209999999997</v>
      </c>
      <c r="F419" s="14">
        <v>3.892725</v>
      </c>
      <c r="G419" s="14">
        <v>2.6309740000000001</v>
      </c>
      <c r="H419" s="15">
        <v>4.773936</v>
      </c>
      <c r="I419" s="15">
        <v>3.394701</v>
      </c>
      <c r="J419" s="15">
        <v>10.06311</v>
      </c>
      <c r="K419" s="15">
        <v>4.472747</v>
      </c>
      <c r="L419" s="16">
        <v>2.9832429999999999</v>
      </c>
      <c r="M419" s="16">
        <v>5.1435380000000004</v>
      </c>
      <c r="N419" s="16">
        <v>6.5555669999999999</v>
      </c>
      <c r="O419" s="16">
        <v>3.8483209999999999</v>
      </c>
      <c r="P419" s="17">
        <v>7.5473869999999996</v>
      </c>
      <c r="Q419" s="17">
        <v>6.2787369999999996</v>
      </c>
      <c r="R419" s="17">
        <v>4.3159280000000004</v>
      </c>
      <c r="S419" s="17">
        <v>8.1336700000000004</v>
      </c>
      <c r="AP419" s="35"/>
      <c r="AQ419" s="35"/>
      <c r="AR419" s="35"/>
      <c r="AS419" s="35"/>
    </row>
    <row r="420" spans="2:45" x14ac:dyDescent="0.2">
      <c r="B420" s="2">
        <v>43479.203182870369</v>
      </c>
      <c r="C420" s="5">
        <f t="shared" si="47"/>
        <v>10.833332900000023</v>
      </c>
      <c r="D420" s="14">
        <v>4.8120979999999998</v>
      </c>
      <c r="E420" s="14">
        <v>4.4014230000000003</v>
      </c>
      <c r="F420" s="14">
        <v>3.8935110000000002</v>
      </c>
      <c r="G420" s="14">
        <v>2.6390560000000001</v>
      </c>
      <c r="H420" s="15">
        <v>4.7782280000000004</v>
      </c>
      <c r="I420" s="15">
        <v>3.394701</v>
      </c>
      <c r="J420" s="15">
        <v>10.073119999999999</v>
      </c>
      <c r="K420" s="15">
        <v>4.472747</v>
      </c>
      <c r="L420" s="16">
        <v>2.9832429999999999</v>
      </c>
      <c r="M420" s="16">
        <v>5.1435380000000004</v>
      </c>
      <c r="N420" s="16">
        <v>6.5555669999999999</v>
      </c>
      <c r="O420" s="16">
        <v>3.8483209999999999</v>
      </c>
      <c r="P420" s="17">
        <v>7.5501050000000003</v>
      </c>
      <c r="Q420" s="17">
        <v>6.2824559999999998</v>
      </c>
      <c r="R420" s="17">
        <v>4.3203630000000004</v>
      </c>
      <c r="S420" s="17">
        <v>8.1376749999999998</v>
      </c>
      <c r="AP420" s="35"/>
      <c r="AQ420" s="35"/>
      <c r="AR420" s="35"/>
      <c r="AS420" s="35"/>
    </row>
    <row r="421" spans="2:45" x14ac:dyDescent="0.2">
      <c r="B421" s="2">
        <v>43479.206655092596</v>
      </c>
      <c r="C421" s="5">
        <f t="shared" si="47"/>
        <v>10.916666230000024</v>
      </c>
      <c r="D421" s="14">
        <v>4.8168179999999996</v>
      </c>
      <c r="E421" s="14">
        <v>4.4024239999999999</v>
      </c>
      <c r="F421" s="14">
        <v>3.894298</v>
      </c>
      <c r="G421" s="14">
        <v>2.6471390000000001</v>
      </c>
      <c r="H421" s="15">
        <v>4.7825189999999997</v>
      </c>
      <c r="I421" s="15">
        <v>3.394701</v>
      </c>
      <c r="J421" s="15">
        <v>10.083130000000001</v>
      </c>
      <c r="K421" s="15">
        <v>4.472747</v>
      </c>
      <c r="L421" s="16">
        <v>2.9832429999999999</v>
      </c>
      <c r="M421" s="16">
        <v>5.1435380000000004</v>
      </c>
      <c r="N421" s="16">
        <v>6.5555669999999999</v>
      </c>
      <c r="O421" s="16">
        <v>3.8483209999999999</v>
      </c>
      <c r="P421" s="17">
        <v>7.5528230000000001</v>
      </c>
      <c r="Q421" s="17">
        <v>6.2861750000000001</v>
      </c>
      <c r="R421" s="17">
        <v>4.3247980000000004</v>
      </c>
      <c r="S421" s="17">
        <v>8.1416810000000002</v>
      </c>
      <c r="AP421" s="35"/>
      <c r="AQ421" s="35"/>
      <c r="AR421" s="35"/>
      <c r="AS421" s="35"/>
    </row>
    <row r="422" spans="2:45" x14ac:dyDescent="0.2">
      <c r="B422" s="2">
        <v>43479.210127314815</v>
      </c>
      <c r="C422" s="5">
        <f t="shared" si="47"/>
        <v>10.999999560000024</v>
      </c>
      <c r="D422" s="14">
        <v>4.8215389999999996</v>
      </c>
      <c r="E422" s="14">
        <v>4.4034250000000004</v>
      </c>
      <c r="F422" s="14">
        <v>3.8950849999999999</v>
      </c>
      <c r="G422" s="14">
        <v>2.6552210000000001</v>
      </c>
      <c r="H422" s="15">
        <v>4.7868110000000001</v>
      </c>
      <c r="I422" s="15">
        <v>3.394701</v>
      </c>
      <c r="J422" s="15">
        <v>10.09315</v>
      </c>
      <c r="K422" s="15">
        <v>4.472747</v>
      </c>
      <c r="L422" s="16">
        <v>2.9832429999999999</v>
      </c>
      <c r="M422" s="16">
        <v>5.1435380000000004</v>
      </c>
      <c r="N422" s="16">
        <v>6.5555669999999999</v>
      </c>
      <c r="O422" s="16">
        <v>3.8483209999999999</v>
      </c>
      <c r="P422" s="17">
        <v>7.5541099999999997</v>
      </c>
      <c r="Q422" s="17">
        <v>6.2898949999999996</v>
      </c>
      <c r="R422" s="17">
        <v>4.3292320000000002</v>
      </c>
      <c r="S422" s="17">
        <v>8.1456859999999995</v>
      </c>
      <c r="V422" s="25">
        <v>11</v>
      </c>
      <c r="W422">
        <f>AVERAGE(D411:D422)</f>
        <v>4.7935563333333331</v>
      </c>
      <c r="X422">
        <f t="shared" ref="X422:AL422" si="50">AVERAGE(E411:E422)</f>
        <v>4.3979177500000004</v>
      </c>
      <c r="Y422">
        <f t="shared" si="50"/>
        <v>3.8887879166666672</v>
      </c>
      <c r="Z422">
        <f t="shared" si="50"/>
        <v>2.6107678333333331</v>
      </c>
      <c r="AA422">
        <f t="shared" si="50"/>
        <v>4.7698345</v>
      </c>
      <c r="AB422">
        <f t="shared" si="50"/>
        <v>3.394701</v>
      </c>
      <c r="AC422">
        <f t="shared" si="50"/>
        <v>10.038073249999998</v>
      </c>
      <c r="AD422">
        <f t="shared" si="50"/>
        <v>4.4727469999999991</v>
      </c>
      <c r="AE422">
        <f t="shared" si="50"/>
        <v>2.9832430000000003</v>
      </c>
      <c r="AF422">
        <f t="shared" si="50"/>
        <v>5.1435380000000004</v>
      </c>
      <c r="AG422">
        <f t="shared" si="50"/>
        <v>6.5555669999999973</v>
      </c>
      <c r="AH422">
        <f t="shared" si="50"/>
        <v>3.848320999999999</v>
      </c>
      <c r="AI422">
        <f t="shared" si="50"/>
        <v>7.5404727499999993</v>
      </c>
      <c r="AJ422">
        <f t="shared" si="50"/>
        <v>6.2694383333333334</v>
      </c>
      <c r="AK422">
        <f t="shared" si="50"/>
        <v>4.3048419999999998</v>
      </c>
      <c r="AL422">
        <f t="shared" si="50"/>
        <v>8.1236562499999998</v>
      </c>
      <c r="AO422" s="25">
        <v>11</v>
      </c>
      <c r="AP422" s="35">
        <f>AVERAGE(W422:Z422)</f>
        <v>3.9227574583333329</v>
      </c>
      <c r="AQ422" s="35">
        <f>AVERAGE(AA422:AD422)</f>
        <v>5.6688389374999986</v>
      </c>
      <c r="AR422" s="35">
        <f>AVERAGE(AE422:AH422)</f>
        <v>4.632667249999999</v>
      </c>
      <c r="AS422" s="35">
        <f>AVERAGE(AI422:AL422)</f>
        <v>6.5596023333333333</v>
      </c>
    </row>
    <row r="423" spans="2:45" x14ac:dyDescent="0.2">
      <c r="B423" s="2">
        <v>43479.213599537034</v>
      </c>
      <c r="C423" s="5">
        <f t="shared" si="47"/>
        <v>11.083332890000024</v>
      </c>
      <c r="D423" s="14">
        <v>4.8262600000000004</v>
      </c>
      <c r="E423" s="14">
        <v>4.4044270000000001</v>
      </c>
      <c r="F423" s="14">
        <v>3.8958719999999998</v>
      </c>
      <c r="G423" s="14">
        <v>2.663303</v>
      </c>
      <c r="H423" s="15">
        <v>4.7911020000000004</v>
      </c>
      <c r="I423" s="15">
        <v>3.394701</v>
      </c>
      <c r="J423" s="15">
        <v>10.103160000000001</v>
      </c>
      <c r="K423" s="15">
        <v>4.472747</v>
      </c>
      <c r="L423" s="16">
        <v>2.9832429999999999</v>
      </c>
      <c r="M423" s="16">
        <v>5.1435380000000004</v>
      </c>
      <c r="N423" s="16">
        <v>6.5555669999999999</v>
      </c>
      <c r="O423" s="16">
        <v>3.8483209999999999</v>
      </c>
      <c r="P423" s="17">
        <v>7.5541099999999997</v>
      </c>
      <c r="Q423" s="17">
        <v>6.2936139999999998</v>
      </c>
      <c r="R423" s="17">
        <v>4.3336670000000002</v>
      </c>
      <c r="S423" s="17">
        <v>8.1496919999999999</v>
      </c>
      <c r="AP423" s="35"/>
      <c r="AQ423" s="35"/>
      <c r="AR423" s="35"/>
      <c r="AS423" s="35"/>
    </row>
    <row r="424" spans="2:45" x14ac:dyDescent="0.2">
      <c r="B424" s="2">
        <v>43479.21707175926</v>
      </c>
      <c r="C424" s="5">
        <f t="shared" si="47"/>
        <v>11.166666220000025</v>
      </c>
      <c r="D424" s="14">
        <v>4.8306180000000003</v>
      </c>
      <c r="E424" s="14">
        <v>4.4054279999999997</v>
      </c>
      <c r="F424" s="14">
        <v>3.896658</v>
      </c>
      <c r="G424" s="14">
        <v>2.671386</v>
      </c>
      <c r="H424" s="15">
        <v>4.7953939999999999</v>
      </c>
      <c r="I424" s="15">
        <v>3.394701</v>
      </c>
      <c r="J424" s="15">
        <v>10.11317</v>
      </c>
      <c r="K424" s="15">
        <v>4.472747</v>
      </c>
      <c r="L424" s="16">
        <v>2.9832429999999999</v>
      </c>
      <c r="M424" s="16">
        <v>5.1435380000000004</v>
      </c>
      <c r="N424" s="16">
        <v>6.5555669999999999</v>
      </c>
      <c r="O424" s="16">
        <v>3.8483209999999999</v>
      </c>
      <c r="P424" s="17">
        <v>7.5541099999999997</v>
      </c>
      <c r="Q424" s="17">
        <v>6.2973330000000001</v>
      </c>
      <c r="R424" s="17">
        <v>4.338101</v>
      </c>
      <c r="S424" s="17">
        <v>8.1536969999999993</v>
      </c>
      <c r="AP424" s="35"/>
      <c r="AQ424" s="35"/>
      <c r="AR424" s="35"/>
      <c r="AS424" s="35"/>
    </row>
    <row r="425" spans="2:45" x14ac:dyDescent="0.2">
      <c r="B425" s="2">
        <v>43479.220543981479</v>
      </c>
      <c r="C425" s="5">
        <f t="shared" si="47"/>
        <v>11.249999550000025</v>
      </c>
      <c r="D425" s="14">
        <v>4.8306180000000003</v>
      </c>
      <c r="E425" s="14">
        <v>4.4064290000000002</v>
      </c>
      <c r="F425" s="14">
        <v>3.8974449999999998</v>
      </c>
      <c r="G425" s="14">
        <v>2.679468</v>
      </c>
      <c r="H425" s="15">
        <v>4.7996850000000002</v>
      </c>
      <c r="I425" s="15">
        <v>3.394701</v>
      </c>
      <c r="J425" s="15">
        <v>10.123189999999999</v>
      </c>
      <c r="K425" s="15">
        <v>4.472747</v>
      </c>
      <c r="L425" s="16">
        <v>2.9832429999999999</v>
      </c>
      <c r="M425" s="16">
        <v>5.1435380000000004</v>
      </c>
      <c r="N425" s="16">
        <v>6.5555669999999999</v>
      </c>
      <c r="O425" s="16">
        <v>3.8483209999999999</v>
      </c>
      <c r="P425" s="17">
        <v>7.5541099999999997</v>
      </c>
      <c r="Q425" s="17">
        <v>6.3010529999999996</v>
      </c>
      <c r="R425" s="17">
        <v>4.342536</v>
      </c>
      <c r="S425" s="17">
        <v>8.1577020000000005</v>
      </c>
      <c r="AP425" s="35"/>
      <c r="AQ425" s="35"/>
      <c r="AR425" s="35"/>
      <c r="AS425" s="35"/>
    </row>
    <row r="426" spans="2:45" x14ac:dyDescent="0.2">
      <c r="B426" s="2">
        <v>43479.224016203705</v>
      </c>
      <c r="C426" s="5">
        <f t="shared" si="47"/>
        <v>11.333332880000025</v>
      </c>
      <c r="D426" s="14">
        <v>4.8306180000000003</v>
      </c>
      <c r="E426" s="14">
        <v>4.4074309999999999</v>
      </c>
      <c r="F426" s="14">
        <v>3.8982320000000001</v>
      </c>
      <c r="G426" s="14">
        <v>2.687551</v>
      </c>
      <c r="H426" s="15">
        <v>4.8039769999999997</v>
      </c>
      <c r="I426" s="15">
        <v>3.394701</v>
      </c>
      <c r="J426" s="15">
        <v>10.1332</v>
      </c>
      <c r="K426" s="15">
        <v>4.472747</v>
      </c>
      <c r="L426" s="16">
        <v>2.9832429999999999</v>
      </c>
      <c r="M426" s="16">
        <v>5.1435380000000004</v>
      </c>
      <c r="N426" s="16">
        <v>6.5555669999999999</v>
      </c>
      <c r="O426" s="16">
        <v>3.8483209999999999</v>
      </c>
      <c r="P426" s="17">
        <v>7.5541099999999997</v>
      </c>
      <c r="Q426" s="17">
        <v>6.3047719999999998</v>
      </c>
      <c r="R426" s="17">
        <v>4.3469709999999999</v>
      </c>
      <c r="S426" s="17">
        <v>8.1617080000000009</v>
      </c>
      <c r="AP426" s="35"/>
      <c r="AQ426" s="35"/>
      <c r="AR426" s="35"/>
      <c r="AS426" s="35"/>
    </row>
    <row r="427" spans="2:45" x14ac:dyDescent="0.2">
      <c r="B427" s="2">
        <v>43479.227488425924</v>
      </c>
      <c r="C427" s="5">
        <f t="shared" si="47"/>
        <v>11.416666210000026</v>
      </c>
      <c r="D427" s="14">
        <v>4.8306180000000003</v>
      </c>
      <c r="E427" s="14">
        <v>4.4084320000000004</v>
      </c>
      <c r="F427" s="14">
        <v>3.899019</v>
      </c>
      <c r="G427" s="14">
        <v>2.6956329999999999</v>
      </c>
      <c r="H427" s="15">
        <v>4.8082690000000001</v>
      </c>
      <c r="I427" s="15">
        <v>3.394701</v>
      </c>
      <c r="J427" s="15">
        <v>10.143219999999999</v>
      </c>
      <c r="K427" s="15">
        <v>4.472747</v>
      </c>
      <c r="L427" s="16">
        <v>2.9832429999999999</v>
      </c>
      <c r="M427" s="16">
        <v>5.1435380000000004</v>
      </c>
      <c r="N427" s="16">
        <v>6.5555669999999999</v>
      </c>
      <c r="O427" s="16">
        <v>3.8483209999999999</v>
      </c>
      <c r="P427" s="17">
        <v>7.5541099999999997</v>
      </c>
      <c r="Q427" s="17">
        <v>6.3084910000000001</v>
      </c>
      <c r="R427" s="17">
        <v>4.3514049999999997</v>
      </c>
      <c r="S427" s="17">
        <v>8.1657130000000002</v>
      </c>
      <c r="AP427" s="35"/>
      <c r="AQ427" s="35"/>
      <c r="AR427" s="35"/>
      <c r="AS427" s="35"/>
    </row>
    <row r="428" spans="2:45" x14ac:dyDescent="0.2">
      <c r="B428" s="2">
        <v>43479.23096064815</v>
      </c>
      <c r="C428" s="5">
        <f t="shared" si="47"/>
        <v>11.499999540000026</v>
      </c>
      <c r="D428" s="14">
        <v>4.8306180000000003</v>
      </c>
      <c r="E428" s="14">
        <v>4.4094329999999999</v>
      </c>
      <c r="F428" s="14">
        <v>3.8998059999999999</v>
      </c>
      <c r="G428" s="14">
        <v>2.7037149999999999</v>
      </c>
      <c r="H428" s="15">
        <v>4.8125600000000004</v>
      </c>
      <c r="I428" s="15">
        <v>3.394701</v>
      </c>
      <c r="J428" s="15">
        <v>10.153230000000001</v>
      </c>
      <c r="K428" s="15">
        <v>4.472747</v>
      </c>
      <c r="L428" s="16">
        <v>2.9832429999999999</v>
      </c>
      <c r="M428" s="16">
        <v>5.1435380000000004</v>
      </c>
      <c r="N428" s="16">
        <v>6.5555669999999999</v>
      </c>
      <c r="O428" s="16">
        <v>3.8483209999999999</v>
      </c>
      <c r="P428" s="17">
        <v>7.5541099999999997</v>
      </c>
      <c r="Q428" s="17">
        <v>6.3122109999999996</v>
      </c>
      <c r="R428" s="17">
        <v>4.3558399999999997</v>
      </c>
      <c r="S428" s="17">
        <v>8.1697190000000006</v>
      </c>
      <c r="AP428" s="35"/>
      <c r="AQ428" s="35"/>
      <c r="AR428" s="35"/>
      <c r="AS428" s="35"/>
    </row>
    <row r="429" spans="2:45" x14ac:dyDescent="0.2">
      <c r="B429" s="2">
        <v>43479.234432870369</v>
      </c>
      <c r="C429" s="5">
        <f t="shared" si="47"/>
        <v>11.583332870000026</v>
      </c>
      <c r="D429" s="14">
        <v>4.8306180000000003</v>
      </c>
      <c r="E429" s="14">
        <v>4.4104349999999997</v>
      </c>
      <c r="F429" s="14">
        <v>3.9005920000000001</v>
      </c>
      <c r="G429" s="14">
        <v>2.7117979999999999</v>
      </c>
      <c r="H429" s="15">
        <v>4.8168519999999999</v>
      </c>
      <c r="I429" s="15">
        <v>3.394701</v>
      </c>
      <c r="J429" s="15">
        <v>10.16324</v>
      </c>
      <c r="K429" s="15">
        <v>4.472747</v>
      </c>
      <c r="L429" s="16">
        <v>2.9832429999999999</v>
      </c>
      <c r="M429" s="16">
        <v>5.1435380000000004</v>
      </c>
      <c r="N429" s="16">
        <v>6.5555669999999999</v>
      </c>
      <c r="O429" s="16">
        <v>3.8483209999999999</v>
      </c>
      <c r="P429" s="17">
        <v>7.5541099999999997</v>
      </c>
      <c r="Q429" s="17">
        <v>6.3159299999999998</v>
      </c>
      <c r="R429" s="17">
        <v>4.3602740000000004</v>
      </c>
      <c r="S429" s="17">
        <v>8.173724</v>
      </c>
      <c r="AP429" s="35"/>
      <c r="AQ429" s="35"/>
      <c r="AR429" s="35"/>
      <c r="AS429" s="35"/>
    </row>
    <row r="430" spans="2:45" x14ac:dyDescent="0.2">
      <c r="B430" s="2">
        <v>43479.237905092596</v>
      </c>
      <c r="C430" s="5">
        <f t="shared" si="47"/>
        <v>11.666666200000027</v>
      </c>
      <c r="D430" s="14">
        <v>4.8306180000000003</v>
      </c>
      <c r="E430" s="14">
        <v>4.4111989999999999</v>
      </c>
      <c r="F430" s="14">
        <v>3.9013789999999999</v>
      </c>
      <c r="G430" s="14">
        <v>2.7198799999999999</v>
      </c>
      <c r="H430" s="15">
        <v>4.8211430000000002</v>
      </c>
      <c r="I430" s="15">
        <v>3.394701</v>
      </c>
      <c r="J430" s="15">
        <v>10.170920000000001</v>
      </c>
      <c r="K430" s="15">
        <v>4.472747</v>
      </c>
      <c r="L430" s="16">
        <v>2.9832429999999999</v>
      </c>
      <c r="M430" s="16">
        <v>5.1435380000000004</v>
      </c>
      <c r="N430" s="16">
        <v>6.5555669999999999</v>
      </c>
      <c r="O430" s="16">
        <v>3.8483209999999999</v>
      </c>
      <c r="P430" s="17">
        <v>7.5541099999999997</v>
      </c>
      <c r="Q430" s="17">
        <v>6.3179629999999998</v>
      </c>
      <c r="R430" s="17">
        <v>4.3647090000000004</v>
      </c>
      <c r="S430" s="17">
        <v>8.1777300000000004</v>
      </c>
      <c r="AP430" s="35"/>
      <c r="AQ430" s="35"/>
      <c r="AR430" s="35"/>
      <c r="AS430" s="35"/>
    </row>
    <row r="431" spans="2:45" x14ac:dyDescent="0.2">
      <c r="B431" s="2">
        <v>43479.241377314815</v>
      </c>
      <c r="C431" s="5">
        <f t="shared" si="47"/>
        <v>11.749999530000027</v>
      </c>
      <c r="D431" s="14">
        <v>4.8306180000000003</v>
      </c>
      <c r="E431" s="14">
        <v>4.4111989999999999</v>
      </c>
      <c r="F431" s="14">
        <v>3.9021659999999998</v>
      </c>
      <c r="G431" s="14">
        <v>2.7279620000000002</v>
      </c>
      <c r="H431" s="15">
        <v>4.8254349999999997</v>
      </c>
      <c r="I431" s="15">
        <v>3.394701</v>
      </c>
      <c r="J431" s="15">
        <v>10.170920000000001</v>
      </c>
      <c r="K431" s="15">
        <v>4.472747</v>
      </c>
      <c r="L431" s="16">
        <v>2.9832429999999999</v>
      </c>
      <c r="M431" s="16">
        <v>5.1435380000000004</v>
      </c>
      <c r="N431" s="16">
        <v>6.5555669999999999</v>
      </c>
      <c r="O431" s="16">
        <v>3.8483209999999999</v>
      </c>
      <c r="P431" s="17">
        <v>7.5566800000000001</v>
      </c>
      <c r="Q431" s="17">
        <v>6.3326120000000001</v>
      </c>
      <c r="R431" s="17">
        <v>4.3691430000000002</v>
      </c>
      <c r="S431" s="17">
        <v>8.1817349999999998</v>
      </c>
      <c r="AP431" s="35"/>
      <c r="AQ431" s="35"/>
      <c r="AR431" s="35"/>
      <c r="AS431" s="35"/>
    </row>
    <row r="432" spans="2:45" x14ac:dyDescent="0.2">
      <c r="B432" s="2">
        <v>43479.244849537034</v>
      </c>
      <c r="C432" s="5">
        <f t="shared" si="47"/>
        <v>11.833332860000027</v>
      </c>
      <c r="D432" s="14">
        <v>4.8306180000000003</v>
      </c>
      <c r="E432" s="14">
        <v>4.4111989999999999</v>
      </c>
      <c r="F432" s="14">
        <v>3.9029530000000001</v>
      </c>
      <c r="G432" s="14">
        <v>2.7360449999999998</v>
      </c>
      <c r="H432" s="15">
        <v>4.829726</v>
      </c>
      <c r="I432" s="15">
        <v>3.394701</v>
      </c>
      <c r="J432" s="15">
        <v>10.170920000000001</v>
      </c>
      <c r="K432" s="15">
        <v>4.472747</v>
      </c>
      <c r="L432" s="16">
        <v>2.9832429999999999</v>
      </c>
      <c r="M432" s="16">
        <v>5.1435380000000004</v>
      </c>
      <c r="N432" s="16">
        <v>6.5555669999999999</v>
      </c>
      <c r="O432" s="16">
        <v>3.8483209999999999</v>
      </c>
      <c r="P432" s="17">
        <v>7.5676949999999996</v>
      </c>
      <c r="Q432" s="17">
        <v>6.3509219999999997</v>
      </c>
      <c r="R432" s="17">
        <v>4.3735780000000002</v>
      </c>
      <c r="S432" s="17">
        <v>8.1857399999999991</v>
      </c>
      <c r="AP432" s="35"/>
      <c r="AQ432" s="35"/>
      <c r="AR432" s="35"/>
      <c r="AS432" s="35"/>
    </row>
    <row r="433" spans="2:45" x14ac:dyDescent="0.2">
      <c r="B433" s="2">
        <v>43479.24832175926</v>
      </c>
      <c r="C433" s="5">
        <f t="shared" si="47"/>
        <v>11.916666190000027</v>
      </c>
      <c r="D433" s="14">
        <v>4.8306180000000003</v>
      </c>
      <c r="E433" s="14">
        <v>4.4111989999999999</v>
      </c>
      <c r="F433" s="14">
        <v>3.9037389999999998</v>
      </c>
      <c r="G433" s="14">
        <v>2.7441270000000002</v>
      </c>
      <c r="H433" s="15">
        <v>4.8340180000000004</v>
      </c>
      <c r="I433" s="15">
        <v>3.3948900000000002</v>
      </c>
      <c r="J433" s="15">
        <v>10.170920000000001</v>
      </c>
      <c r="K433" s="15">
        <v>4.472747</v>
      </c>
      <c r="L433" s="16">
        <v>2.9832429999999999</v>
      </c>
      <c r="M433" s="16">
        <v>5.1435380000000004</v>
      </c>
      <c r="N433" s="16">
        <v>6.5555669999999999</v>
      </c>
      <c r="O433" s="16">
        <v>3.8483209999999999</v>
      </c>
      <c r="P433" s="17">
        <v>7.5787100000000001</v>
      </c>
      <c r="Q433" s="17">
        <v>6.3692330000000004</v>
      </c>
      <c r="R433" s="17">
        <v>4.3780130000000002</v>
      </c>
      <c r="S433" s="17">
        <v>8.1897459999999995</v>
      </c>
      <c r="AP433" s="35"/>
      <c r="AQ433" s="35"/>
      <c r="AR433" s="35"/>
      <c r="AS433" s="35"/>
    </row>
    <row r="434" spans="2:45" x14ac:dyDescent="0.2">
      <c r="B434" s="2">
        <v>43479.251793981479</v>
      </c>
      <c r="C434" s="5">
        <f t="shared" si="47"/>
        <v>11.999999520000028</v>
      </c>
      <c r="D434" s="14">
        <v>4.8306180000000003</v>
      </c>
      <c r="E434" s="14">
        <v>4.4111989999999999</v>
      </c>
      <c r="F434" s="14">
        <v>3.9045260000000002</v>
      </c>
      <c r="G434" s="14">
        <v>2.7522099999999998</v>
      </c>
      <c r="H434" s="15">
        <v>4.8383089999999997</v>
      </c>
      <c r="I434" s="15">
        <v>3.3959630000000001</v>
      </c>
      <c r="J434" s="15">
        <v>10.170920000000001</v>
      </c>
      <c r="K434" s="15">
        <v>4.472747</v>
      </c>
      <c r="L434" s="16">
        <v>2.9832429999999999</v>
      </c>
      <c r="M434" s="16">
        <v>5.1435380000000004</v>
      </c>
      <c r="N434" s="16">
        <v>6.5555669999999999</v>
      </c>
      <c r="O434" s="16">
        <v>3.8483209999999999</v>
      </c>
      <c r="P434" s="17">
        <v>7.5897249999999996</v>
      </c>
      <c r="Q434" s="17">
        <v>6.387543</v>
      </c>
      <c r="R434" s="17">
        <v>4.382447</v>
      </c>
      <c r="S434" s="17">
        <v>8.1937510000000007</v>
      </c>
      <c r="V434" s="25">
        <v>12</v>
      </c>
      <c r="W434">
        <f>AVERAGE(D423:D434)</f>
        <v>4.8302548333333339</v>
      </c>
      <c r="X434">
        <f t="shared" ref="X434:AL434" si="51">AVERAGE(E423:E434)</f>
        <v>4.4090008333333328</v>
      </c>
      <c r="Y434">
        <f t="shared" si="51"/>
        <v>3.9001989166666657</v>
      </c>
      <c r="Z434">
        <f t="shared" si="51"/>
        <v>2.7077565000000003</v>
      </c>
      <c r="AA434">
        <f t="shared" si="51"/>
        <v>4.8147058333333339</v>
      </c>
      <c r="AB434">
        <f t="shared" si="51"/>
        <v>3.3948219166666678</v>
      </c>
      <c r="AC434">
        <f t="shared" si="51"/>
        <v>10.148917499999998</v>
      </c>
      <c r="AD434">
        <f t="shared" si="51"/>
        <v>4.4727469999999991</v>
      </c>
      <c r="AE434">
        <f t="shared" si="51"/>
        <v>2.9832430000000003</v>
      </c>
      <c r="AF434">
        <f t="shared" si="51"/>
        <v>5.1435380000000004</v>
      </c>
      <c r="AG434">
        <f t="shared" si="51"/>
        <v>6.5555669999999973</v>
      </c>
      <c r="AH434">
        <f t="shared" si="51"/>
        <v>3.848320999999999</v>
      </c>
      <c r="AI434">
        <f t="shared" si="51"/>
        <v>7.5604741666666682</v>
      </c>
      <c r="AJ434">
        <f t="shared" si="51"/>
        <v>6.3243064166666656</v>
      </c>
      <c r="AK434">
        <f t="shared" si="51"/>
        <v>4.3580570000000005</v>
      </c>
      <c r="AL434">
        <f t="shared" si="51"/>
        <v>8.1717214166666672</v>
      </c>
      <c r="AO434" s="25">
        <v>12</v>
      </c>
      <c r="AP434" s="35">
        <f>AVERAGE(W434:Z434)</f>
        <v>3.9618027708333332</v>
      </c>
      <c r="AQ434" s="35">
        <f>AVERAGE(AA434:AD434)</f>
        <v>5.7077980624999993</v>
      </c>
      <c r="AR434" s="35">
        <f>AVERAGE(AE434:AH434)</f>
        <v>4.632667249999999</v>
      </c>
      <c r="AS434" s="35">
        <f>AVERAGE(AI434:AL434)</f>
        <v>6.6036397500000001</v>
      </c>
    </row>
    <row r="435" spans="2:45" x14ac:dyDescent="0.2">
      <c r="B435" s="2">
        <v>43479.255266203705</v>
      </c>
      <c r="C435" s="5">
        <f t="shared" si="47"/>
        <v>12.083332850000028</v>
      </c>
      <c r="D435" s="14">
        <v>4.8306180000000003</v>
      </c>
      <c r="E435" s="14">
        <v>4.4111989999999999</v>
      </c>
      <c r="F435" s="14">
        <v>3.905313</v>
      </c>
      <c r="G435" s="14">
        <v>2.7602920000000002</v>
      </c>
      <c r="H435" s="15">
        <v>4.8426010000000002</v>
      </c>
      <c r="I435" s="15">
        <v>3.3970359999999999</v>
      </c>
      <c r="J435" s="15">
        <v>10.170920000000001</v>
      </c>
      <c r="K435" s="15">
        <v>4.472747</v>
      </c>
      <c r="L435" s="16">
        <v>2.9832429999999999</v>
      </c>
      <c r="M435" s="16">
        <v>5.1435380000000004</v>
      </c>
      <c r="N435" s="16">
        <v>6.5555669999999999</v>
      </c>
      <c r="O435" s="16">
        <v>3.8483209999999999</v>
      </c>
      <c r="P435" s="17">
        <v>7.6007389999999999</v>
      </c>
      <c r="Q435" s="17">
        <v>6.4058539999999997</v>
      </c>
      <c r="R435" s="17">
        <v>4.3868819999999999</v>
      </c>
      <c r="S435" s="17">
        <v>8.1977569999999993</v>
      </c>
      <c r="AP435" s="35"/>
      <c r="AQ435" s="35"/>
      <c r="AR435" s="35"/>
      <c r="AS435" s="35"/>
    </row>
    <row r="436" spans="2:45" x14ac:dyDescent="0.2">
      <c r="B436" s="2">
        <v>43479.258738425924</v>
      </c>
      <c r="C436" s="5">
        <f t="shared" si="47"/>
        <v>12.166666180000028</v>
      </c>
      <c r="D436" s="14">
        <v>4.8306180000000003</v>
      </c>
      <c r="E436" s="14">
        <v>4.4111989999999999</v>
      </c>
      <c r="F436" s="14">
        <v>3.9060999999999999</v>
      </c>
      <c r="G436" s="14">
        <v>2.7683740000000001</v>
      </c>
      <c r="H436" s="15">
        <v>4.8468920000000004</v>
      </c>
      <c r="I436" s="15">
        <v>3.3981089999999998</v>
      </c>
      <c r="J436" s="15">
        <v>10.170920000000001</v>
      </c>
      <c r="K436" s="15">
        <v>4.472747</v>
      </c>
      <c r="L436" s="16">
        <v>2.9832429999999999</v>
      </c>
      <c r="M436" s="16">
        <v>5.1435380000000004</v>
      </c>
      <c r="N436" s="16">
        <v>6.5555669999999999</v>
      </c>
      <c r="O436" s="16">
        <v>3.8483209999999999</v>
      </c>
      <c r="P436" s="17">
        <v>7.6117540000000004</v>
      </c>
      <c r="Q436" s="17">
        <v>6.4241640000000002</v>
      </c>
      <c r="R436" s="17">
        <v>4.3913159999999998</v>
      </c>
      <c r="S436" s="17">
        <v>8.2017620000000004</v>
      </c>
      <c r="AP436" s="35"/>
      <c r="AQ436" s="35"/>
      <c r="AR436" s="35"/>
      <c r="AS436" s="35"/>
    </row>
    <row r="437" spans="2:45" x14ac:dyDescent="0.2">
      <c r="B437" s="2">
        <v>43479.26221064815</v>
      </c>
      <c r="C437" s="5">
        <f t="shared" si="47"/>
        <v>12.249999510000029</v>
      </c>
      <c r="D437" s="14">
        <v>4.8306180000000003</v>
      </c>
      <c r="E437" s="14">
        <v>4.4111989999999999</v>
      </c>
      <c r="F437" s="14">
        <v>3.9068870000000002</v>
      </c>
      <c r="G437" s="14">
        <v>2.7764570000000002</v>
      </c>
      <c r="H437" s="15">
        <v>4.8511839999999999</v>
      </c>
      <c r="I437" s="15">
        <v>3.3991820000000001</v>
      </c>
      <c r="J437" s="15">
        <v>10.170920000000001</v>
      </c>
      <c r="K437" s="15">
        <v>4.472747</v>
      </c>
      <c r="L437" s="16">
        <v>2.9832429999999999</v>
      </c>
      <c r="M437" s="16">
        <v>5.1435380000000004</v>
      </c>
      <c r="N437" s="16">
        <v>6.5555669999999999</v>
      </c>
      <c r="O437" s="16">
        <v>3.8483209999999999</v>
      </c>
      <c r="P437" s="17">
        <v>7.6227689999999999</v>
      </c>
      <c r="Q437" s="17">
        <v>6.442475</v>
      </c>
      <c r="R437" s="17">
        <v>4.3957509999999997</v>
      </c>
      <c r="S437" s="17">
        <v>8.2057680000000008</v>
      </c>
      <c r="AP437" s="35"/>
      <c r="AQ437" s="35"/>
      <c r="AR437" s="35"/>
      <c r="AS437" s="35"/>
    </row>
    <row r="438" spans="2:45" x14ac:dyDescent="0.2">
      <c r="B438" s="2">
        <v>43479.265682870369</v>
      </c>
      <c r="C438" s="5">
        <f t="shared" si="47"/>
        <v>12.333332840000029</v>
      </c>
      <c r="D438" s="14">
        <v>4.8306180000000003</v>
      </c>
      <c r="E438" s="14">
        <v>4.4111989999999999</v>
      </c>
      <c r="F438" s="14">
        <v>3.907673</v>
      </c>
      <c r="G438" s="14">
        <v>2.7845390000000001</v>
      </c>
      <c r="H438" s="15">
        <v>4.8554750000000002</v>
      </c>
      <c r="I438" s="15">
        <v>3.400255</v>
      </c>
      <c r="J438" s="15">
        <v>10.170920000000001</v>
      </c>
      <c r="K438" s="15">
        <v>4.472747</v>
      </c>
      <c r="L438" s="16">
        <v>2.9832429999999999</v>
      </c>
      <c r="M438" s="16">
        <v>5.1435380000000004</v>
      </c>
      <c r="N438" s="16">
        <v>6.5555669999999999</v>
      </c>
      <c r="O438" s="16">
        <v>3.8483209999999999</v>
      </c>
      <c r="P438" s="17">
        <v>7.6337840000000003</v>
      </c>
      <c r="Q438" s="17">
        <v>6.4607849999999996</v>
      </c>
      <c r="R438" s="17">
        <v>4.4001859999999997</v>
      </c>
      <c r="S438" s="17">
        <v>8.2097730000000002</v>
      </c>
      <c r="AP438" s="35"/>
      <c r="AQ438" s="35"/>
      <c r="AR438" s="35"/>
      <c r="AS438" s="35"/>
    </row>
    <row r="439" spans="2:45" x14ac:dyDescent="0.2">
      <c r="B439" s="2">
        <v>43479.269155092596</v>
      </c>
      <c r="C439" s="5">
        <f t="shared" si="47"/>
        <v>12.416666170000029</v>
      </c>
      <c r="D439" s="14">
        <v>4.8306180000000003</v>
      </c>
      <c r="E439" s="14">
        <v>4.4111989999999999</v>
      </c>
      <c r="F439" s="14">
        <v>3.908131</v>
      </c>
      <c r="G439" s="14">
        <v>2.7926220000000002</v>
      </c>
      <c r="H439" s="15">
        <v>4.8597669999999997</v>
      </c>
      <c r="I439" s="15">
        <v>3.4013279999999999</v>
      </c>
      <c r="J439" s="15">
        <v>10.170920000000001</v>
      </c>
      <c r="K439" s="15">
        <v>4.472747</v>
      </c>
      <c r="L439" s="16">
        <v>2.9832429999999999</v>
      </c>
      <c r="M439" s="16">
        <v>5.1435380000000004</v>
      </c>
      <c r="N439" s="16">
        <v>6.5555669999999999</v>
      </c>
      <c r="O439" s="16">
        <v>3.8483209999999999</v>
      </c>
      <c r="P439" s="17">
        <v>7.6447989999999999</v>
      </c>
      <c r="Q439" s="17">
        <v>6.4790960000000002</v>
      </c>
      <c r="R439" s="17">
        <v>4.4046200000000004</v>
      </c>
      <c r="S439" s="17">
        <v>8.2137779999999996</v>
      </c>
      <c r="AP439" s="35"/>
      <c r="AQ439" s="35"/>
      <c r="AR439" s="35"/>
      <c r="AS439" s="35"/>
    </row>
    <row r="440" spans="2:45" x14ac:dyDescent="0.2">
      <c r="B440" s="2">
        <v>43479.272627314815</v>
      </c>
      <c r="C440" s="5">
        <f t="shared" si="47"/>
        <v>12.49999950000003</v>
      </c>
      <c r="D440" s="14">
        <v>4.8306180000000003</v>
      </c>
      <c r="E440" s="14">
        <v>4.4111989999999999</v>
      </c>
      <c r="F440" s="14">
        <v>3.9114399999999998</v>
      </c>
      <c r="G440" s="14">
        <v>2.8007040000000001</v>
      </c>
      <c r="H440" s="15">
        <v>4.864058</v>
      </c>
      <c r="I440" s="15">
        <v>3.4020890000000001</v>
      </c>
      <c r="J440" s="15">
        <v>10.170920000000001</v>
      </c>
      <c r="K440" s="15">
        <v>4.472747</v>
      </c>
      <c r="L440" s="16">
        <v>2.9832429999999999</v>
      </c>
      <c r="M440" s="16">
        <v>5.1435380000000004</v>
      </c>
      <c r="N440" s="16">
        <v>6.5555669999999999</v>
      </c>
      <c r="O440" s="16">
        <v>3.8483209999999999</v>
      </c>
      <c r="P440" s="17">
        <v>7.6558140000000003</v>
      </c>
      <c r="Q440" s="17">
        <v>6.4974059999999998</v>
      </c>
      <c r="R440" s="17">
        <v>4.4090550000000004</v>
      </c>
      <c r="S440" s="17">
        <v>8.217784</v>
      </c>
      <c r="AP440" s="35"/>
      <c r="AQ440" s="35"/>
      <c r="AR440" s="35"/>
      <c r="AS440" s="35"/>
    </row>
    <row r="441" spans="2:45" x14ac:dyDescent="0.2">
      <c r="B441" s="2">
        <v>43479.276099537034</v>
      </c>
      <c r="C441" s="5">
        <f t="shared" si="47"/>
        <v>12.58333283000003</v>
      </c>
      <c r="D441" s="14">
        <v>4.8306180000000003</v>
      </c>
      <c r="E441" s="14">
        <v>4.4111989999999999</v>
      </c>
      <c r="F441" s="14">
        <v>3.9165190000000001</v>
      </c>
      <c r="G441" s="14">
        <v>2.808786</v>
      </c>
      <c r="H441" s="15">
        <v>4.8683500000000004</v>
      </c>
      <c r="I441" s="15">
        <v>3.4023840000000001</v>
      </c>
      <c r="J441" s="15">
        <v>10.170920000000001</v>
      </c>
      <c r="K441" s="15">
        <v>4.472747</v>
      </c>
      <c r="L441" s="16">
        <v>2.9832429999999999</v>
      </c>
      <c r="M441" s="16">
        <v>5.1435380000000004</v>
      </c>
      <c r="N441" s="16">
        <v>6.5555669999999999</v>
      </c>
      <c r="O441" s="16">
        <v>3.8483209999999999</v>
      </c>
      <c r="P441" s="17">
        <v>7.6668289999999999</v>
      </c>
      <c r="Q441" s="17">
        <v>6.5157170000000004</v>
      </c>
      <c r="R441" s="17">
        <v>4.4134890000000002</v>
      </c>
      <c r="S441" s="17">
        <v>8.2217889999999993</v>
      </c>
      <c r="AP441" s="35"/>
      <c r="AQ441" s="35"/>
      <c r="AR441" s="35"/>
      <c r="AS441" s="35"/>
    </row>
    <row r="442" spans="2:45" x14ac:dyDescent="0.2">
      <c r="B442" s="2">
        <v>43479.27957175926</v>
      </c>
      <c r="C442" s="5">
        <f t="shared" si="47"/>
        <v>12.66666616000003</v>
      </c>
      <c r="D442" s="14">
        <v>4.8306180000000003</v>
      </c>
      <c r="E442" s="14">
        <v>4.4111989999999999</v>
      </c>
      <c r="F442" s="14">
        <v>3.9215970000000002</v>
      </c>
      <c r="G442" s="14">
        <v>2.8168690000000001</v>
      </c>
      <c r="H442" s="15">
        <v>4.8716900000000001</v>
      </c>
      <c r="I442" s="15">
        <v>3.403314</v>
      </c>
      <c r="J442" s="15">
        <v>10.170920000000001</v>
      </c>
      <c r="K442" s="15">
        <v>4.472747</v>
      </c>
      <c r="L442" s="16">
        <v>2.9832429999999999</v>
      </c>
      <c r="M442" s="16">
        <v>5.1435380000000004</v>
      </c>
      <c r="N442" s="16">
        <v>6.5555669999999999</v>
      </c>
      <c r="O442" s="16">
        <v>3.8483209999999999</v>
      </c>
      <c r="P442" s="17">
        <v>7.6778440000000003</v>
      </c>
      <c r="Q442" s="17">
        <v>6.5340280000000002</v>
      </c>
      <c r="R442" s="17">
        <v>4.4179240000000002</v>
      </c>
      <c r="S442" s="17">
        <v>8.2257949999999997</v>
      </c>
      <c r="AP442" s="35"/>
      <c r="AQ442" s="35"/>
      <c r="AR442" s="35"/>
      <c r="AS442" s="35"/>
    </row>
    <row r="443" spans="2:45" x14ac:dyDescent="0.2">
      <c r="B443" s="2">
        <v>43479.283043981479</v>
      </c>
      <c r="C443" s="5">
        <f t="shared" si="47"/>
        <v>12.749999490000031</v>
      </c>
      <c r="D443" s="14">
        <v>4.8306180000000003</v>
      </c>
      <c r="E443" s="14">
        <v>4.4220139999999999</v>
      </c>
      <c r="F443" s="14">
        <v>3.9266749999999999</v>
      </c>
      <c r="G443" s="14">
        <v>2.824951</v>
      </c>
      <c r="H443" s="15">
        <v>4.8716900000000001</v>
      </c>
      <c r="I443" s="15">
        <v>3.4042430000000001</v>
      </c>
      <c r="J443" s="15">
        <v>10.170920000000001</v>
      </c>
      <c r="K443" s="15">
        <v>4.472747</v>
      </c>
      <c r="L443" s="16">
        <v>2.9832429999999999</v>
      </c>
      <c r="M443" s="16">
        <v>5.1435380000000004</v>
      </c>
      <c r="N443" s="16">
        <v>6.5555669999999999</v>
      </c>
      <c r="O443" s="16">
        <v>3.8483209999999999</v>
      </c>
      <c r="P443" s="17">
        <v>7.6888589999999999</v>
      </c>
      <c r="Q443" s="17">
        <v>6.5523379999999998</v>
      </c>
      <c r="R443" s="17">
        <v>4.4223590000000002</v>
      </c>
      <c r="S443" s="17">
        <v>8.2297999999999991</v>
      </c>
      <c r="AP443" s="35"/>
      <c r="AQ443" s="35"/>
      <c r="AR443" s="35"/>
      <c r="AS443" s="35"/>
    </row>
    <row r="444" spans="2:45" x14ac:dyDescent="0.2">
      <c r="B444" s="2">
        <v>43479.286516203705</v>
      </c>
      <c r="C444" s="5">
        <f t="shared" si="47"/>
        <v>12.833332820000031</v>
      </c>
      <c r="D444" s="14">
        <v>4.8306180000000003</v>
      </c>
      <c r="E444" s="14">
        <v>4.4420409999999997</v>
      </c>
      <c r="F444" s="14">
        <v>3.9317540000000002</v>
      </c>
      <c r="G444" s="14">
        <v>2.8330340000000001</v>
      </c>
      <c r="H444" s="15">
        <v>4.8716900000000001</v>
      </c>
      <c r="I444" s="15">
        <v>3.405173</v>
      </c>
      <c r="J444" s="15">
        <v>10.171390000000001</v>
      </c>
      <c r="K444" s="15">
        <v>4.4736229999999999</v>
      </c>
      <c r="L444" s="16">
        <v>2.9832429999999999</v>
      </c>
      <c r="M444" s="16">
        <v>5.1435380000000004</v>
      </c>
      <c r="N444" s="16">
        <v>6.5555669999999999</v>
      </c>
      <c r="O444" s="16">
        <v>3.8483209999999999</v>
      </c>
      <c r="P444" s="17">
        <v>7.6998740000000003</v>
      </c>
      <c r="Q444" s="17">
        <v>6.5706490000000004</v>
      </c>
      <c r="R444" s="17">
        <v>4.426793</v>
      </c>
      <c r="S444" s="17">
        <v>8.2330710000000007</v>
      </c>
      <c r="AP444" s="35"/>
      <c r="AQ444" s="35"/>
      <c r="AR444" s="35"/>
      <c r="AS444" s="35"/>
    </row>
    <row r="445" spans="2:45" x14ac:dyDescent="0.2">
      <c r="B445" s="2">
        <v>43479.289988425924</v>
      </c>
      <c r="C445" s="5">
        <f t="shared" si="47"/>
        <v>12.916666150000031</v>
      </c>
      <c r="D445" s="14">
        <v>4.8306180000000003</v>
      </c>
      <c r="E445" s="14">
        <v>4.4620680000000004</v>
      </c>
      <c r="F445" s="14">
        <v>3.9368319999999999</v>
      </c>
      <c r="G445" s="14">
        <v>2.841116</v>
      </c>
      <c r="H445" s="15">
        <v>4.8716900000000001</v>
      </c>
      <c r="I445" s="15">
        <v>3.4061029999999999</v>
      </c>
      <c r="J445" s="15">
        <v>10.17196</v>
      </c>
      <c r="K445" s="15">
        <v>4.4771999999999998</v>
      </c>
      <c r="L445" s="16">
        <v>2.9832429999999999</v>
      </c>
      <c r="M445" s="16">
        <v>5.1435380000000004</v>
      </c>
      <c r="N445" s="16">
        <v>6.5555669999999999</v>
      </c>
      <c r="O445" s="16">
        <v>3.8483209999999999</v>
      </c>
      <c r="P445" s="17">
        <v>7.7108889999999999</v>
      </c>
      <c r="Q445" s="17">
        <v>6.588959</v>
      </c>
      <c r="R445" s="17">
        <v>4.4312279999999999</v>
      </c>
      <c r="S445" s="17">
        <v>8.2330710000000007</v>
      </c>
      <c r="AP445" s="35"/>
      <c r="AQ445" s="35"/>
      <c r="AR445" s="35"/>
      <c r="AS445" s="35"/>
    </row>
    <row r="446" spans="2:45" x14ac:dyDescent="0.2">
      <c r="B446" s="2">
        <v>43479.29346064815</v>
      </c>
      <c r="C446" s="5">
        <f t="shared" si="47"/>
        <v>12.999999480000032</v>
      </c>
      <c r="D446" s="14">
        <v>4.8306180000000003</v>
      </c>
      <c r="E446" s="14">
        <v>4.4820950000000002</v>
      </c>
      <c r="F446" s="14">
        <v>3.94191</v>
      </c>
      <c r="G446" s="14">
        <v>2.8491979999999999</v>
      </c>
      <c r="H446" s="15">
        <v>4.8716900000000001</v>
      </c>
      <c r="I446" s="15">
        <v>3.4070330000000002</v>
      </c>
      <c r="J446" s="15">
        <v>10.17253</v>
      </c>
      <c r="K446" s="15">
        <v>4.4807759999999996</v>
      </c>
      <c r="L446" s="16">
        <v>2.9832429999999999</v>
      </c>
      <c r="M446" s="16">
        <v>5.1435380000000004</v>
      </c>
      <c r="N446" s="16">
        <v>6.5555669999999999</v>
      </c>
      <c r="O446" s="16">
        <v>3.8483209999999999</v>
      </c>
      <c r="P446" s="17">
        <v>7.7219040000000003</v>
      </c>
      <c r="Q446" s="17">
        <v>6.6072699999999998</v>
      </c>
      <c r="R446" s="17">
        <v>4.4356619999999998</v>
      </c>
      <c r="S446" s="17">
        <v>8.2349739999999994</v>
      </c>
      <c r="V446" s="25">
        <v>13</v>
      </c>
      <c r="W446">
        <f>AVERAGE(D435:D446)</f>
        <v>4.8306180000000003</v>
      </c>
      <c r="X446">
        <f t="shared" ref="X446:AL446" si="52">AVERAGE(E435:E446)</f>
        <v>4.4248174999999996</v>
      </c>
      <c r="Y446">
        <f t="shared" si="52"/>
        <v>3.9184025833333336</v>
      </c>
      <c r="Z446">
        <f t="shared" si="52"/>
        <v>2.8047451666666667</v>
      </c>
      <c r="AA446">
        <f t="shared" si="52"/>
        <v>4.8622314166666669</v>
      </c>
      <c r="AB446">
        <f t="shared" si="52"/>
        <v>3.4021874166666666</v>
      </c>
      <c r="AC446">
        <f t="shared" si="52"/>
        <v>10.17118</v>
      </c>
      <c r="AD446">
        <f t="shared" si="52"/>
        <v>4.4738601666666655</v>
      </c>
      <c r="AE446">
        <f t="shared" si="52"/>
        <v>2.9832430000000003</v>
      </c>
      <c r="AF446">
        <f t="shared" si="52"/>
        <v>5.1435380000000004</v>
      </c>
      <c r="AG446">
        <f t="shared" si="52"/>
        <v>6.5555669999999973</v>
      </c>
      <c r="AH446">
        <f t="shared" si="52"/>
        <v>3.848320999999999</v>
      </c>
      <c r="AI446">
        <f t="shared" si="52"/>
        <v>7.6613214999999988</v>
      </c>
      <c r="AJ446">
        <f t="shared" si="52"/>
        <v>6.5065617499999995</v>
      </c>
      <c r="AK446">
        <f t="shared" si="52"/>
        <v>4.4112720833333334</v>
      </c>
      <c r="AL446">
        <f t="shared" si="52"/>
        <v>8.2187601666666641</v>
      </c>
      <c r="AO446" s="25">
        <v>13</v>
      </c>
      <c r="AP446" s="35">
        <f>AVERAGE(W446:Z446)</f>
        <v>3.9946458125000004</v>
      </c>
      <c r="AQ446" s="35">
        <f>AVERAGE(AA446:AD446)</f>
        <v>5.7273647499999996</v>
      </c>
      <c r="AR446" s="35">
        <f>AVERAGE(AE446:AH446)</f>
        <v>4.632667249999999</v>
      </c>
      <c r="AS446" s="35">
        <f>AVERAGE(AI446:AL446)</f>
        <v>6.6994788749999987</v>
      </c>
    </row>
    <row r="447" spans="2:45" x14ac:dyDescent="0.2">
      <c r="B447" s="2">
        <v>43479.296932870369</v>
      </c>
      <c r="C447" s="5">
        <f t="shared" si="47"/>
        <v>13.083332810000032</v>
      </c>
      <c r="D447" s="14">
        <v>4.8306180000000003</v>
      </c>
      <c r="E447" s="14">
        <v>4.502122</v>
      </c>
      <c r="F447" s="14">
        <v>3.9469889999999999</v>
      </c>
      <c r="G447" s="14">
        <v>2.857281</v>
      </c>
      <c r="H447" s="15">
        <v>4.8716900000000001</v>
      </c>
      <c r="I447" s="15">
        <v>3.4079630000000001</v>
      </c>
      <c r="J447" s="15">
        <v>10.17304</v>
      </c>
      <c r="K447" s="15">
        <v>4.4843520000000003</v>
      </c>
      <c r="L447" s="16">
        <v>2.9832429999999999</v>
      </c>
      <c r="M447" s="16">
        <v>5.1435380000000004</v>
      </c>
      <c r="N447" s="16">
        <v>6.5555669999999999</v>
      </c>
      <c r="O447" s="16">
        <v>3.8483209999999999</v>
      </c>
      <c r="P447" s="17">
        <v>7.7329189999999999</v>
      </c>
      <c r="Q447" s="17">
        <v>6.6255800000000002</v>
      </c>
      <c r="R447" s="17">
        <v>4.4400969999999997</v>
      </c>
      <c r="S447" s="17">
        <v>8.2392649999999996</v>
      </c>
      <c r="AP447" s="35"/>
      <c r="AQ447" s="35"/>
      <c r="AR447" s="35"/>
      <c r="AS447" s="35"/>
    </row>
    <row r="448" spans="2:45" x14ac:dyDescent="0.2">
      <c r="B448" s="2">
        <v>43479.300405092596</v>
      </c>
      <c r="C448" s="5">
        <f t="shared" si="47"/>
        <v>13.166666140000032</v>
      </c>
      <c r="D448" s="14">
        <v>4.8306180000000003</v>
      </c>
      <c r="E448" s="14">
        <v>4.5221499999999999</v>
      </c>
      <c r="F448" s="14">
        <v>3.952067</v>
      </c>
      <c r="G448" s="14">
        <v>2.8653629999999999</v>
      </c>
      <c r="H448" s="15">
        <v>4.8716900000000001</v>
      </c>
      <c r="I448" s="15">
        <v>3.408893</v>
      </c>
      <c r="J448" s="15">
        <v>10.17304</v>
      </c>
      <c r="K448" s="15">
        <v>4.4879280000000001</v>
      </c>
      <c r="L448" s="16">
        <v>2.9832429999999999</v>
      </c>
      <c r="M448" s="16">
        <v>5.1435380000000004</v>
      </c>
      <c r="N448" s="16">
        <v>6.5555669999999999</v>
      </c>
      <c r="O448" s="16">
        <v>3.8483209999999999</v>
      </c>
      <c r="P448" s="17">
        <v>7.7439340000000003</v>
      </c>
      <c r="Q448" s="17">
        <v>6.643891</v>
      </c>
      <c r="R448" s="17">
        <v>4.4445309999999996</v>
      </c>
      <c r="S448" s="17">
        <v>8.2435569999999991</v>
      </c>
      <c r="AP448" s="35"/>
      <c r="AQ448" s="35"/>
      <c r="AR448" s="35"/>
      <c r="AS448" s="35"/>
    </row>
    <row r="449" spans="2:45" x14ac:dyDescent="0.2">
      <c r="B449" s="2">
        <v>43479.303877314815</v>
      </c>
      <c r="C449" s="5">
        <f t="shared" si="47"/>
        <v>13.249999470000033</v>
      </c>
      <c r="D449" s="14">
        <v>4.8306180000000003</v>
      </c>
      <c r="E449" s="14">
        <v>4.5421769999999997</v>
      </c>
      <c r="F449" s="14">
        <v>3.9571450000000001</v>
      </c>
      <c r="G449" s="14">
        <v>2.8734459999999999</v>
      </c>
      <c r="H449" s="15">
        <v>4.8716900000000001</v>
      </c>
      <c r="I449" s="15">
        <v>3.4098220000000001</v>
      </c>
      <c r="J449" s="15">
        <v>10.173920000000001</v>
      </c>
      <c r="K449" s="15">
        <v>4.4915050000000001</v>
      </c>
      <c r="L449" s="16">
        <v>2.9832429999999999</v>
      </c>
      <c r="M449" s="16">
        <v>5.1435380000000004</v>
      </c>
      <c r="N449" s="16">
        <v>6.5555669999999999</v>
      </c>
      <c r="O449" s="16">
        <v>3.8483209999999999</v>
      </c>
      <c r="P449" s="17">
        <v>7.7549489999999999</v>
      </c>
      <c r="Q449" s="17">
        <v>6.6622009999999996</v>
      </c>
      <c r="R449" s="17">
        <v>4.4489660000000004</v>
      </c>
      <c r="S449" s="17">
        <v>8.2478490000000004</v>
      </c>
      <c r="AP449" s="35"/>
      <c r="AQ449" s="35"/>
      <c r="AR449" s="35"/>
      <c r="AS449" s="35"/>
    </row>
    <row r="450" spans="2:45" x14ac:dyDescent="0.2">
      <c r="B450" s="2">
        <v>43479.307349537034</v>
      </c>
      <c r="C450" s="5">
        <f t="shared" si="47"/>
        <v>13.333332800000033</v>
      </c>
      <c r="D450" s="14">
        <v>4.8306180000000003</v>
      </c>
      <c r="E450" s="14">
        <v>4.5622040000000004</v>
      </c>
      <c r="F450" s="14">
        <v>3.962224</v>
      </c>
      <c r="G450" s="14">
        <v>2.8815279999999999</v>
      </c>
      <c r="H450" s="15">
        <v>4.8716900000000001</v>
      </c>
      <c r="I450" s="15">
        <v>3.410752</v>
      </c>
      <c r="J450" s="15">
        <v>10.176780000000001</v>
      </c>
      <c r="K450" s="15">
        <v>4.4950809999999999</v>
      </c>
      <c r="L450" s="16">
        <v>2.9832429999999999</v>
      </c>
      <c r="M450" s="16">
        <v>5.1435380000000004</v>
      </c>
      <c r="N450" s="16">
        <v>6.5555669999999999</v>
      </c>
      <c r="O450" s="16">
        <v>3.8483209999999999</v>
      </c>
      <c r="P450" s="17">
        <v>7.7659640000000003</v>
      </c>
      <c r="Q450" s="17">
        <v>6.6805120000000002</v>
      </c>
      <c r="R450" s="17">
        <v>4.4534010000000004</v>
      </c>
      <c r="S450" s="17">
        <v>8.2521400000000007</v>
      </c>
      <c r="AP450" s="35"/>
      <c r="AQ450" s="35"/>
      <c r="AR450" s="35"/>
      <c r="AS450" s="35"/>
    </row>
    <row r="451" spans="2:45" x14ac:dyDescent="0.2">
      <c r="B451" s="2">
        <v>43479.31082175926</v>
      </c>
      <c r="C451" s="5">
        <f t="shared" si="47"/>
        <v>13.416666130000033</v>
      </c>
      <c r="D451" s="14">
        <v>4.8306180000000003</v>
      </c>
      <c r="E451" s="14">
        <v>4.5822310000000002</v>
      </c>
      <c r="F451" s="14">
        <v>3.9673020000000001</v>
      </c>
      <c r="G451" s="14">
        <v>2.8896099999999998</v>
      </c>
      <c r="H451" s="15">
        <v>4.8716900000000001</v>
      </c>
      <c r="I451" s="15">
        <v>3.4116819999999999</v>
      </c>
      <c r="J451" s="15">
        <v>10.179650000000001</v>
      </c>
      <c r="K451" s="15">
        <v>4.4986569999999997</v>
      </c>
      <c r="L451" s="16">
        <v>2.9832429999999999</v>
      </c>
      <c r="M451" s="16">
        <v>5.1435380000000004</v>
      </c>
      <c r="N451" s="16">
        <v>6.5555669999999999</v>
      </c>
      <c r="O451" s="16">
        <v>3.8483209999999999</v>
      </c>
      <c r="P451" s="17">
        <v>7.7769779999999997</v>
      </c>
      <c r="Q451" s="17">
        <v>6.6988219999999998</v>
      </c>
      <c r="R451" s="17">
        <v>4.4578350000000002</v>
      </c>
      <c r="S451" s="17">
        <v>8.2564320000000002</v>
      </c>
      <c r="AP451" s="35"/>
      <c r="AQ451" s="35"/>
      <c r="AR451" s="35"/>
      <c r="AS451" s="35"/>
    </row>
    <row r="452" spans="2:45" x14ac:dyDescent="0.2">
      <c r="B452" s="2">
        <v>43479.314293981479</v>
      </c>
      <c r="C452" s="5">
        <f t="shared" ref="C452:C515" si="53">C451+0.08333333</f>
        <v>13.499999460000033</v>
      </c>
      <c r="D452" s="14">
        <v>4.8306180000000003</v>
      </c>
      <c r="E452" s="14">
        <v>4.602258</v>
      </c>
      <c r="F452" s="14">
        <v>3.9723799999999998</v>
      </c>
      <c r="G452" s="14">
        <v>2.8976929999999999</v>
      </c>
      <c r="H452" s="15">
        <v>4.8716900000000001</v>
      </c>
      <c r="I452" s="15">
        <v>3.4126120000000002</v>
      </c>
      <c r="J452" s="15">
        <v>10.182510000000001</v>
      </c>
      <c r="K452" s="15">
        <v>4.5022339999999996</v>
      </c>
      <c r="L452" s="16">
        <v>2.9832429999999999</v>
      </c>
      <c r="M452" s="16">
        <v>5.1435380000000004</v>
      </c>
      <c r="N452" s="16">
        <v>6.5555669999999999</v>
      </c>
      <c r="O452" s="16">
        <v>3.8483209999999999</v>
      </c>
      <c r="P452" s="17">
        <v>7.7879930000000002</v>
      </c>
      <c r="Q452" s="17">
        <v>6.7171329999999996</v>
      </c>
      <c r="R452" s="17">
        <v>4.4622700000000002</v>
      </c>
      <c r="S452" s="17">
        <v>8.2607230000000005</v>
      </c>
      <c r="AP452" s="35"/>
      <c r="AQ452" s="35"/>
      <c r="AR452" s="35"/>
      <c r="AS452" s="35"/>
    </row>
    <row r="453" spans="2:45" x14ac:dyDescent="0.2">
      <c r="B453" s="2">
        <v>43479.317766203705</v>
      </c>
      <c r="C453" s="5">
        <f t="shared" si="53"/>
        <v>13.583332790000034</v>
      </c>
      <c r="D453" s="14">
        <v>4.8306180000000003</v>
      </c>
      <c r="E453" s="14">
        <v>4.6222849999999998</v>
      </c>
      <c r="F453" s="14">
        <v>3.9774579999999999</v>
      </c>
      <c r="G453" s="14">
        <v>2.9057750000000002</v>
      </c>
      <c r="H453" s="15">
        <v>4.8716900000000001</v>
      </c>
      <c r="I453" s="15">
        <v>3.4135420000000001</v>
      </c>
      <c r="J453" s="15">
        <v>10.185370000000001</v>
      </c>
      <c r="K453" s="15">
        <v>4.5058100000000003</v>
      </c>
      <c r="L453" s="16">
        <v>2.9832429999999999</v>
      </c>
      <c r="M453" s="16">
        <v>5.1435380000000004</v>
      </c>
      <c r="N453" s="16">
        <v>6.5555669999999999</v>
      </c>
      <c r="O453" s="16">
        <v>3.8483209999999999</v>
      </c>
      <c r="P453" s="17">
        <v>7.7990079999999997</v>
      </c>
      <c r="Q453" s="17">
        <v>6.7267770000000002</v>
      </c>
      <c r="R453" s="17">
        <v>4.466704</v>
      </c>
      <c r="S453" s="17">
        <v>8.265015</v>
      </c>
      <c r="AP453" s="35"/>
      <c r="AQ453" s="35"/>
      <c r="AR453" s="35"/>
      <c r="AS453" s="35"/>
    </row>
    <row r="454" spans="2:45" x14ac:dyDescent="0.2">
      <c r="B454" s="2">
        <v>43479.321238425924</v>
      </c>
      <c r="C454" s="5">
        <f t="shared" si="53"/>
        <v>13.666666120000034</v>
      </c>
      <c r="D454" s="14">
        <v>4.8306180000000003</v>
      </c>
      <c r="E454" s="14">
        <v>4.6423129999999997</v>
      </c>
      <c r="F454" s="14">
        <v>3.9825370000000002</v>
      </c>
      <c r="G454" s="14">
        <v>2.9138570000000001</v>
      </c>
      <c r="H454" s="15">
        <v>4.8716900000000001</v>
      </c>
      <c r="I454" s="15">
        <v>3.414472</v>
      </c>
      <c r="J454" s="15">
        <v>10.188230000000001</v>
      </c>
      <c r="K454" s="15">
        <v>4.5093860000000001</v>
      </c>
      <c r="L454" s="16">
        <v>2.9832429999999999</v>
      </c>
      <c r="M454" s="16">
        <v>5.1435380000000004</v>
      </c>
      <c r="N454" s="16">
        <v>6.5555669999999999</v>
      </c>
      <c r="O454" s="16">
        <v>3.8483209999999999</v>
      </c>
      <c r="P454" s="17">
        <v>7.8100230000000002</v>
      </c>
      <c r="Q454" s="17">
        <v>6.7267770000000002</v>
      </c>
      <c r="R454" s="17">
        <v>4.471139</v>
      </c>
      <c r="S454" s="17">
        <v>8.2693060000000003</v>
      </c>
      <c r="AP454" s="35"/>
      <c r="AQ454" s="35"/>
      <c r="AR454" s="35"/>
      <c r="AS454" s="35"/>
    </row>
    <row r="455" spans="2:45" x14ac:dyDescent="0.2">
      <c r="B455" s="2">
        <v>43479.32471064815</v>
      </c>
      <c r="C455" s="5">
        <f t="shared" si="53"/>
        <v>13.749999450000034</v>
      </c>
      <c r="D455" s="14">
        <v>4.8306180000000003</v>
      </c>
      <c r="E455" s="14">
        <v>4.6623400000000004</v>
      </c>
      <c r="F455" s="14">
        <v>3.9876149999999999</v>
      </c>
      <c r="G455" s="14">
        <v>2.9219400000000002</v>
      </c>
      <c r="H455" s="15">
        <v>4.8716900000000001</v>
      </c>
      <c r="I455" s="15">
        <v>3.4154010000000001</v>
      </c>
      <c r="J455" s="15">
        <v>10.191090000000001</v>
      </c>
      <c r="K455" s="15">
        <v>4.5129619999999999</v>
      </c>
      <c r="L455" s="16">
        <v>2.9832429999999999</v>
      </c>
      <c r="M455" s="16">
        <v>5.1435380000000004</v>
      </c>
      <c r="N455" s="16">
        <v>6.5555669999999999</v>
      </c>
      <c r="O455" s="16">
        <v>3.8483209999999999</v>
      </c>
      <c r="P455" s="17">
        <v>7.8210379999999997</v>
      </c>
      <c r="Q455" s="17">
        <v>6.7267770000000002</v>
      </c>
      <c r="R455" s="17">
        <v>4.4755739999999999</v>
      </c>
      <c r="S455" s="17">
        <v>8.2735979999999998</v>
      </c>
      <c r="AP455" s="35"/>
      <c r="AQ455" s="35"/>
      <c r="AR455" s="35"/>
      <c r="AS455" s="35"/>
    </row>
    <row r="456" spans="2:45" x14ac:dyDescent="0.2">
      <c r="B456" s="2">
        <v>43479.328182870369</v>
      </c>
      <c r="C456" s="5">
        <f t="shared" si="53"/>
        <v>13.833332780000035</v>
      </c>
      <c r="D456" s="14">
        <v>4.8306180000000003</v>
      </c>
      <c r="E456" s="14">
        <v>4.6823670000000002</v>
      </c>
      <c r="F456" s="14">
        <v>3.9887239999999999</v>
      </c>
      <c r="G456" s="14">
        <v>2.9300220000000001</v>
      </c>
      <c r="H456" s="15">
        <v>4.8716900000000001</v>
      </c>
      <c r="I456" s="15">
        <v>3.416331</v>
      </c>
      <c r="J456" s="15">
        <v>10.193949999999999</v>
      </c>
      <c r="K456" s="15">
        <v>4.5165389999999999</v>
      </c>
      <c r="L456" s="16">
        <v>2.9832429999999999</v>
      </c>
      <c r="M456" s="16">
        <v>5.1435380000000004</v>
      </c>
      <c r="N456" s="16">
        <v>6.5555669999999999</v>
      </c>
      <c r="O456" s="16">
        <v>3.8483209999999999</v>
      </c>
      <c r="P456" s="17">
        <v>7.8320530000000002</v>
      </c>
      <c r="Q456" s="17">
        <v>6.7267770000000002</v>
      </c>
      <c r="R456" s="17">
        <v>4.4800079999999998</v>
      </c>
      <c r="S456" s="17">
        <v>8.2740550000000006</v>
      </c>
      <c r="AP456" s="35"/>
      <c r="AQ456" s="35"/>
      <c r="AR456" s="35"/>
      <c r="AS456" s="35"/>
    </row>
    <row r="457" spans="2:45" x14ac:dyDescent="0.2">
      <c r="B457" s="2">
        <v>43479.331655092596</v>
      </c>
      <c r="C457" s="5">
        <f t="shared" si="53"/>
        <v>13.916666110000035</v>
      </c>
      <c r="D457" s="14">
        <v>4.8306180000000003</v>
      </c>
      <c r="E457" s="14">
        <v>4.702394</v>
      </c>
      <c r="F457" s="14">
        <v>3.9956700000000001</v>
      </c>
      <c r="G457" s="14">
        <v>2.9381050000000002</v>
      </c>
      <c r="H457" s="15">
        <v>4.8716900000000001</v>
      </c>
      <c r="I457" s="15">
        <v>3.4172609999999999</v>
      </c>
      <c r="J457" s="15">
        <v>10.196809999999999</v>
      </c>
      <c r="K457" s="15">
        <v>4.5201149999999997</v>
      </c>
      <c r="L457" s="16">
        <v>2.9832429999999999</v>
      </c>
      <c r="M457" s="16">
        <v>5.1435380000000004</v>
      </c>
      <c r="N457" s="16">
        <v>6.5555669999999999</v>
      </c>
      <c r="O457" s="16">
        <v>3.8483209999999999</v>
      </c>
      <c r="P457" s="17">
        <v>7.8430679999999997</v>
      </c>
      <c r="Q457" s="17">
        <v>6.7267770000000002</v>
      </c>
      <c r="R457" s="17">
        <v>4.4844429999999997</v>
      </c>
      <c r="S457" s="17">
        <v>8.2749380000000006</v>
      </c>
      <c r="AP457" s="35"/>
      <c r="AQ457" s="35"/>
      <c r="AR457" s="35"/>
      <c r="AS457" s="35"/>
    </row>
    <row r="458" spans="2:45" x14ac:dyDescent="0.2">
      <c r="B458" s="2">
        <v>43479.335127314815</v>
      </c>
      <c r="C458" s="5">
        <f t="shared" si="53"/>
        <v>13.999999440000035</v>
      </c>
      <c r="D458" s="14">
        <v>4.8306180000000003</v>
      </c>
      <c r="E458" s="14">
        <v>4.7224209999999998</v>
      </c>
      <c r="F458" s="14">
        <v>4.0109959999999996</v>
      </c>
      <c r="G458" s="14">
        <v>2.9461870000000001</v>
      </c>
      <c r="H458" s="15">
        <v>4.8716900000000001</v>
      </c>
      <c r="I458" s="15">
        <v>3.4181910000000002</v>
      </c>
      <c r="J458" s="15">
        <v>10.199669999999999</v>
      </c>
      <c r="K458" s="15">
        <v>4.5236910000000004</v>
      </c>
      <c r="L458" s="16">
        <v>2.9832429999999999</v>
      </c>
      <c r="M458" s="16">
        <v>5.1435380000000004</v>
      </c>
      <c r="N458" s="16">
        <v>6.5555669999999999</v>
      </c>
      <c r="O458" s="16">
        <v>3.8483209999999999</v>
      </c>
      <c r="P458" s="17">
        <v>7.8540830000000001</v>
      </c>
      <c r="Q458" s="17">
        <v>6.7267770000000002</v>
      </c>
      <c r="R458" s="17">
        <v>4.4888769999999996</v>
      </c>
      <c r="S458" s="17">
        <v>8.2763679999999997</v>
      </c>
      <c r="V458" s="25">
        <v>14</v>
      </c>
      <c r="W458">
        <f>AVERAGE(D447:D458)</f>
        <v>4.8306180000000003</v>
      </c>
      <c r="X458">
        <f t="shared" ref="X458:AL458" si="54">AVERAGE(E447:E458)</f>
        <v>4.6122718333333328</v>
      </c>
      <c r="Y458">
        <f t="shared" si="54"/>
        <v>3.9750922499999994</v>
      </c>
      <c r="Z458">
        <f t="shared" si="54"/>
        <v>2.9017339166666667</v>
      </c>
      <c r="AA458">
        <f t="shared" si="54"/>
        <v>4.8716900000000001</v>
      </c>
      <c r="AB458">
        <f t="shared" si="54"/>
        <v>3.4130768333333332</v>
      </c>
      <c r="AC458">
        <f t="shared" si="54"/>
        <v>10.184505000000001</v>
      </c>
      <c r="AD458">
        <f t="shared" si="54"/>
        <v>4.5040216666666675</v>
      </c>
      <c r="AE458">
        <f t="shared" si="54"/>
        <v>2.9832430000000003</v>
      </c>
      <c r="AF458">
        <f t="shared" si="54"/>
        <v>5.1435380000000004</v>
      </c>
      <c r="AG458">
        <f t="shared" si="54"/>
        <v>6.5555669999999973</v>
      </c>
      <c r="AH458">
        <f t="shared" si="54"/>
        <v>3.848320999999999</v>
      </c>
      <c r="AI458">
        <f t="shared" si="54"/>
        <v>7.7935008333333338</v>
      </c>
      <c r="AJ458">
        <f t="shared" si="54"/>
        <v>6.6990667499999992</v>
      </c>
      <c r="AK458">
        <f t="shared" si="54"/>
        <v>4.4644870833333332</v>
      </c>
      <c r="AL458">
        <f t="shared" si="54"/>
        <v>8.2611038333333351</v>
      </c>
      <c r="AO458" s="25">
        <v>14</v>
      </c>
      <c r="AP458" s="35">
        <f>AVERAGE(W458:Z458)</f>
        <v>4.0799289999999999</v>
      </c>
      <c r="AQ458" s="35">
        <f>AVERAGE(AA458:AD458)</f>
        <v>5.7433233750000001</v>
      </c>
      <c r="AR458" s="35">
        <f>AVERAGE(AE458:AH458)</f>
        <v>4.632667249999999</v>
      </c>
      <c r="AS458" s="35">
        <f>AVERAGE(AI458:AL458)</f>
        <v>6.8045396250000003</v>
      </c>
    </row>
    <row r="459" spans="2:45" x14ac:dyDescent="0.2">
      <c r="B459" s="2">
        <v>43479.338599537034</v>
      </c>
      <c r="C459" s="5">
        <f t="shared" si="53"/>
        <v>14.083332770000036</v>
      </c>
      <c r="D459" s="14">
        <v>4.8306180000000003</v>
      </c>
      <c r="E459" s="14">
        <v>4.7424480000000004</v>
      </c>
      <c r="F459" s="14">
        <v>4.0263020000000003</v>
      </c>
      <c r="G459" s="14">
        <v>2.954269</v>
      </c>
      <c r="H459" s="15">
        <v>4.8716900000000001</v>
      </c>
      <c r="I459" s="15">
        <v>3.4191210000000001</v>
      </c>
      <c r="J459" s="15">
        <v>10.20055</v>
      </c>
      <c r="K459" s="15">
        <v>4.5272670000000002</v>
      </c>
      <c r="L459" s="16">
        <v>2.9832429999999999</v>
      </c>
      <c r="M459" s="16">
        <v>5.1435380000000004</v>
      </c>
      <c r="N459" s="16">
        <v>6.5555669999999999</v>
      </c>
      <c r="O459" s="16">
        <v>3.8483209999999999</v>
      </c>
      <c r="P459" s="17">
        <v>7.8650979999999997</v>
      </c>
      <c r="Q459" s="17">
        <v>6.7267770000000002</v>
      </c>
      <c r="R459" s="17">
        <v>4.4933120000000004</v>
      </c>
      <c r="S459" s="17">
        <v>8.2777989999999999</v>
      </c>
      <c r="AP459" s="35"/>
      <c r="AQ459" s="35"/>
      <c r="AR459" s="35"/>
      <c r="AS459" s="35"/>
    </row>
    <row r="460" spans="2:45" x14ac:dyDescent="0.2">
      <c r="B460" s="2">
        <v>43479.34207175926</v>
      </c>
      <c r="C460" s="5">
        <f t="shared" si="53"/>
        <v>14.166666100000036</v>
      </c>
      <c r="D460" s="14">
        <v>4.8306180000000003</v>
      </c>
      <c r="E460" s="14">
        <v>4.7624750000000002</v>
      </c>
      <c r="F460" s="14">
        <v>4.0416090000000002</v>
      </c>
      <c r="G460" s="14">
        <v>2.9623520000000001</v>
      </c>
      <c r="H460" s="15">
        <v>4.8716900000000001</v>
      </c>
      <c r="I460" s="15">
        <v>3.420051</v>
      </c>
      <c r="J460" s="15">
        <v>10.20055</v>
      </c>
      <c r="K460" s="15">
        <v>4.5308440000000001</v>
      </c>
      <c r="L460" s="16">
        <v>2.9832429999999999</v>
      </c>
      <c r="M460" s="16">
        <v>5.1435380000000004</v>
      </c>
      <c r="N460" s="16">
        <v>6.5555669999999999</v>
      </c>
      <c r="O460" s="16">
        <v>3.8483209999999999</v>
      </c>
      <c r="P460" s="17">
        <v>7.8761130000000001</v>
      </c>
      <c r="Q460" s="17">
        <v>6.7267770000000002</v>
      </c>
      <c r="R460" s="17">
        <v>4.4977460000000002</v>
      </c>
      <c r="S460" s="17">
        <v>8.2792290000000008</v>
      </c>
      <c r="AP460" s="35"/>
      <c r="AQ460" s="35"/>
      <c r="AR460" s="35"/>
      <c r="AS460" s="35"/>
    </row>
    <row r="461" spans="2:45" x14ac:dyDescent="0.2">
      <c r="B461" s="2">
        <v>43479.345543981479</v>
      </c>
      <c r="C461" s="5">
        <f t="shared" si="53"/>
        <v>14.249999430000036</v>
      </c>
      <c r="D461" s="14">
        <v>4.8306180000000003</v>
      </c>
      <c r="E461" s="14">
        <v>4.7825030000000002</v>
      </c>
      <c r="F461" s="14">
        <v>4.056915</v>
      </c>
      <c r="G461" s="14">
        <v>2.970434</v>
      </c>
      <c r="H461" s="15">
        <v>4.8716900000000001</v>
      </c>
      <c r="I461" s="15">
        <v>3.4209800000000001</v>
      </c>
      <c r="J461" s="15">
        <v>10.20055</v>
      </c>
      <c r="K461" s="15">
        <v>4.5344199999999999</v>
      </c>
      <c r="L461" s="16">
        <v>2.9832429999999999</v>
      </c>
      <c r="M461" s="16">
        <v>5.1435380000000004</v>
      </c>
      <c r="N461" s="16">
        <v>6.5555669999999999</v>
      </c>
      <c r="O461" s="16">
        <v>3.8483209999999999</v>
      </c>
      <c r="P461" s="17">
        <v>7.8871279999999997</v>
      </c>
      <c r="Q461" s="17">
        <v>6.7309679999999998</v>
      </c>
      <c r="R461" s="17">
        <v>4.5021810000000002</v>
      </c>
      <c r="S461" s="17">
        <v>8.2806309999999996</v>
      </c>
      <c r="AP461" s="35"/>
      <c r="AQ461" s="35"/>
      <c r="AR461" s="35"/>
      <c r="AS461" s="35"/>
    </row>
    <row r="462" spans="2:45" x14ac:dyDescent="0.2">
      <c r="B462" s="2">
        <v>43479.349016203705</v>
      </c>
      <c r="C462" s="5">
        <f t="shared" si="53"/>
        <v>14.333332760000037</v>
      </c>
      <c r="D462" s="14">
        <v>4.8306180000000003</v>
      </c>
      <c r="E462" s="14">
        <v>4.80253</v>
      </c>
      <c r="F462" s="14">
        <v>4.072222</v>
      </c>
      <c r="G462" s="14">
        <v>2.9785170000000001</v>
      </c>
      <c r="H462" s="15">
        <v>4.8716900000000001</v>
      </c>
      <c r="I462" s="15">
        <v>3.42191</v>
      </c>
      <c r="J462" s="15">
        <v>10.20055</v>
      </c>
      <c r="K462" s="15">
        <v>4.5379959999999997</v>
      </c>
      <c r="L462" s="16">
        <v>2.9832429999999999</v>
      </c>
      <c r="M462" s="16">
        <v>5.1435380000000004</v>
      </c>
      <c r="N462" s="16">
        <v>6.5555669999999999</v>
      </c>
      <c r="O462" s="16">
        <v>3.8483209999999999</v>
      </c>
      <c r="P462" s="17">
        <v>7.8981430000000001</v>
      </c>
      <c r="Q462" s="17">
        <v>6.7352600000000002</v>
      </c>
      <c r="R462" s="17">
        <v>4.5066160000000002</v>
      </c>
      <c r="S462" s="17">
        <v>8.2807340000000007</v>
      </c>
      <c r="AP462" s="35"/>
      <c r="AQ462" s="35"/>
      <c r="AR462" s="35"/>
      <c r="AS462" s="35"/>
    </row>
    <row r="463" spans="2:45" x14ac:dyDescent="0.2">
      <c r="B463" s="2">
        <v>43479.352488425924</v>
      </c>
      <c r="C463" s="5">
        <f t="shared" si="53"/>
        <v>14.416666090000037</v>
      </c>
      <c r="D463" s="14">
        <v>4.8306180000000003</v>
      </c>
      <c r="E463" s="14">
        <v>4.8225569999999998</v>
      </c>
      <c r="F463" s="14">
        <v>4.0875279999999998</v>
      </c>
      <c r="G463" s="14">
        <v>2.986599</v>
      </c>
      <c r="H463" s="15">
        <v>4.8716900000000001</v>
      </c>
      <c r="I463" s="15">
        <v>3.4228399999999999</v>
      </c>
      <c r="J463" s="15">
        <v>10.20055</v>
      </c>
      <c r="K463" s="15">
        <v>4.5415729999999996</v>
      </c>
      <c r="L463" s="16">
        <v>2.9832429999999999</v>
      </c>
      <c r="M463" s="16">
        <v>5.1435380000000004</v>
      </c>
      <c r="N463" s="16">
        <v>6.5555669999999999</v>
      </c>
      <c r="O463" s="16">
        <v>3.8483209999999999</v>
      </c>
      <c r="P463" s="17">
        <v>7.9091579999999997</v>
      </c>
      <c r="Q463" s="17">
        <v>6.7395509999999996</v>
      </c>
      <c r="R463" s="17">
        <v>4.51105</v>
      </c>
      <c r="S463" s="17">
        <v>8.2813060000000007</v>
      </c>
      <c r="AP463" s="35"/>
      <c r="AQ463" s="35"/>
      <c r="AR463" s="35"/>
      <c r="AS463" s="35"/>
    </row>
    <row r="464" spans="2:45" x14ac:dyDescent="0.2">
      <c r="B464" s="2">
        <v>43479.35596064815</v>
      </c>
      <c r="C464" s="5">
        <f t="shared" si="53"/>
        <v>14.499999420000037</v>
      </c>
      <c r="D464" s="14">
        <v>4.8306180000000003</v>
      </c>
      <c r="E464" s="14">
        <v>4.8425840000000004</v>
      </c>
      <c r="F464" s="14">
        <v>4.1028349999999998</v>
      </c>
      <c r="G464" s="14">
        <v>2.9930780000000001</v>
      </c>
      <c r="H464" s="15">
        <v>4.8716900000000001</v>
      </c>
      <c r="I464" s="15">
        <v>3.4237700000000002</v>
      </c>
      <c r="J464" s="15">
        <v>10.20055</v>
      </c>
      <c r="K464" s="15">
        <v>4.5451490000000003</v>
      </c>
      <c r="L464" s="16">
        <v>2.988461</v>
      </c>
      <c r="M464" s="16">
        <v>5.1435380000000004</v>
      </c>
      <c r="N464" s="16">
        <v>6.5555669999999999</v>
      </c>
      <c r="O464" s="16">
        <v>3.8483209999999999</v>
      </c>
      <c r="P464" s="17">
        <v>7.9201730000000001</v>
      </c>
      <c r="Q464" s="17">
        <v>6.743843</v>
      </c>
      <c r="R464" s="17">
        <v>4.515485</v>
      </c>
      <c r="S464" s="17">
        <v>8.2818780000000007</v>
      </c>
      <c r="AP464" s="35"/>
      <c r="AQ464" s="35"/>
      <c r="AR464" s="35"/>
      <c r="AS464" s="35"/>
    </row>
    <row r="465" spans="2:45" x14ac:dyDescent="0.2">
      <c r="B465" s="2">
        <v>43479.359432870369</v>
      </c>
      <c r="C465" s="5">
        <f t="shared" si="53"/>
        <v>14.583332750000038</v>
      </c>
      <c r="D465" s="14">
        <v>4.8306180000000003</v>
      </c>
      <c r="E465" s="14">
        <v>4.8626110000000002</v>
      </c>
      <c r="F465" s="14">
        <v>4.1181409999999996</v>
      </c>
      <c r="G465" s="14">
        <v>2.9989279999999998</v>
      </c>
      <c r="H465" s="15">
        <v>4.8716900000000001</v>
      </c>
      <c r="I465" s="15">
        <v>3.4247000000000001</v>
      </c>
      <c r="J465" s="15">
        <v>10.20055</v>
      </c>
      <c r="K465" s="15">
        <v>4.5487250000000001</v>
      </c>
      <c r="L465" s="16">
        <v>3.0149970000000001</v>
      </c>
      <c r="M465" s="16">
        <v>5.1435380000000004</v>
      </c>
      <c r="N465" s="16">
        <v>6.5555669999999999</v>
      </c>
      <c r="O465" s="16">
        <v>3.8483209999999999</v>
      </c>
      <c r="P465" s="17">
        <v>7.9311879999999997</v>
      </c>
      <c r="Q465" s="17">
        <v>6.7481340000000003</v>
      </c>
      <c r="R465" s="17">
        <v>4.5199189999999998</v>
      </c>
      <c r="S465" s="17">
        <v>8.282451</v>
      </c>
      <c r="AP465" s="35"/>
      <c r="AQ465" s="35"/>
      <c r="AR465" s="35"/>
      <c r="AS465" s="35"/>
    </row>
    <row r="466" spans="2:45" x14ac:dyDescent="0.2">
      <c r="B466" s="2">
        <v>43479.362905092596</v>
      </c>
      <c r="C466" s="5">
        <f t="shared" si="53"/>
        <v>14.666666080000038</v>
      </c>
      <c r="D466" s="14">
        <v>4.8306180000000003</v>
      </c>
      <c r="E466" s="14">
        <v>4.882638</v>
      </c>
      <c r="F466" s="14">
        <v>4.1334479999999996</v>
      </c>
      <c r="G466" s="14">
        <v>3.0123739999999999</v>
      </c>
      <c r="H466" s="15">
        <v>4.8716900000000001</v>
      </c>
      <c r="I466" s="15">
        <v>3.42563</v>
      </c>
      <c r="J466" s="15">
        <v>10.20055</v>
      </c>
      <c r="K466" s="15">
        <v>4.5523009999999999</v>
      </c>
      <c r="L466" s="16">
        <v>3.0415329999999998</v>
      </c>
      <c r="M466" s="16">
        <v>5.1435380000000004</v>
      </c>
      <c r="N466" s="16">
        <v>6.5555669999999999</v>
      </c>
      <c r="O466" s="16">
        <v>3.8483209999999999</v>
      </c>
      <c r="P466" s="17">
        <v>7.9422030000000001</v>
      </c>
      <c r="Q466" s="17">
        <v>6.7524259999999998</v>
      </c>
      <c r="R466" s="17">
        <v>4.5243539999999998</v>
      </c>
      <c r="S466" s="17">
        <v>8.283023</v>
      </c>
      <c r="AP466" s="35"/>
      <c r="AQ466" s="35"/>
      <c r="AR466" s="35"/>
      <c r="AS466" s="35"/>
    </row>
    <row r="467" spans="2:45" x14ac:dyDescent="0.2">
      <c r="B467" s="2">
        <v>43479.366377314815</v>
      </c>
      <c r="C467" s="5">
        <f t="shared" si="53"/>
        <v>14.749999410000038</v>
      </c>
      <c r="D467" s="14">
        <v>4.8306180000000003</v>
      </c>
      <c r="E467" s="14">
        <v>4.902666</v>
      </c>
      <c r="F467" s="14">
        <v>4.1487540000000003</v>
      </c>
      <c r="G467" s="14">
        <v>3.0258210000000001</v>
      </c>
      <c r="H467" s="15">
        <v>4.8718320000000004</v>
      </c>
      <c r="I467" s="15">
        <v>3.4265590000000001</v>
      </c>
      <c r="J467" s="15">
        <v>10.20055</v>
      </c>
      <c r="K467" s="15">
        <v>4.5558779999999999</v>
      </c>
      <c r="L467" s="16">
        <v>3.0680689999999999</v>
      </c>
      <c r="M467" s="16">
        <v>5.1435380000000004</v>
      </c>
      <c r="N467" s="16">
        <v>6.5555669999999999</v>
      </c>
      <c r="O467" s="16">
        <v>3.8483209999999999</v>
      </c>
      <c r="P467" s="17">
        <v>7.9532179999999997</v>
      </c>
      <c r="Q467" s="17">
        <v>6.7567170000000001</v>
      </c>
      <c r="R467" s="17">
        <v>4.5287889999999997</v>
      </c>
      <c r="S467" s="17">
        <v>8.283595</v>
      </c>
      <c r="AP467" s="35"/>
      <c r="AQ467" s="35"/>
      <c r="AR467" s="35"/>
      <c r="AS467" s="35"/>
    </row>
    <row r="468" spans="2:45" x14ac:dyDescent="0.2">
      <c r="B468" s="2">
        <v>43479.369849537034</v>
      </c>
      <c r="C468" s="5">
        <f t="shared" si="53"/>
        <v>14.833332740000039</v>
      </c>
      <c r="D468" s="14">
        <v>4.8306180000000003</v>
      </c>
      <c r="E468" s="14">
        <v>4.9226929999999998</v>
      </c>
      <c r="F468" s="14">
        <v>4.1640610000000002</v>
      </c>
      <c r="G468" s="14">
        <v>3.0392679999999999</v>
      </c>
      <c r="H468" s="15">
        <v>4.8774920000000002</v>
      </c>
      <c r="I468" s="15">
        <v>3.4266489999999998</v>
      </c>
      <c r="J468" s="15">
        <v>10.200760000000001</v>
      </c>
      <c r="K468" s="15">
        <v>4.5594539999999997</v>
      </c>
      <c r="L468" s="16">
        <v>3.0946050000000001</v>
      </c>
      <c r="M468" s="16">
        <v>5.1435380000000004</v>
      </c>
      <c r="N468" s="16">
        <v>6.5555669999999999</v>
      </c>
      <c r="O468" s="16">
        <v>3.8483209999999999</v>
      </c>
      <c r="P468" s="17">
        <v>7.964232</v>
      </c>
      <c r="Q468" s="17">
        <v>6.7610089999999996</v>
      </c>
      <c r="R468" s="17">
        <v>4.5307620000000002</v>
      </c>
      <c r="S468" s="17">
        <v>8.2841670000000001</v>
      </c>
      <c r="AP468" s="35"/>
      <c r="AQ468" s="35"/>
      <c r="AR468" s="35"/>
      <c r="AS468" s="35"/>
    </row>
    <row r="469" spans="2:45" x14ac:dyDescent="0.2">
      <c r="B469" s="2">
        <v>43479.37332175926</v>
      </c>
      <c r="C469" s="5">
        <f t="shared" si="53"/>
        <v>14.916666070000039</v>
      </c>
      <c r="D469" s="14">
        <v>4.8306180000000003</v>
      </c>
      <c r="E469" s="14">
        <v>4.9427199999999996</v>
      </c>
      <c r="F469" s="14">
        <v>4.1793670000000001</v>
      </c>
      <c r="G469" s="14">
        <v>3.0527150000000001</v>
      </c>
      <c r="H469" s="15">
        <v>4.8774920000000002</v>
      </c>
      <c r="I469" s="15">
        <v>3.4266489999999998</v>
      </c>
      <c r="J469" s="15">
        <v>10.20219</v>
      </c>
      <c r="K469" s="15">
        <v>4.5630300000000004</v>
      </c>
      <c r="L469" s="16">
        <v>3.1211410000000002</v>
      </c>
      <c r="M469" s="16">
        <v>5.1435380000000004</v>
      </c>
      <c r="N469" s="16">
        <v>6.5555669999999999</v>
      </c>
      <c r="O469" s="16">
        <v>3.8483209999999999</v>
      </c>
      <c r="P469" s="17">
        <v>7.9752470000000004</v>
      </c>
      <c r="Q469" s="17">
        <v>6.7652999999999999</v>
      </c>
      <c r="R469" s="17">
        <v>4.5307620000000002</v>
      </c>
      <c r="S469" s="17">
        <v>8.2847390000000001</v>
      </c>
      <c r="AP469" s="35"/>
      <c r="AQ469" s="35"/>
      <c r="AR469" s="35"/>
      <c r="AS469" s="35"/>
    </row>
    <row r="470" spans="2:45" x14ac:dyDescent="0.2">
      <c r="B470" s="2">
        <v>43479.376793981479</v>
      </c>
      <c r="C470" s="5">
        <f t="shared" si="53"/>
        <v>14.999999400000039</v>
      </c>
      <c r="D470" s="14">
        <v>4.8306180000000003</v>
      </c>
      <c r="E470" s="14">
        <v>4.9627470000000002</v>
      </c>
      <c r="F470" s="14">
        <v>4.194674</v>
      </c>
      <c r="G470" s="14">
        <v>3.0661619999999998</v>
      </c>
      <c r="H470" s="15">
        <v>4.8774920000000002</v>
      </c>
      <c r="I470" s="15">
        <v>3.42686</v>
      </c>
      <c r="J470" s="15">
        <v>10.203620000000001</v>
      </c>
      <c r="K470" s="15">
        <v>4.5666070000000003</v>
      </c>
      <c r="L470" s="16">
        <v>3.1476769999999998</v>
      </c>
      <c r="M470" s="16">
        <v>5.1435380000000004</v>
      </c>
      <c r="N470" s="16">
        <v>6.5555669999999999</v>
      </c>
      <c r="O470" s="16">
        <v>3.8483209999999999</v>
      </c>
      <c r="P470" s="17">
        <v>7.986262</v>
      </c>
      <c r="Q470" s="17">
        <v>6.7695920000000003</v>
      </c>
      <c r="R470" s="17">
        <v>4.5307620000000002</v>
      </c>
      <c r="S470" s="17">
        <v>8.2853119999999993</v>
      </c>
      <c r="V470" s="25">
        <v>15</v>
      </c>
      <c r="W470">
        <f>AVERAGE(D459:D470)</f>
        <v>4.8306180000000003</v>
      </c>
      <c r="X470">
        <f t="shared" ref="X470:AL470" si="55">AVERAGE(E459:E470)</f>
        <v>4.852597666666667</v>
      </c>
      <c r="Y470">
        <f t="shared" si="55"/>
        <v>4.110488000000001</v>
      </c>
      <c r="Z470">
        <f t="shared" si="55"/>
        <v>3.0033764166666668</v>
      </c>
      <c r="AA470">
        <f t="shared" si="55"/>
        <v>4.8731523333333335</v>
      </c>
      <c r="AB470">
        <f t="shared" si="55"/>
        <v>3.4238099166666665</v>
      </c>
      <c r="AC470">
        <f t="shared" si="55"/>
        <v>10.20096</v>
      </c>
      <c r="AD470">
        <f t="shared" si="55"/>
        <v>4.5469369999999998</v>
      </c>
      <c r="AE470">
        <f t="shared" si="55"/>
        <v>3.0327248333333334</v>
      </c>
      <c r="AF470">
        <f t="shared" si="55"/>
        <v>5.1435380000000004</v>
      </c>
      <c r="AG470">
        <f t="shared" si="55"/>
        <v>6.5555669999999973</v>
      </c>
      <c r="AH470">
        <f t="shared" si="55"/>
        <v>3.848320999999999</v>
      </c>
      <c r="AI470">
        <f t="shared" si="55"/>
        <v>7.9256802499999992</v>
      </c>
      <c r="AJ470">
        <f t="shared" si="55"/>
        <v>6.7463628333333334</v>
      </c>
      <c r="AK470">
        <f t="shared" si="55"/>
        <v>4.5159781666666676</v>
      </c>
      <c r="AL470">
        <f t="shared" si="55"/>
        <v>8.2820720000000012</v>
      </c>
      <c r="AO470" s="25">
        <v>15</v>
      </c>
      <c r="AP470" s="35">
        <f>AVERAGE(W470:Z470)</f>
        <v>4.1992700208333336</v>
      </c>
      <c r="AQ470" s="35">
        <f>AVERAGE(AA470:AD470)</f>
        <v>5.7612148125000004</v>
      </c>
      <c r="AR470" s="35">
        <f>AVERAGE(AE470:AH470)</f>
        <v>4.6450377083333327</v>
      </c>
      <c r="AS470" s="35">
        <f>AVERAGE(AI470:AL470)</f>
        <v>6.8675233124999995</v>
      </c>
    </row>
    <row r="471" spans="2:45" x14ac:dyDescent="0.2">
      <c r="B471" s="2">
        <v>43479.380266203705</v>
      </c>
      <c r="C471" s="5">
        <f t="shared" si="53"/>
        <v>15.083332730000039</v>
      </c>
      <c r="D471" s="14">
        <v>4.8306180000000003</v>
      </c>
      <c r="E471" s="14">
        <v>4.982774</v>
      </c>
      <c r="F471" s="14">
        <v>4.2099799999999998</v>
      </c>
      <c r="G471" s="14">
        <v>3.0796079999999999</v>
      </c>
      <c r="H471" s="15">
        <v>4.8781829999999999</v>
      </c>
      <c r="I471" s="15">
        <v>3.4272179999999999</v>
      </c>
      <c r="J471" s="15">
        <v>10.20505</v>
      </c>
      <c r="K471" s="15">
        <v>4.5701830000000001</v>
      </c>
      <c r="L471" s="16">
        <v>3.174213</v>
      </c>
      <c r="M471" s="16">
        <v>5.1435380000000004</v>
      </c>
      <c r="N471" s="16">
        <v>6.5555669999999999</v>
      </c>
      <c r="O471" s="16">
        <v>3.8483209999999999</v>
      </c>
      <c r="P471" s="17">
        <v>7.9916600000000004</v>
      </c>
      <c r="Q471" s="17">
        <v>6.7738829999999997</v>
      </c>
      <c r="R471" s="17">
        <v>4.5307620000000002</v>
      </c>
      <c r="S471" s="17">
        <v>8.2858839999999994</v>
      </c>
      <c r="AP471" s="35"/>
      <c r="AQ471" s="35"/>
      <c r="AR471" s="35"/>
      <c r="AS471" s="35"/>
    </row>
    <row r="472" spans="2:45" x14ac:dyDescent="0.2">
      <c r="B472" s="2">
        <v>43479.383738425924</v>
      </c>
      <c r="C472" s="5">
        <f t="shared" si="53"/>
        <v>15.16666606000004</v>
      </c>
      <c r="D472" s="14">
        <v>4.8306180000000003</v>
      </c>
      <c r="E472" s="14">
        <v>5.0028009999999998</v>
      </c>
      <c r="F472" s="14">
        <v>4.211843</v>
      </c>
      <c r="G472" s="14">
        <v>3.0930550000000001</v>
      </c>
      <c r="H472" s="15">
        <v>4.8800429999999997</v>
      </c>
      <c r="I472" s="15">
        <v>3.4275760000000002</v>
      </c>
      <c r="J472" s="15">
        <v>10.206480000000001</v>
      </c>
      <c r="K472" s="15">
        <v>4.5737589999999999</v>
      </c>
      <c r="L472" s="16">
        <v>3.2007490000000001</v>
      </c>
      <c r="M472" s="16">
        <v>5.1435380000000004</v>
      </c>
      <c r="N472" s="16">
        <v>6.5555669999999999</v>
      </c>
      <c r="O472" s="16">
        <v>3.8483209999999999</v>
      </c>
      <c r="P472" s="17">
        <v>7.9916600000000004</v>
      </c>
      <c r="Q472" s="17">
        <v>6.7781750000000001</v>
      </c>
      <c r="R472" s="17">
        <v>4.5307620000000002</v>
      </c>
      <c r="S472" s="17">
        <v>8.2864559999999994</v>
      </c>
      <c r="AP472" s="35"/>
      <c r="AQ472" s="35"/>
      <c r="AR472" s="35"/>
      <c r="AS472" s="35"/>
    </row>
    <row r="473" spans="2:45" x14ac:dyDescent="0.2">
      <c r="B473" s="2">
        <v>43479.38721064815</v>
      </c>
      <c r="C473" s="5">
        <f t="shared" si="53"/>
        <v>15.24999939000004</v>
      </c>
      <c r="D473" s="14">
        <v>4.8306180000000003</v>
      </c>
      <c r="E473" s="14">
        <v>5.0228289999999998</v>
      </c>
      <c r="F473" s="14">
        <v>4.211843</v>
      </c>
      <c r="G473" s="14">
        <v>3.1065019999999999</v>
      </c>
      <c r="H473" s="15">
        <v>4.8819030000000003</v>
      </c>
      <c r="I473" s="15">
        <v>3.4279329999999999</v>
      </c>
      <c r="J473" s="15">
        <v>10.20791</v>
      </c>
      <c r="K473" s="15">
        <v>4.5773349999999997</v>
      </c>
      <c r="L473" s="16">
        <v>3.2272850000000002</v>
      </c>
      <c r="M473" s="16">
        <v>5.1435380000000004</v>
      </c>
      <c r="N473" s="16">
        <v>6.5555669999999999</v>
      </c>
      <c r="O473" s="16">
        <v>3.8483209999999999</v>
      </c>
      <c r="P473" s="17">
        <v>7.999396</v>
      </c>
      <c r="Q473" s="17">
        <v>6.7824660000000003</v>
      </c>
      <c r="R473" s="17">
        <v>4.5307620000000002</v>
      </c>
      <c r="S473" s="17">
        <v>8.2870439999999999</v>
      </c>
      <c r="AP473" s="35"/>
      <c r="AQ473" s="35"/>
      <c r="AR473" s="35"/>
      <c r="AS473" s="35"/>
    </row>
    <row r="474" spans="2:45" x14ac:dyDescent="0.2">
      <c r="B474" s="2">
        <v>43479.390682870369</v>
      </c>
      <c r="C474" s="5">
        <f t="shared" si="53"/>
        <v>15.33333272000004</v>
      </c>
      <c r="D474" s="14">
        <v>4.8306180000000003</v>
      </c>
      <c r="E474" s="14">
        <v>5.0428559999999996</v>
      </c>
      <c r="F474" s="14">
        <v>4.211843</v>
      </c>
      <c r="G474" s="14">
        <v>3.1199490000000001</v>
      </c>
      <c r="H474" s="15">
        <v>4.8837619999999999</v>
      </c>
      <c r="I474" s="15">
        <v>3.4282910000000002</v>
      </c>
      <c r="J474" s="15">
        <v>10.209339999999999</v>
      </c>
      <c r="K474" s="15">
        <v>4.57944</v>
      </c>
      <c r="L474" s="16">
        <v>3.2538209999999999</v>
      </c>
      <c r="M474" s="16">
        <v>5.1435380000000004</v>
      </c>
      <c r="N474" s="16">
        <v>6.5555669999999999</v>
      </c>
      <c r="O474" s="16">
        <v>3.8483209999999999</v>
      </c>
      <c r="P474" s="17">
        <v>8.0077040000000004</v>
      </c>
      <c r="Q474" s="17">
        <v>6.7867579999999998</v>
      </c>
      <c r="R474" s="17">
        <v>4.5321930000000004</v>
      </c>
      <c r="S474" s="17">
        <v>8.2870439999999999</v>
      </c>
      <c r="AP474" s="35"/>
      <c r="AQ474" s="35"/>
      <c r="AR474" s="35"/>
      <c r="AS474" s="35"/>
    </row>
    <row r="475" spans="2:45" x14ac:dyDescent="0.2">
      <c r="B475" s="2">
        <v>43479.394155092596</v>
      </c>
      <c r="C475" s="5">
        <f t="shared" si="53"/>
        <v>15.416666050000041</v>
      </c>
      <c r="D475" s="14">
        <v>4.8306180000000003</v>
      </c>
      <c r="E475" s="14">
        <v>5.0628830000000002</v>
      </c>
      <c r="F475" s="14">
        <v>4.2119229999999996</v>
      </c>
      <c r="G475" s="14">
        <v>3.1333959999999998</v>
      </c>
      <c r="H475" s="15">
        <v>4.8856219999999997</v>
      </c>
      <c r="I475" s="15">
        <v>3.4286479999999999</v>
      </c>
      <c r="J475" s="15">
        <v>10.21077</v>
      </c>
      <c r="K475" s="15">
        <v>4.5795539999999999</v>
      </c>
      <c r="L475" s="16">
        <v>3.280357</v>
      </c>
      <c r="M475" s="16">
        <v>5.1435380000000004</v>
      </c>
      <c r="N475" s="16">
        <v>6.5555669999999999</v>
      </c>
      <c r="O475" s="16">
        <v>3.8483209999999999</v>
      </c>
      <c r="P475" s="17">
        <v>8.0160009999999993</v>
      </c>
      <c r="Q475" s="17">
        <v>6.7910490000000001</v>
      </c>
      <c r="R475" s="17">
        <v>4.5354830000000002</v>
      </c>
      <c r="S475" s="17">
        <v>8.2874269999999992</v>
      </c>
      <c r="AP475" s="35"/>
      <c r="AQ475" s="35"/>
      <c r="AR475" s="35"/>
      <c r="AS475" s="35"/>
    </row>
    <row r="476" spans="2:45" x14ac:dyDescent="0.2">
      <c r="B476" s="2">
        <v>43479.397627314815</v>
      </c>
      <c r="C476" s="5">
        <f t="shared" si="53"/>
        <v>15.499999380000041</v>
      </c>
      <c r="D476" s="14">
        <v>4.8306180000000003</v>
      </c>
      <c r="E476" s="14">
        <v>5.08291</v>
      </c>
      <c r="F476" s="14">
        <v>4.2177759999999997</v>
      </c>
      <c r="G476" s="14">
        <v>3.1468419999999999</v>
      </c>
      <c r="H476" s="15">
        <v>4.8874820000000003</v>
      </c>
      <c r="I476" s="15">
        <v>3.4290060000000002</v>
      </c>
      <c r="J476" s="15">
        <v>10.212199999999999</v>
      </c>
      <c r="K476" s="15">
        <v>4.5796970000000004</v>
      </c>
      <c r="L476" s="16">
        <v>3.3068930000000001</v>
      </c>
      <c r="M476" s="16">
        <v>5.1435380000000004</v>
      </c>
      <c r="N476" s="16">
        <v>6.5555669999999999</v>
      </c>
      <c r="O476" s="16">
        <v>3.8483209999999999</v>
      </c>
      <c r="P476" s="17">
        <v>8.0242979999999999</v>
      </c>
      <c r="Q476" s="17">
        <v>6.7953409999999996</v>
      </c>
      <c r="R476" s="17">
        <v>4.5387740000000001</v>
      </c>
      <c r="S476" s="17">
        <v>8.2878080000000001</v>
      </c>
      <c r="AP476" s="35"/>
      <c r="AQ476" s="35"/>
      <c r="AR476" s="35"/>
      <c r="AS476" s="35"/>
    </row>
    <row r="477" spans="2:45" x14ac:dyDescent="0.2">
      <c r="B477" s="2">
        <v>43479.401099537034</v>
      </c>
      <c r="C477" s="5">
        <f t="shared" si="53"/>
        <v>15.583332710000041</v>
      </c>
      <c r="D477" s="14">
        <v>4.8306180000000003</v>
      </c>
      <c r="E477" s="14">
        <v>5.1029369999999998</v>
      </c>
      <c r="F477" s="14">
        <v>4.2236409999999998</v>
      </c>
      <c r="G477" s="14">
        <v>3.1602890000000001</v>
      </c>
      <c r="H477" s="15">
        <v>4.8893409999999999</v>
      </c>
      <c r="I477" s="15">
        <v>3.4293640000000001</v>
      </c>
      <c r="J477" s="15">
        <v>10.21294</v>
      </c>
      <c r="K477" s="15">
        <v>4.5798399999999999</v>
      </c>
      <c r="L477" s="16">
        <v>3.3334290000000002</v>
      </c>
      <c r="M477" s="16">
        <v>5.1435380000000004</v>
      </c>
      <c r="N477" s="16">
        <v>6.5555669999999999</v>
      </c>
      <c r="O477" s="16">
        <v>3.8483209999999999</v>
      </c>
      <c r="P477" s="17">
        <v>8.0325950000000006</v>
      </c>
      <c r="Q477" s="17">
        <v>6.799633</v>
      </c>
      <c r="R477" s="17">
        <v>4.5420639999999999</v>
      </c>
      <c r="S477" s="17">
        <v>8.2878080000000001</v>
      </c>
      <c r="AP477" s="35"/>
      <c r="AQ477" s="35"/>
      <c r="AR477" s="35"/>
      <c r="AS477" s="35"/>
    </row>
    <row r="478" spans="2:45" x14ac:dyDescent="0.2">
      <c r="B478" s="2">
        <v>43479.40457175926</v>
      </c>
      <c r="C478" s="5">
        <f t="shared" si="53"/>
        <v>15.666666040000042</v>
      </c>
      <c r="D478" s="14">
        <v>4.8306180000000003</v>
      </c>
      <c r="E478" s="14">
        <v>5.1229639999999996</v>
      </c>
      <c r="F478" s="14">
        <v>4.2295059999999998</v>
      </c>
      <c r="G478" s="14">
        <v>3.1737359999999999</v>
      </c>
      <c r="H478" s="15">
        <v>4.8912009999999997</v>
      </c>
      <c r="I478" s="15">
        <v>3.4297209999999998</v>
      </c>
      <c r="J478" s="15">
        <v>10.21294</v>
      </c>
      <c r="K478" s="15">
        <v>4.5799830000000004</v>
      </c>
      <c r="L478" s="16">
        <v>3.3599649999999999</v>
      </c>
      <c r="M478" s="16">
        <v>5.1435380000000004</v>
      </c>
      <c r="N478" s="16">
        <v>6.5555669999999999</v>
      </c>
      <c r="O478" s="16">
        <v>3.8483209999999999</v>
      </c>
      <c r="P478" s="17">
        <v>8.0408919999999995</v>
      </c>
      <c r="Q478" s="17">
        <v>6.8039240000000003</v>
      </c>
      <c r="R478" s="17">
        <v>4.5453539999999997</v>
      </c>
      <c r="S478" s="17">
        <v>8.2987950000000001</v>
      </c>
      <c r="AP478" s="35"/>
      <c r="AQ478" s="35"/>
      <c r="AR478" s="35"/>
      <c r="AS478" s="35"/>
    </row>
    <row r="479" spans="2:45" x14ac:dyDescent="0.2">
      <c r="B479" s="2">
        <v>43479.408043981479</v>
      </c>
      <c r="C479" s="5">
        <f t="shared" si="53"/>
        <v>15.749999370000042</v>
      </c>
      <c r="D479" s="14">
        <v>4.8306180000000003</v>
      </c>
      <c r="E479" s="14">
        <v>5.1429919999999996</v>
      </c>
      <c r="F479" s="14">
        <v>4.2353719999999999</v>
      </c>
      <c r="G479" s="14">
        <v>3.1871830000000001</v>
      </c>
      <c r="H479" s="15">
        <v>4.8930610000000003</v>
      </c>
      <c r="I479" s="15">
        <v>3.4300790000000001</v>
      </c>
      <c r="J479" s="15">
        <v>10.215960000000001</v>
      </c>
      <c r="K479" s="15">
        <v>4.5801259999999999</v>
      </c>
      <c r="L479" s="16">
        <v>3.386501</v>
      </c>
      <c r="M479" s="16">
        <v>5.1435380000000004</v>
      </c>
      <c r="N479" s="16">
        <v>6.5555669999999999</v>
      </c>
      <c r="O479" s="16">
        <v>3.8483209999999999</v>
      </c>
      <c r="P479" s="17">
        <v>8.0491890000000001</v>
      </c>
      <c r="Q479" s="17">
        <v>6.8082159999999998</v>
      </c>
      <c r="R479" s="17">
        <v>4.5456950000000003</v>
      </c>
      <c r="S479" s="17">
        <v>8.3116690000000002</v>
      </c>
      <c r="AP479" s="35"/>
      <c r="AQ479" s="35"/>
      <c r="AR479" s="35"/>
      <c r="AS479" s="35"/>
    </row>
    <row r="480" spans="2:45" x14ac:dyDescent="0.2">
      <c r="B480" s="2">
        <v>43479.411516203705</v>
      </c>
      <c r="C480" s="5">
        <f t="shared" si="53"/>
        <v>15.833332700000042</v>
      </c>
      <c r="D480" s="14">
        <v>4.8306180000000003</v>
      </c>
      <c r="E480" s="14">
        <v>5.1630190000000002</v>
      </c>
      <c r="F480" s="14">
        <v>4.2412369999999999</v>
      </c>
      <c r="G480" s="14">
        <v>3.2006299999999999</v>
      </c>
      <c r="H480" s="15">
        <v>4.8949199999999999</v>
      </c>
      <c r="I480" s="15">
        <v>3.430437</v>
      </c>
      <c r="J480" s="15">
        <v>10.244289999999999</v>
      </c>
      <c r="K480" s="15">
        <v>4.5802690000000004</v>
      </c>
      <c r="L480" s="16">
        <v>3.4130370000000001</v>
      </c>
      <c r="M480" s="16">
        <v>5.1435380000000004</v>
      </c>
      <c r="N480" s="16">
        <v>6.5555669999999999</v>
      </c>
      <c r="O480" s="16">
        <v>3.8483209999999999</v>
      </c>
      <c r="P480" s="17">
        <v>8.0574860000000008</v>
      </c>
      <c r="Q480" s="17">
        <v>6.8125070000000001</v>
      </c>
      <c r="R480" s="17">
        <v>4.5525469999999997</v>
      </c>
      <c r="S480" s="17">
        <v>8.3245439999999995</v>
      </c>
      <c r="AP480" s="35"/>
      <c r="AQ480" s="35"/>
      <c r="AR480" s="35"/>
      <c r="AS480" s="35"/>
    </row>
    <row r="481" spans="2:45" x14ac:dyDescent="0.2">
      <c r="B481" s="2">
        <v>43479.414988425924</v>
      </c>
      <c r="C481" s="5">
        <f t="shared" si="53"/>
        <v>15.916666030000043</v>
      </c>
      <c r="D481" s="14">
        <v>4.8306180000000003</v>
      </c>
      <c r="E481" s="14">
        <v>5.183046</v>
      </c>
      <c r="F481" s="14">
        <v>4.2471019999999999</v>
      </c>
      <c r="G481" s="14">
        <v>3.2140770000000001</v>
      </c>
      <c r="H481" s="15">
        <v>4.8967799999999997</v>
      </c>
      <c r="I481" s="15">
        <v>3.4307940000000001</v>
      </c>
      <c r="J481" s="15">
        <v>10.27261</v>
      </c>
      <c r="K481" s="15">
        <v>4.5804119999999999</v>
      </c>
      <c r="L481" s="16">
        <v>3.4378920000000002</v>
      </c>
      <c r="M481" s="16">
        <v>5.1435380000000004</v>
      </c>
      <c r="N481" s="16">
        <v>6.5555669999999999</v>
      </c>
      <c r="O481" s="16">
        <v>3.8483209999999999</v>
      </c>
      <c r="P481" s="17">
        <v>8.0657829999999997</v>
      </c>
      <c r="Q481" s="17">
        <v>6.8167989999999996</v>
      </c>
      <c r="R481" s="17">
        <v>4.5594130000000002</v>
      </c>
      <c r="S481" s="17">
        <v>8.3374190000000006</v>
      </c>
      <c r="AP481" s="35"/>
      <c r="AQ481" s="35"/>
      <c r="AR481" s="35"/>
      <c r="AS481" s="35"/>
    </row>
    <row r="482" spans="2:45" x14ac:dyDescent="0.2">
      <c r="B482" s="2">
        <v>43479.41846064815</v>
      </c>
      <c r="C482" s="5">
        <f t="shared" si="53"/>
        <v>15.999999360000043</v>
      </c>
      <c r="D482" s="14">
        <v>4.8306180000000003</v>
      </c>
      <c r="E482" s="14">
        <v>5.2030729999999998</v>
      </c>
      <c r="F482" s="14">
        <v>4.2529669999999999</v>
      </c>
      <c r="G482" s="14">
        <v>3.2275230000000001</v>
      </c>
      <c r="H482" s="15">
        <v>4.8986400000000003</v>
      </c>
      <c r="I482" s="15">
        <v>3.431152</v>
      </c>
      <c r="J482" s="15">
        <v>10.300940000000001</v>
      </c>
      <c r="K482" s="15">
        <v>4.5805550000000004</v>
      </c>
      <c r="L482" s="16">
        <v>3.4378920000000002</v>
      </c>
      <c r="M482" s="16">
        <v>5.1435380000000004</v>
      </c>
      <c r="N482" s="16">
        <v>6.5555669999999999</v>
      </c>
      <c r="O482" s="16">
        <v>3.8483209999999999</v>
      </c>
      <c r="P482" s="17">
        <v>8.0740800000000004</v>
      </c>
      <c r="Q482" s="17">
        <v>6.8210899999999999</v>
      </c>
      <c r="R482" s="17">
        <v>4.5662799999999999</v>
      </c>
      <c r="S482" s="17">
        <v>8.3502930000000006</v>
      </c>
      <c r="V482" s="25">
        <v>16</v>
      </c>
      <c r="W482">
        <f>AVERAGE(D471:D482)</f>
        <v>4.8306180000000003</v>
      </c>
      <c r="X482">
        <f t="shared" ref="X482:AL482" si="56">AVERAGE(E471:E482)</f>
        <v>5.0929236666666649</v>
      </c>
      <c r="Y482">
        <f t="shared" si="56"/>
        <v>4.2254194166666661</v>
      </c>
      <c r="Z482">
        <f t="shared" si="56"/>
        <v>3.1535658333333334</v>
      </c>
      <c r="AA482">
        <f t="shared" si="56"/>
        <v>4.888411500000001</v>
      </c>
      <c r="AB482">
        <f t="shared" si="56"/>
        <v>3.4291849166666659</v>
      </c>
      <c r="AC482">
        <f t="shared" si="56"/>
        <v>10.2259525</v>
      </c>
      <c r="AD482">
        <f t="shared" si="56"/>
        <v>4.5784294166666664</v>
      </c>
      <c r="AE482">
        <f t="shared" si="56"/>
        <v>3.3176694999999992</v>
      </c>
      <c r="AF482">
        <f t="shared" si="56"/>
        <v>5.1435380000000004</v>
      </c>
      <c r="AG482">
        <f t="shared" si="56"/>
        <v>6.5555669999999973</v>
      </c>
      <c r="AH482">
        <f t="shared" si="56"/>
        <v>3.848320999999999</v>
      </c>
      <c r="AI482">
        <f t="shared" si="56"/>
        <v>8.0292286666666666</v>
      </c>
      <c r="AJ482">
        <f t="shared" si="56"/>
        <v>6.79748675</v>
      </c>
      <c r="AK482">
        <f t="shared" si="56"/>
        <v>4.5425074166666661</v>
      </c>
      <c r="AL482">
        <f t="shared" si="56"/>
        <v>8.3026825833333344</v>
      </c>
      <c r="AO482" s="25">
        <v>16</v>
      </c>
      <c r="AP482" s="35">
        <f>AVERAGE(W482:Z482)</f>
        <v>4.3256317291666662</v>
      </c>
      <c r="AQ482" s="35">
        <f>AVERAGE(AA482:AD482)</f>
        <v>5.7804945833333328</v>
      </c>
      <c r="AR482" s="35">
        <f>AVERAGE(AE482:AH482)</f>
        <v>4.7162738749999988</v>
      </c>
      <c r="AS482" s="35">
        <f>AVERAGE(AI482:AL482)</f>
        <v>6.917976354166667</v>
      </c>
    </row>
    <row r="483" spans="2:45" x14ac:dyDescent="0.2">
      <c r="B483" s="2">
        <v>43479.421932870369</v>
      </c>
      <c r="C483" s="5">
        <f t="shared" si="53"/>
        <v>16.083332690000042</v>
      </c>
      <c r="D483" s="14">
        <v>4.8306180000000003</v>
      </c>
      <c r="E483" s="14">
        <v>5.2230999999999996</v>
      </c>
      <c r="F483" s="14">
        <v>4.258832</v>
      </c>
      <c r="G483" s="14">
        <v>3.2409699999999999</v>
      </c>
      <c r="H483" s="15">
        <v>4.9004989999999999</v>
      </c>
      <c r="I483" s="15">
        <v>3.4315090000000001</v>
      </c>
      <c r="J483" s="15">
        <v>10.32926</v>
      </c>
      <c r="K483" s="15">
        <v>4.5806979999999999</v>
      </c>
      <c r="L483" s="16">
        <v>3.4378920000000002</v>
      </c>
      <c r="M483" s="16">
        <v>5.1435380000000004</v>
      </c>
      <c r="N483" s="16">
        <v>6.5555669999999999</v>
      </c>
      <c r="O483" s="16">
        <v>3.8483209999999999</v>
      </c>
      <c r="P483" s="17">
        <v>8.082376</v>
      </c>
      <c r="Q483" s="17">
        <v>6.8253820000000003</v>
      </c>
      <c r="R483" s="17">
        <v>4.5731460000000004</v>
      </c>
      <c r="S483" s="17">
        <v>8.3631679999999999</v>
      </c>
      <c r="AP483" s="35"/>
      <c r="AQ483" s="35"/>
      <c r="AR483" s="35"/>
      <c r="AS483" s="35"/>
    </row>
    <row r="484" spans="2:45" x14ac:dyDescent="0.2">
      <c r="B484" s="2">
        <v>43479.425405092596</v>
      </c>
      <c r="C484" s="5">
        <f t="shared" si="53"/>
        <v>16.16666602000004</v>
      </c>
      <c r="D484" s="14">
        <v>4.8306180000000003</v>
      </c>
      <c r="E484" s="14">
        <v>5.2431270000000003</v>
      </c>
      <c r="F484" s="14">
        <v>4.264697</v>
      </c>
      <c r="G484" s="14">
        <v>3.2544170000000001</v>
      </c>
      <c r="H484" s="15">
        <v>4.9023589999999997</v>
      </c>
      <c r="I484" s="15">
        <v>3.431867</v>
      </c>
      <c r="J484" s="15">
        <v>10.35758</v>
      </c>
      <c r="K484" s="15">
        <v>4.5808410000000004</v>
      </c>
      <c r="L484" s="16">
        <v>3.4378920000000002</v>
      </c>
      <c r="M484" s="16">
        <v>5.1435380000000004</v>
      </c>
      <c r="N484" s="16">
        <v>6.5555669999999999</v>
      </c>
      <c r="O484" s="16">
        <v>3.8483209999999999</v>
      </c>
      <c r="P484" s="17">
        <v>8.0906730000000007</v>
      </c>
      <c r="Q484" s="17">
        <v>6.8296729999999997</v>
      </c>
      <c r="R484" s="17">
        <v>4.5768430000000002</v>
      </c>
      <c r="S484" s="17">
        <v>8.376042</v>
      </c>
      <c r="AP484" s="35"/>
      <c r="AQ484" s="35"/>
      <c r="AR484" s="35"/>
      <c r="AS484" s="35"/>
    </row>
    <row r="485" spans="2:45" x14ac:dyDescent="0.2">
      <c r="B485" s="2">
        <v>43479.428877314815</v>
      </c>
      <c r="C485" s="5">
        <f t="shared" si="53"/>
        <v>16.249999350000039</v>
      </c>
      <c r="D485" s="14">
        <v>4.8306180000000003</v>
      </c>
      <c r="E485" s="14">
        <v>5.2631550000000002</v>
      </c>
      <c r="F485" s="14">
        <v>4.270562</v>
      </c>
      <c r="G485" s="14">
        <v>3.2678639999999999</v>
      </c>
      <c r="H485" s="15">
        <v>4.9042190000000003</v>
      </c>
      <c r="I485" s="15">
        <v>3.4322249999999999</v>
      </c>
      <c r="J485" s="15">
        <v>10.385910000000001</v>
      </c>
      <c r="K485" s="15">
        <v>4.5809839999999999</v>
      </c>
      <c r="L485" s="16">
        <v>3.4378920000000002</v>
      </c>
      <c r="M485" s="16">
        <v>5.1435380000000004</v>
      </c>
      <c r="N485" s="16">
        <v>6.5555669999999999</v>
      </c>
      <c r="O485" s="16">
        <v>3.8483209999999999</v>
      </c>
      <c r="P485" s="17">
        <v>8.0989699999999996</v>
      </c>
      <c r="Q485" s="17">
        <v>6.8339650000000001</v>
      </c>
      <c r="R485" s="17">
        <v>4.5768430000000002</v>
      </c>
      <c r="S485" s="17">
        <v>8.3889169999999993</v>
      </c>
      <c r="AP485" s="35"/>
      <c r="AQ485" s="35"/>
      <c r="AR485" s="35"/>
      <c r="AS485" s="35"/>
    </row>
    <row r="486" spans="2:45" x14ac:dyDescent="0.2">
      <c r="B486" s="2">
        <v>43479.432349537034</v>
      </c>
      <c r="C486" s="5">
        <f t="shared" si="53"/>
        <v>16.333332680000037</v>
      </c>
      <c r="D486" s="14">
        <v>4.8306180000000003</v>
      </c>
      <c r="E486" s="14">
        <v>5.283182</v>
      </c>
      <c r="F486" s="14">
        <v>4.276427</v>
      </c>
      <c r="G486" s="14">
        <v>3.2813110000000001</v>
      </c>
      <c r="H486" s="15">
        <v>4.9060779999999999</v>
      </c>
      <c r="I486" s="15">
        <v>3.432544</v>
      </c>
      <c r="J486" s="15">
        <v>10.41423</v>
      </c>
      <c r="K486" s="15">
        <v>4.5811270000000004</v>
      </c>
      <c r="L486" s="16">
        <v>3.4378920000000002</v>
      </c>
      <c r="M486" s="16">
        <v>5.1435380000000004</v>
      </c>
      <c r="N486" s="16">
        <v>6.5555669999999999</v>
      </c>
      <c r="O486" s="16">
        <v>3.8483209999999999</v>
      </c>
      <c r="P486" s="17">
        <v>8.1072670000000002</v>
      </c>
      <c r="Q486" s="17">
        <v>6.8382560000000003</v>
      </c>
      <c r="R486" s="17">
        <v>4.5785840000000002</v>
      </c>
      <c r="S486" s="17">
        <v>8.4017920000000004</v>
      </c>
      <c r="AP486" s="35"/>
      <c r="AQ486" s="35"/>
      <c r="AR486" s="35"/>
      <c r="AS486" s="35"/>
    </row>
    <row r="487" spans="2:45" x14ac:dyDescent="0.2">
      <c r="B487" s="2">
        <v>43479.43582175926</v>
      </c>
      <c r="C487" s="5">
        <f t="shared" si="53"/>
        <v>16.416666010000036</v>
      </c>
      <c r="D487" s="14">
        <v>4.8306180000000003</v>
      </c>
      <c r="E487" s="14">
        <v>5.2875880000000004</v>
      </c>
      <c r="F487" s="14">
        <v>4.282292</v>
      </c>
      <c r="G487" s="14">
        <v>3.2947570000000002</v>
      </c>
      <c r="H487" s="15">
        <v>4.9079379999999997</v>
      </c>
      <c r="I487" s="15">
        <v>3.432544</v>
      </c>
      <c r="J487" s="15">
        <v>10.44256</v>
      </c>
      <c r="K487" s="15">
        <v>4.58127</v>
      </c>
      <c r="L487" s="16">
        <v>3.4378920000000002</v>
      </c>
      <c r="M487" s="16">
        <v>5.1435380000000004</v>
      </c>
      <c r="N487" s="16">
        <v>6.5555669999999999</v>
      </c>
      <c r="O487" s="16">
        <v>3.8483209999999999</v>
      </c>
      <c r="P487" s="17">
        <v>8.1102539999999994</v>
      </c>
      <c r="Q487" s="17">
        <v>6.8425479999999999</v>
      </c>
      <c r="R487" s="17">
        <v>4.5911730000000004</v>
      </c>
      <c r="S487" s="17">
        <v>8.4146660000000004</v>
      </c>
      <c r="AP487" s="35"/>
      <c r="AQ487" s="35"/>
      <c r="AR487" s="35"/>
      <c r="AS487" s="35"/>
    </row>
    <row r="488" spans="2:45" x14ac:dyDescent="0.2">
      <c r="B488" s="2">
        <v>43479.439293981479</v>
      </c>
      <c r="C488" s="5">
        <f t="shared" si="53"/>
        <v>16.499999340000034</v>
      </c>
      <c r="D488" s="14">
        <v>4.8306180000000003</v>
      </c>
      <c r="E488" s="14">
        <v>5.288106</v>
      </c>
      <c r="F488" s="14">
        <v>4.288157</v>
      </c>
      <c r="G488" s="14">
        <v>3.3082039999999999</v>
      </c>
      <c r="H488" s="15">
        <v>4.9097980000000003</v>
      </c>
      <c r="I488" s="15">
        <v>3.432544</v>
      </c>
      <c r="J488" s="15">
        <v>10.470879999999999</v>
      </c>
      <c r="K488" s="15">
        <v>4.5814130000000004</v>
      </c>
      <c r="L488" s="16">
        <v>3.4378920000000002</v>
      </c>
      <c r="M488" s="16">
        <v>5.1435380000000004</v>
      </c>
      <c r="N488" s="16">
        <v>6.5555669999999999</v>
      </c>
      <c r="O488" s="16">
        <v>3.8483209999999999</v>
      </c>
      <c r="P488" s="17">
        <v>8.1102539999999994</v>
      </c>
      <c r="Q488" s="17">
        <v>6.8468390000000001</v>
      </c>
      <c r="R488" s="17">
        <v>4.6037610000000004</v>
      </c>
      <c r="S488" s="17">
        <v>8.4275409999999997</v>
      </c>
      <c r="AP488" s="35"/>
      <c r="AQ488" s="35"/>
      <c r="AR488" s="35"/>
      <c r="AS488" s="35"/>
    </row>
    <row r="489" spans="2:45" x14ac:dyDescent="0.2">
      <c r="B489" s="2">
        <v>43479.442766203705</v>
      </c>
      <c r="C489" s="5">
        <f t="shared" si="53"/>
        <v>16.583332670000033</v>
      </c>
      <c r="D489" s="14">
        <v>4.8306180000000003</v>
      </c>
      <c r="E489" s="14">
        <v>5.2929700000000004</v>
      </c>
      <c r="F489" s="14">
        <v>4.2940230000000001</v>
      </c>
      <c r="G489" s="14">
        <v>3.3216510000000001</v>
      </c>
      <c r="H489" s="15">
        <v>4.9116569999999999</v>
      </c>
      <c r="I489" s="15">
        <v>3.432544</v>
      </c>
      <c r="J489" s="15">
        <v>10.49921</v>
      </c>
      <c r="K489" s="15">
        <v>4.581556</v>
      </c>
      <c r="L489" s="16">
        <v>3.4378920000000002</v>
      </c>
      <c r="M489" s="16">
        <v>5.1435380000000004</v>
      </c>
      <c r="N489" s="16">
        <v>6.5555669999999999</v>
      </c>
      <c r="O489" s="16">
        <v>3.8483209999999999</v>
      </c>
      <c r="P489" s="17">
        <v>8.1127339999999997</v>
      </c>
      <c r="Q489" s="17">
        <v>6.8511309999999996</v>
      </c>
      <c r="R489" s="17">
        <v>4.6163499999999997</v>
      </c>
      <c r="S489" s="17">
        <v>8.4404149999999998</v>
      </c>
      <c r="AP489" s="35"/>
      <c r="AQ489" s="35"/>
      <c r="AR489" s="35"/>
      <c r="AS489" s="35"/>
    </row>
    <row r="490" spans="2:45" x14ac:dyDescent="0.2">
      <c r="B490" s="2">
        <v>43479.446238425924</v>
      </c>
      <c r="C490" s="5">
        <f t="shared" si="53"/>
        <v>16.666666000000031</v>
      </c>
      <c r="D490" s="14">
        <v>4.8306180000000003</v>
      </c>
      <c r="E490" s="14">
        <v>5.2978339999999999</v>
      </c>
      <c r="F490" s="14">
        <v>4.2998880000000002</v>
      </c>
      <c r="G490" s="14">
        <v>3.3350979999999999</v>
      </c>
      <c r="H490" s="15">
        <v>4.9135169999999997</v>
      </c>
      <c r="I490" s="15">
        <v>3.432544</v>
      </c>
      <c r="J490" s="15">
        <v>10.52753</v>
      </c>
      <c r="K490" s="15">
        <v>4.5816990000000004</v>
      </c>
      <c r="L490" s="16">
        <v>3.4378920000000002</v>
      </c>
      <c r="M490" s="16">
        <v>5.1435380000000004</v>
      </c>
      <c r="N490" s="16">
        <v>6.5555669999999999</v>
      </c>
      <c r="O490" s="16">
        <v>3.8483209999999999</v>
      </c>
      <c r="P490" s="17">
        <v>8.1184560000000001</v>
      </c>
      <c r="Q490" s="17">
        <v>6.8554219999999999</v>
      </c>
      <c r="R490" s="17">
        <v>4.6289379999999998</v>
      </c>
      <c r="S490" s="17">
        <v>8.4532900000000009</v>
      </c>
      <c r="AP490" s="35"/>
      <c r="AQ490" s="35"/>
      <c r="AR490" s="35"/>
      <c r="AS490" s="35"/>
    </row>
    <row r="491" spans="2:45" x14ac:dyDescent="0.2">
      <c r="B491" s="2">
        <v>43479.44971064815</v>
      </c>
      <c r="C491" s="5">
        <f t="shared" si="53"/>
        <v>16.74999933000003</v>
      </c>
      <c r="D491" s="14">
        <v>4.8306180000000003</v>
      </c>
      <c r="E491" s="14">
        <v>5.3026980000000004</v>
      </c>
      <c r="F491" s="14">
        <v>4.3057530000000002</v>
      </c>
      <c r="G491" s="14">
        <v>3.3485450000000001</v>
      </c>
      <c r="H491" s="15">
        <v>4.9153770000000003</v>
      </c>
      <c r="I491" s="15">
        <v>3.432544</v>
      </c>
      <c r="J491" s="15">
        <v>10.55585</v>
      </c>
      <c r="K491" s="15">
        <v>4.581842</v>
      </c>
      <c r="L491" s="16">
        <v>3.4378920000000002</v>
      </c>
      <c r="M491" s="16">
        <v>5.1435380000000004</v>
      </c>
      <c r="N491" s="16">
        <v>6.5555669999999999</v>
      </c>
      <c r="O491" s="16">
        <v>3.8483209999999999</v>
      </c>
      <c r="P491" s="17">
        <v>8.1241780000000006</v>
      </c>
      <c r="Q491" s="17">
        <v>6.8597140000000003</v>
      </c>
      <c r="R491" s="17">
        <v>4.641527</v>
      </c>
      <c r="S491" s="17">
        <v>8.4661650000000002</v>
      </c>
      <c r="AP491" s="35"/>
      <c r="AQ491" s="35"/>
      <c r="AR491" s="35"/>
      <c r="AS491" s="35"/>
    </row>
    <row r="492" spans="2:45" x14ac:dyDescent="0.2">
      <c r="B492" s="2">
        <v>43479.453182870369</v>
      </c>
      <c r="C492" s="5">
        <f t="shared" si="53"/>
        <v>16.833332660000028</v>
      </c>
      <c r="D492" s="14">
        <v>4.8306180000000003</v>
      </c>
      <c r="E492" s="14">
        <v>5.3075609999999998</v>
      </c>
      <c r="F492" s="14">
        <v>4.3116180000000002</v>
      </c>
      <c r="G492" s="14">
        <v>3.3619910000000002</v>
      </c>
      <c r="H492" s="15">
        <v>4.9172359999999999</v>
      </c>
      <c r="I492" s="15">
        <v>3.432544</v>
      </c>
      <c r="J492" s="15">
        <v>10.58418</v>
      </c>
      <c r="K492" s="15">
        <v>4.5819850000000004</v>
      </c>
      <c r="L492" s="16">
        <v>3.4378920000000002</v>
      </c>
      <c r="M492" s="16">
        <v>5.1435380000000004</v>
      </c>
      <c r="N492" s="16">
        <v>6.5555669999999999</v>
      </c>
      <c r="O492" s="16">
        <v>3.8483209999999999</v>
      </c>
      <c r="P492" s="17">
        <v>8.1298999999999992</v>
      </c>
      <c r="Q492" s="17">
        <v>6.8640059999999998</v>
      </c>
      <c r="R492" s="17">
        <v>4.654115</v>
      </c>
      <c r="S492" s="17">
        <v>8.4790390000000002</v>
      </c>
      <c r="AP492" s="35"/>
      <c r="AQ492" s="35"/>
      <c r="AR492" s="35"/>
      <c r="AS492" s="35"/>
    </row>
    <row r="493" spans="2:45" x14ac:dyDescent="0.2">
      <c r="B493" s="2">
        <v>43479.456655092596</v>
      </c>
      <c r="C493" s="5">
        <f t="shared" si="53"/>
        <v>16.916665990000027</v>
      </c>
      <c r="D493" s="14">
        <v>4.8306180000000003</v>
      </c>
      <c r="E493" s="14">
        <v>5.3124250000000002</v>
      </c>
      <c r="F493" s="14">
        <v>4.3174830000000002</v>
      </c>
      <c r="G493" s="14">
        <v>3.3754379999999999</v>
      </c>
      <c r="H493" s="15">
        <v>4.9190959999999997</v>
      </c>
      <c r="I493" s="15">
        <v>3.432544</v>
      </c>
      <c r="J493" s="15">
        <v>10.612500000000001</v>
      </c>
      <c r="K493" s="15">
        <v>4.5821290000000001</v>
      </c>
      <c r="L493" s="16">
        <v>3.4378920000000002</v>
      </c>
      <c r="M493" s="16">
        <v>5.1435380000000004</v>
      </c>
      <c r="N493" s="16">
        <v>6.5555669999999999</v>
      </c>
      <c r="O493" s="16">
        <v>3.8483209999999999</v>
      </c>
      <c r="P493" s="17">
        <v>8.1356219999999997</v>
      </c>
      <c r="Q493" s="17">
        <v>6.8682970000000001</v>
      </c>
      <c r="R493" s="17">
        <v>4.6667040000000002</v>
      </c>
      <c r="S493" s="17">
        <v>8.4919139999999995</v>
      </c>
      <c r="AP493" s="35"/>
      <c r="AQ493" s="35"/>
      <c r="AR493" s="35"/>
      <c r="AS493" s="35"/>
    </row>
    <row r="494" spans="2:45" x14ac:dyDescent="0.2">
      <c r="B494" s="2">
        <v>43479.460127314815</v>
      </c>
      <c r="C494" s="5">
        <f t="shared" si="53"/>
        <v>16.999999320000025</v>
      </c>
      <c r="D494" s="14">
        <v>4.8306180000000003</v>
      </c>
      <c r="E494" s="14">
        <v>5.3172889999999997</v>
      </c>
      <c r="F494" s="14">
        <v>4.3233480000000002</v>
      </c>
      <c r="G494" s="14">
        <v>3.3806150000000001</v>
      </c>
      <c r="H494" s="15">
        <v>4.9209560000000003</v>
      </c>
      <c r="I494" s="15">
        <v>3.432544</v>
      </c>
      <c r="J494" s="15">
        <v>10.62204</v>
      </c>
      <c r="K494" s="15">
        <v>4.5822719999999997</v>
      </c>
      <c r="L494" s="16">
        <v>3.4378920000000002</v>
      </c>
      <c r="M494" s="16">
        <v>5.1435380000000004</v>
      </c>
      <c r="N494" s="16">
        <v>6.5555669999999999</v>
      </c>
      <c r="O494" s="16">
        <v>3.8483209999999999</v>
      </c>
      <c r="P494" s="17">
        <v>8.1413440000000001</v>
      </c>
      <c r="Q494" s="17">
        <v>6.8725889999999996</v>
      </c>
      <c r="R494" s="17">
        <v>4.6798270000000004</v>
      </c>
      <c r="S494" s="17">
        <v>8.5047879999999996</v>
      </c>
      <c r="V494" s="25">
        <v>17</v>
      </c>
      <c r="W494">
        <f>AVERAGE(D483:D494)</f>
        <v>4.8306180000000003</v>
      </c>
      <c r="X494">
        <f t="shared" ref="X494:AL494" si="57">AVERAGE(E483:E494)</f>
        <v>5.2849195833333331</v>
      </c>
      <c r="Y494">
        <f t="shared" si="57"/>
        <v>4.2910900000000005</v>
      </c>
      <c r="Z494">
        <f t="shared" si="57"/>
        <v>3.314238416666667</v>
      </c>
      <c r="AA494">
        <f t="shared" si="57"/>
        <v>4.9107275000000001</v>
      </c>
      <c r="AB494">
        <f t="shared" si="57"/>
        <v>3.4323747499999997</v>
      </c>
      <c r="AC494">
        <f t="shared" si="57"/>
        <v>10.483477500000001</v>
      </c>
      <c r="AD494">
        <f t="shared" si="57"/>
        <v>4.5814846666666673</v>
      </c>
      <c r="AE494">
        <f t="shared" si="57"/>
        <v>3.4378920000000002</v>
      </c>
      <c r="AF494">
        <f t="shared" si="57"/>
        <v>5.1435380000000004</v>
      </c>
      <c r="AG494">
        <f t="shared" si="57"/>
        <v>6.5555669999999973</v>
      </c>
      <c r="AH494">
        <f t="shared" si="57"/>
        <v>3.848320999999999</v>
      </c>
      <c r="AI494">
        <f t="shared" si="57"/>
        <v>8.1135023333333329</v>
      </c>
      <c r="AJ494">
        <f t="shared" si="57"/>
        <v>6.8489851666666679</v>
      </c>
      <c r="AK494">
        <f t="shared" si="57"/>
        <v>4.6156509166666666</v>
      </c>
      <c r="AL494">
        <f t="shared" si="57"/>
        <v>8.4339780833333347</v>
      </c>
      <c r="AO494" s="25">
        <v>17</v>
      </c>
      <c r="AP494" s="35">
        <f>AVERAGE(W494:Z494)</f>
        <v>4.4302165000000002</v>
      </c>
      <c r="AQ494" s="35">
        <f>AVERAGE(AA494:AD494)</f>
        <v>5.8520161041666672</v>
      </c>
      <c r="AR494" s="35">
        <f>AVERAGE(AE494:AH494)</f>
        <v>4.746329499999999</v>
      </c>
      <c r="AS494" s="35">
        <f>AVERAGE(AI494:AL494)</f>
        <v>7.0030291250000012</v>
      </c>
    </row>
    <row r="495" spans="2:45" x14ac:dyDescent="0.2">
      <c r="B495" s="2">
        <v>43479.463599537034</v>
      </c>
      <c r="C495" s="5">
        <f t="shared" si="53"/>
        <v>17.083332650000024</v>
      </c>
      <c r="D495" s="14">
        <v>4.8306180000000003</v>
      </c>
      <c r="E495" s="14">
        <v>5.3221530000000001</v>
      </c>
      <c r="F495" s="14">
        <v>4.3292130000000002</v>
      </c>
      <c r="G495" s="14">
        <v>3.3806150000000001</v>
      </c>
      <c r="H495" s="15">
        <v>4.9228149999999999</v>
      </c>
      <c r="I495" s="15">
        <v>3.432544</v>
      </c>
      <c r="J495" s="15">
        <v>10.62204</v>
      </c>
      <c r="K495" s="15">
        <v>4.5824150000000001</v>
      </c>
      <c r="L495" s="16">
        <v>3.4378920000000002</v>
      </c>
      <c r="M495" s="16">
        <v>5.1435380000000004</v>
      </c>
      <c r="N495" s="16">
        <v>6.5555669999999999</v>
      </c>
      <c r="O495" s="16">
        <v>3.8483209999999999</v>
      </c>
      <c r="P495" s="17">
        <v>8.1470660000000006</v>
      </c>
      <c r="Q495" s="17">
        <v>6.8768799999999999</v>
      </c>
      <c r="R495" s="17">
        <v>4.6799010000000001</v>
      </c>
      <c r="S495" s="17">
        <v>8.5176630000000007</v>
      </c>
      <c r="AP495" s="35"/>
      <c r="AQ495" s="35"/>
      <c r="AR495" s="35"/>
      <c r="AS495" s="35"/>
    </row>
    <row r="496" spans="2:45" x14ac:dyDescent="0.2">
      <c r="B496" s="2">
        <v>43479.46707175926</v>
      </c>
      <c r="C496" s="5">
        <f t="shared" si="53"/>
        <v>17.166665980000023</v>
      </c>
      <c r="D496" s="14">
        <v>4.8306180000000003</v>
      </c>
      <c r="E496" s="14">
        <v>5.3270160000000004</v>
      </c>
      <c r="F496" s="14">
        <v>4.3350780000000002</v>
      </c>
      <c r="G496" s="14">
        <v>3.3887749999999999</v>
      </c>
      <c r="H496" s="15">
        <v>4.9246749999999997</v>
      </c>
      <c r="I496" s="15">
        <v>3.432544</v>
      </c>
      <c r="J496" s="15">
        <v>10.62204</v>
      </c>
      <c r="K496" s="15">
        <v>4.5825579999999997</v>
      </c>
      <c r="L496" s="16">
        <v>3.4378920000000002</v>
      </c>
      <c r="M496" s="16">
        <v>5.1435380000000004</v>
      </c>
      <c r="N496" s="16">
        <v>6.5555669999999999</v>
      </c>
      <c r="O496" s="16">
        <v>3.8483209999999999</v>
      </c>
      <c r="P496" s="17">
        <v>8.1527879999999993</v>
      </c>
      <c r="Q496" s="17">
        <v>6.8811720000000003</v>
      </c>
      <c r="R496" s="17">
        <v>4.6799010000000001</v>
      </c>
      <c r="S496" s="17">
        <v>8.530538</v>
      </c>
      <c r="AP496" s="35"/>
      <c r="AQ496" s="35"/>
      <c r="AR496" s="35"/>
      <c r="AS496" s="35"/>
    </row>
    <row r="497" spans="2:45" x14ac:dyDescent="0.2">
      <c r="B497" s="2">
        <v>43479.470543981479</v>
      </c>
      <c r="C497" s="5">
        <f t="shared" si="53"/>
        <v>17.249999310000021</v>
      </c>
      <c r="D497" s="14">
        <v>4.8306180000000003</v>
      </c>
      <c r="E497" s="14">
        <v>5.33188</v>
      </c>
      <c r="F497" s="14">
        <v>4.3409430000000002</v>
      </c>
      <c r="G497" s="14">
        <v>3.397859</v>
      </c>
      <c r="H497" s="15">
        <v>4.9265350000000003</v>
      </c>
      <c r="I497" s="15">
        <v>3.432544</v>
      </c>
      <c r="J497" s="15">
        <v>10.648389999999999</v>
      </c>
      <c r="K497" s="15">
        <v>4.5827010000000001</v>
      </c>
      <c r="L497" s="16">
        <v>3.4378920000000002</v>
      </c>
      <c r="M497" s="16">
        <v>5.1435380000000004</v>
      </c>
      <c r="N497" s="16">
        <v>6.5555669999999999</v>
      </c>
      <c r="O497" s="16">
        <v>3.8483209999999999</v>
      </c>
      <c r="P497" s="17">
        <v>8.1585099999999997</v>
      </c>
      <c r="Q497" s="17">
        <v>6.8854629999999997</v>
      </c>
      <c r="R497" s="17">
        <v>4.6799010000000001</v>
      </c>
      <c r="S497" s="17">
        <v>8.543412</v>
      </c>
      <c r="AP497" s="35"/>
      <c r="AQ497" s="35"/>
      <c r="AR497" s="35"/>
      <c r="AS497" s="35"/>
    </row>
    <row r="498" spans="2:45" x14ac:dyDescent="0.2">
      <c r="B498" s="2">
        <v>43479.474016203705</v>
      </c>
      <c r="C498" s="5">
        <f t="shared" si="53"/>
        <v>17.33333264000002</v>
      </c>
      <c r="D498" s="14">
        <v>4.8306180000000003</v>
      </c>
      <c r="E498" s="14">
        <v>5.3367440000000004</v>
      </c>
      <c r="F498" s="14">
        <v>4.3468080000000002</v>
      </c>
      <c r="G498" s="14">
        <v>3.4069430000000001</v>
      </c>
      <c r="H498" s="15">
        <v>4.9283939999999999</v>
      </c>
      <c r="I498" s="15">
        <v>3.432544</v>
      </c>
      <c r="J498" s="15">
        <v>10.67529</v>
      </c>
      <c r="K498" s="15">
        <v>4.5828439999999997</v>
      </c>
      <c r="L498" s="16">
        <v>3.4378920000000002</v>
      </c>
      <c r="M498" s="16">
        <v>5.1435380000000004</v>
      </c>
      <c r="N498" s="16">
        <v>6.5555669999999999</v>
      </c>
      <c r="O498" s="16">
        <v>3.8483209999999999</v>
      </c>
      <c r="P498" s="17">
        <v>8.1642320000000002</v>
      </c>
      <c r="Q498" s="17">
        <v>6.8897550000000001</v>
      </c>
      <c r="R498" s="17">
        <v>4.6805870000000001</v>
      </c>
      <c r="S498" s="17">
        <v>8.5562869999999993</v>
      </c>
      <c r="AP498" s="35"/>
      <c r="AQ498" s="35"/>
      <c r="AR498" s="35"/>
      <c r="AS498" s="35"/>
    </row>
    <row r="499" spans="2:45" x14ac:dyDescent="0.2">
      <c r="B499" s="2">
        <v>43479.477488425924</v>
      </c>
      <c r="C499" s="5">
        <f t="shared" si="53"/>
        <v>17.416665970000018</v>
      </c>
      <c r="D499" s="14">
        <v>4.8306180000000003</v>
      </c>
      <c r="E499" s="14">
        <v>5.3416079999999999</v>
      </c>
      <c r="F499" s="14">
        <v>4.3526740000000004</v>
      </c>
      <c r="G499" s="14">
        <v>3.4160270000000001</v>
      </c>
      <c r="H499" s="15">
        <v>4.9302539999999997</v>
      </c>
      <c r="I499" s="15">
        <v>3.432544</v>
      </c>
      <c r="J499" s="15">
        <v>10.70218</v>
      </c>
      <c r="K499" s="15">
        <v>4.5829870000000001</v>
      </c>
      <c r="L499" s="16">
        <v>3.4378920000000002</v>
      </c>
      <c r="M499" s="16">
        <v>5.1435380000000004</v>
      </c>
      <c r="N499" s="16">
        <v>6.5555669999999999</v>
      </c>
      <c r="O499" s="16">
        <v>3.8483209999999999</v>
      </c>
      <c r="P499" s="17">
        <v>8.1699540000000006</v>
      </c>
      <c r="Q499" s="17">
        <v>6.8940460000000003</v>
      </c>
      <c r="R499" s="17">
        <v>4.6835909999999998</v>
      </c>
      <c r="S499" s="17">
        <v>8.5691609999999994</v>
      </c>
      <c r="AP499" s="35"/>
      <c r="AQ499" s="35"/>
      <c r="AR499" s="35"/>
      <c r="AS499" s="35"/>
    </row>
    <row r="500" spans="2:45" x14ac:dyDescent="0.2">
      <c r="B500" s="2">
        <v>43479.48096064815</v>
      </c>
      <c r="C500" s="5">
        <f t="shared" si="53"/>
        <v>17.499999300000017</v>
      </c>
      <c r="D500" s="14">
        <v>4.8306180000000003</v>
      </c>
      <c r="E500" s="14">
        <v>5.3464710000000002</v>
      </c>
      <c r="F500" s="14">
        <v>4.3585390000000004</v>
      </c>
      <c r="G500" s="14">
        <v>3.4251100000000001</v>
      </c>
      <c r="H500" s="15">
        <v>4.9321140000000003</v>
      </c>
      <c r="I500" s="15">
        <v>3.432544</v>
      </c>
      <c r="J500" s="15">
        <v>10.72907</v>
      </c>
      <c r="K500" s="15">
        <v>4.5831299999999997</v>
      </c>
      <c r="L500" s="16">
        <v>3.4378920000000002</v>
      </c>
      <c r="M500" s="16">
        <v>5.1435380000000004</v>
      </c>
      <c r="N500" s="16">
        <v>6.5555669999999999</v>
      </c>
      <c r="O500" s="16">
        <v>3.8483209999999999</v>
      </c>
      <c r="P500" s="17">
        <v>8.1756759999999993</v>
      </c>
      <c r="Q500" s="17">
        <v>6.8983379999999999</v>
      </c>
      <c r="R500" s="17">
        <v>4.6865949999999996</v>
      </c>
      <c r="S500" s="17">
        <v>8.5820360000000004</v>
      </c>
      <c r="AP500" s="35"/>
      <c r="AQ500" s="35"/>
      <c r="AR500" s="35"/>
      <c r="AS500" s="35"/>
    </row>
    <row r="501" spans="2:45" x14ac:dyDescent="0.2">
      <c r="B501" s="2">
        <v>43479.484432870369</v>
      </c>
      <c r="C501" s="5">
        <f t="shared" si="53"/>
        <v>17.583332630000015</v>
      </c>
      <c r="D501" s="14">
        <v>4.8306180000000003</v>
      </c>
      <c r="E501" s="14">
        <v>5.3513349999999997</v>
      </c>
      <c r="F501" s="14">
        <v>4.3644040000000004</v>
      </c>
      <c r="G501" s="14">
        <v>3.4341940000000002</v>
      </c>
      <c r="H501" s="15">
        <v>4.9339729999999999</v>
      </c>
      <c r="I501" s="15">
        <v>3.432544</v>
      </c>
      <c r="J501" s="15">
        <v>10.75597</v>
      </c>
      <c r="K501" s="15">
        <v>4.5832730000000002</v>
      </c>
      <c r="L501" s="16">
        <v>3.4378920000000002</v>
      </c>
      <c r="M501" s="16">
        <v>5.1435380000000004</v>
      </c>
      <c r="N501" s="16">
        <v>6.5555669999999999</v>
      </c>
      <c r="O501" s="16">
        <v>3.8483209999999999</v>
      </c>
      <c r="P501" s="17">
        <v>8.1813979999999997</v>
      </c>
      <c r="Q501" s="17">
        <v>6.9026290000000001</v>
      </c>
      <c r="R501" s="17">
        <v>4.6895990000000003</v>
      </c>
      <c r="S501" s="17">
        <v>8.5949109999999997</v>
      </c>
      <c r="AP501" s="35"/>
      <c r="AQ501" s="35"/>
      <c r="AR501" s="35"/>
      <c r="AS501" s="35"/>
    </row>
    <row r="502" spans="2:45" x14ac:dyDescent="0.2">
      <c r="B502" s="2">
        <v>43479.487905092596</v>
      </c>
      <c r="C502" s="5">
        <f t="shared" si="53"/>
        <v>17.666665960000014</v>
      </c>
      <c r="D502" s="14">
        <v>4.8306180000000003</v>
      </c>
      <c r="E502" s="14">
        <v>5.3561990000000002</v>
      </c>
      <c r="F502" s="14">
        <v>4.3702690000000004</v>
      </c>
      <c r="G502" s="14">
        <v>3.4432779999999998</v>
      </c>
      <c r="H502" s="15">
        <v>4.9358329999999997</v>
      </c>
      <c r="I502" s="15">
        <v>3.432544</v>
      </c>
      <c r="J502" s="15">
        <v>10.782859999999999</v>
      </c>
      <c r="K502" s="15">
        <v>4.5834159999999997</v>
      </c>
      <c r="L502" s="16">
        <v>3.4378920000000002</v>
      </c>
      <c r="M502" s="16">
        <v>5.1435380000000004</v>
      </c>
      <c r="N502" s="16">
        <v>6.5555669999999999</v>
      </c>
      <c r="O502" s="16">
        <v>3.8483209999999999</v>
      </c>
      <c r="P502" s="17">
        <v>8.1871200000000002</v>
      </c>
      <c r="Q502" s="17">
        <v>6.9069209999999996</v>
      </c>
      <c r="R502" s="17">
        <v>4.6926030000000001</v>
      </c>
      <c r="S502" s="17">
        <v>8.6077849999999998</v>
      </c>
      <c r="AP502" s="35"/>
      <c r="AQ502" s="35"/>
      <c r="AR502" s="35"/>
      <c r="AS502" s="35"/>
    </row>
    <row r="503" spans="2:45" x14ac:dyDescent="0.2">
      <c r="B503" s="2">
        <v>43479.491377314815</v>
      </c>
      <c r="C503" s="5">
        <f t="shared" si="53"/>
        <v>17.749999290000012</v>
      </c>
      <c r="D503" s="14">
        <v>4.8306180000000003</v>
      </c>
      <c r="E503" s="14">
        <v>5.3610629999999997</v>
      </c>
      <c r="F503" s="14">
        <v>4.3761340000000004</v>
      </c>
      <c r="G503" s="14">
        <v>3.4523619999999999</v>
      </c>
      <c r="H503" s="15">
        <v>4.9376930000000003</v>
      </c>
      <c r="I503" s="15">
        <v>3.432544</v>
      </c>
      <c r="J503" s="15">
        <v>10.809760000000001</v>
      </c>
      <c r="K503" s="15">
        <v>4.5835590000000002</v>
      </c>
      <c r="L503" s="16">
        <v>3.4378920000000002</v>
      </c>
      <c r="M503" s="16">
        <v>5.1435380000000004</v>
      </c>
      <c r="N503" s="16">
        <v>6.5555669999999999</v>
      </c>
      <c r="O503" s="16">
        <v>3.8483209999999999</v>
      </c>
      <c r="P503" s="17">
        <v>8.1928420000000006</v>
      </c>
      <c r="Q503" s="17">
        <v>6.9112119999999999</v>
      </c>
      <c r="R503" s="17">
        <v>4.6956069999999999</v>
      </c>
      <c r="S503" s="17">
        <v>8.6206600000000009</v>
      </c>
      <c r="AP503" s="35"/>
      <c r="AQ503" s="35"/>
      <c r="AR503" s="35"/>
      <c r="AS503" s="35"/>
    </row>
    <row r="504" spans="2:45" x14ac:dyDescent="0.2">
      <c r="B504" s="2">
        <v>43479.494849537034</v>
      </c>
      <c r="C504" s="5">
        <f t="shared" si="53"/>
        <v>17.833332620000011</v>
      </c>
      <c r="D504" s="14">
        <v>4.8306180000000003</v>
      </c>
      <c r="E504" s="14">
        <v>5.365926</v>
      </c>
      <c r="F504" s="14">
        <v>4.3819990000000004</v>
      </c>
      <c r="G504" s="14">
        <v>3.4614449999999999</v>
      </c>
      <c r="H504" s="15">
        <v>4.9395519999999999</v>
      </c>
      <c r="I504" s="15">
        <v>3.432544</v>
      </c>
      <c r="J504" s="15">
        <v>10.836650000000001</v>
      </c>
      <c r="K504" s="15">
        <v>4.5837019999999997</v>
      </c>
      <c r="L504" s="16">
        <v>3.4378920000000002</v>
      </c>
      <c r="M504" s="16">
        <v>5.1435380000000004</v>
      </c>
      <c r="N504" s="16">
        <v>6.5555669999999999</v>
      </c>
      <c r="O504" s="16">
        <v>3.8483209999999999</v>
      </c>
      <c r="P504" s="17">
        <v>8.1985650000000003</v>
      </c>
      <c r="Q504" s="17">
        <v>6.9155040000000003</v>
      </c>
      <c r="R504" s="17">
        <v>4.6986109999999996</v>
      </c>
      <c r="S504" s="17">
        <v>8.6335339999999992</v>
      </c>
      <c r="AP504" s="35"/>
      <c r="AQ504" s="35"/>
      <c r="AR504" s="35"/>
      <c r="AS504" s="35"/>
    </row>
    <row r="505" spans="2:45" x14ac:dyDescent="0.2">
      <c r="B505" s="2">
        <v>43479.49832175926</v>
      </c>
      <c r="C505" s="5">
        <f t="shared" si="53"/>
        <v>17.916665950000009</v>
      </c>
      <c r="D505" s="14">
        <v>4.8306180000000003</v>
      </c>
      <c r="E505" s="14">
        <v>5.3707900000000004</v>
      </c>
      <c r="F505" s="14">
        <v>4.3878640000000004</v>
      </c>
      <c r="G505" s="14">
        <v>3.470529</v>
      </c>
      <c r="H505" s="15">
        <v>4.9414119999999997</v>
      </c>
      <c r="I505" s="15">
        <v>3.432544</v>
      </c>
      <c r="J505" s="15">
        <v>10.86354</v>
      </c>
      <c r="K505" s="15">
        <v>4.5838450000000002</v>
      </c>
      <c r="L505" s="16">
        <v>3.4378920000000002</v>
      </c>
      <c r="M505" s="16">
        <v>5.1435380000000004</v>
      </c>
      <c r="N505" s="16">
        <v>6.5555669999999999</v>
      </c>
      <c r="O505" s="16">
        <v>3.8483209999999999</v>
      </c>
      <c r="P505" s="17">
        <v>8.2042870000000008</v>
      </c>
      <c r="Q505" s="17">
        <v>6.9197959999999998</v>
      </c>
      <c r="R505" s="17">
        <v>4.7016150000000003</v>
      </c>
      <c r="S505" s="17">
        <v>8.6464090000000002</v>
      </c>
      <c r="AP505" s="35"/>
      <c r="AQ505" s="35"/>
      <c r="AR505" s="35"/>
      <c r="AS505" s="35"/>
    </row>
    <row r="506" spans="2:45" x14ac:dyDescent="0.2">
      <c r="B506" s="2">
        <v>43479.501793981479</v>
      </c>
      <c r="C506" s="5">
        <f t="shared" si="53"/>
        <v>17.999999280000008</v>
      </c>
      <c r="D506" s="14">
        <v>4.8306180000000003</v>
      </c>
      <c r="E506" s="14">
        <v>5.3756539999999999</v>
      </c>
      <c r="F506" s="14">
        <v>4.3937290000000004</v>
      </c>
      <c r="G506" s="14">
        <v>3.4796130000000001</v>
      </c>
      <c r="H506" s="15">
        <v>4.9432720000000003</v>
      </c>
      <c r="I506" s="15">
        <v>3.432544</v>
      </c>
      <c r="J506" s="15">
        <v>10.89044</v>
      </c>
      <c r="K506" s="15">
        <v>4.5839879999999997</v>
      </c>
      <c r="L506" s="16">
        <v>3.4378920000000002</v>
      </c>
      <c r="M506" s="16">
        <v>5.1435380000000004</v>
      </c>
      <c r="N506" s="16">
        <v>6.5555669999999999</v>
      </c>
      <c r="O506" s="16">
        <v>3.8483209999999999</v>
      </c>
      <c r="P506" s="17">
        <v>8.2100089999999994</v>
      </c>
      <c r="Q506" s="17">
        <v>6.9240870000000001</v>
      </c>
      <c r="R506" s="17">
        <v>4.7046190000000001</v>
      </c>
      <c r="S506" s="17">
        <v>8.6592839999999995</v>
      </c>
      <c r="V506" s="25">
        <v>18</v>
      </c>
      <c r="W506">
        <f>AVERAGE(D495:D506)</f>
        <v>4.8306180000000003</v>
      </c>
      <c r="X506">
        <f t="shared" ref="X506:AL506" si="58">AVERAGE(E495:E506)</f>
        <v>5.3489032500000002</v>
      </c>
      <c r="Y506">
        <f t="shared" si="58"/>
        <v>4.361471166666667</v>
      </c>
      <c r="Z506">
        <f t="shared" si="58"/>
        <v>3.4297291666666667</v>
      </c>
      <c r="AA506">
        <f t="shared" si="58"/>
        <v>4.933043500000001</v>
      </c>
      <c r="AB506">
        <f t="shared" si="58"/>
        <v>3.432544</v>
      </c>
      <c r="AC506">
        <f t="shared" si="58"/>
        <v>10.7448525</v>
      </c>
      <c r="AD506">
        <f t="shared" si="58"/>
        <v>4.5832014999999995</v>
      </c>
      <c r="AE506">
        <f t="shared" si="58"/>
        <v>3.4378920000000002</v>
      </c>
      <c r="AF506">
        <f t="shared" si="58"/>
        <v>5.1435380000000004</v>
      </c>
      <c r="AG506">
        <f t="shared" si="58"/>
        <v>6.5555669999999973</v>
      </c>
      <c r="AH506">
        <f t="shared" si="58"/>
        <v>3.848320999999999</v>
      </c>
      <c r="AI506">
        <f t="shared" si="58"/>
        <v>8.1785372500000015</v>
      </c>
      <c r="AJ506">
        <f t="shared" si="58"/>
        <v>6.900483583333334</v>
      </c>
      <c r="AK506">
        <f t="shared" si="58"/>
        <v>4.6894274999999999</v>
      </c>
      <c r="AL506">
        <f t="shared" si="58"/>
        <v>8.588473333333333</v>
      </c>
      <c r="AO506" s="25">
        <v>18</v>
      </c>
      <c r="AP506" s="35">
        <f>AVERAGE(W506:Z506)</f>
        <v>4.4926803958333341</v>
      </c>
      <c r="AQ506" s="35">
        <f>AVERAGE(AA506:AD506)</f>
        <v>5.9234103749999996</v>
      </c>
      <c r="AR506" s="35">
        <f>AVERAGE(AE506:AH506)</f>
        <v>4.746329499999999</v>
      </c>
      <c r="AS506" s="35">
        <f>AVERAGE(AI506:AL506)</f>
        <v>7.0892304166666671</v>
      </c>
    </row>
    <row r="507" spans="2:45" x14ac:dyDescent="0.2">
      <c r="B507" s="2">
        <v>43479.505266203705</v>
      </c>
      <c r="C507" s="5">
        <f t="shared" si="53"/>
        <v>18.083332610000006</v>
      </c>
      <c r="D507" s="14">
        <v>4.8306180000000003</v>
      </c>
      <c r="E507" s="14">
        <v>5.3776120000000001</v>
      </c>
      <c r="F507" s="14">
        <v>4.3995939999999996</v>
      </c>
      <c r="G507" s="14">
        <v>3.4886970000000002</v>
      </c>
      <c r="H507" s="15">
        <v>4.9451309999999999</v>
      </c>
      <c r="I507" s="15">
        <v>3.432544</v>
      </c>
      <c r="J507" s="15">
        <v>10.91733</v>
      </c>
      <c r="K507" s="15">
        <v>4.5841310000000002</v>
      </c>
      <c r="L507" s="16">
        <v>3.4378920000000002</v>
      </c>
      <c r="M507" s="16">
        <v>5.1435380000000004</v>
      </c>
      <c r="N507" s="16">
        <v>6.5555669999999999</v>
      </c>
      <c r="O507" s="16">
        <v>3.8483209999999999</v>
      </c>
      <c r="P507" s="17">
        <v>8.2157309999999999</v>
      </c>
      <c r="Q507" s="17">
        <v>6.9283789999999996</v>
      </c>
      <c r="R507" s="17">
        <v>4.7076229999999999</v>
      </c>
      <c r="S507" s="17">
        <v>8.6721579999999996</v>
      </c>
      <c r="AP507" s="35"/>
      <c r="AQ507" s="35"/>
      <c r="AR507" s="35"/>
      <c r="AS507" s="35"/>
    </row>
    <row r="508" spans="2:45" x14ac:dyDescent="0.2">
      <c r="B508" s="2">
        <v>43479.508738425924</v>
      </c>
      <c r="C508" s="5">
        <f t="shared" si="53"/>
        <v>18.166665940000005</v>
      </c>
      <c r="D508" s="14">
        <v>4.8306180000000003</v>
      </c>
      <c r="E508" s="14">
        <v>5.3867669999999999</v>
      </c>
      <c r="F508" s="14">
        <v>4.4054589999999996</v>
      </c>
      <c r="G508" s="14">
        <v>3.4977800000000001</v>
      </c>
      <c r="H508" s="15">
        <v>4.9469909999999997</v>
      </c>
      <c r="I508" s="15">
        <v>3.432544</v>
      </c>
      <c r="J508" s="15">
        <v>10.94422</v>
      </c>
      <c r="K508" s="15">
        <v>4.5842739999999997</v>
      </c>
      <c r="L508" s="16">
        <v>3.4378920000000002</v>
      </c>
      <c r="M508" s="16">
        <v>5.1435380000000004</v>
      </c>
      <c r="N508" s="16">
        <v>6.5555669999999999</v>
      </c>
      <c r="O508" s="16">
        <v>3.8483209999999999</v>
      </c>
      <c r="P508" s="17">
        <v>8.2214530000000003</v>
      </c>
      <c r="Q508" s="17">
        <v>6.9326699999999999</v>
      </c>
      <c r="R508" s="17">
        <v>4.7106279999999998</v>
      </c>
      <c r="S508" s="17">
        <v>8.6850330000000007</v>
      </c>
      <c r="AP508" s="35"/>
      <c r="AQ508" s="35"/>
      <c r="AR508" s="35"/>
      <c r="AS508" s="35"/>
    </row>
    <row r="509" spans="2:45" x14ac:dyDescent="0.2">
      <c r="B509" s="2">
        <v>43479.51221064815</v>
      </c>
      <c r="C509" s="5">
        <f t="shared" si="53"/>
        <v>18.249999270000004</v>
      </c>
      <c r="D509" s="14">
        <v>4.8306180000000003</v>
      </c>
      <c r="E509" s="14">
        <v>5.3959219999999997</v>
      </c>
      <c r="F509" s="14">
        <v>4.4113249999999997</v>
      </c>
      <c r="G509" s="14">
        <v>3.5068640000000002</v>
      </c>
      <c r="H509" s="15">
        <v>4.9488510000000003</v>
      </c>
      <c r="I509" s="15">
        <v>3.432544</v>
      </c>
      <c r="J509" s="15">
        <v>10.971120000000001</v>
      </c>
      <c r="K509" s="15">
        <v>4.5844170000000002</v>
      </c>
      <c r="L509" s="16">
        <v>3.4378920000000002</v>
      </c>
      <c r="M509" s="16">
        <v>5.1435380000000004</v>
      </c>
      <c r="N509" s="16">
        <v>6.5555669999999999</v>
      </c>
      <c r="O509" s="16">
        <v>3.8483209999999999</v>
      </c>
      <c r="P509" s="17">
        <v>8.2271750000000008</v>
      </c>
      <c r="Q509" s="17">
        <v>6.9369620000000003</v>
      </c>
      <c r="R509" s="17">
        <v>4.7136319999999996</v>
      </c>
      <c r="S509" s="17">
        <v>8.6979070000000007</v>
      </c>
      <c r="AP509" s="35"/>
      <c r="AQ509" s="35"/>
      <c r="AR509" s="35"/>
      <c r="AS509" s="35"/>
    </row>
    <row r="510" spans="2:45" x14ac:dyDescent="0.2">
      <c r="B510" s="2">
        <v>43479.515682870369</v>
      </c>
      <c r="C510" s="5">
        <f t="shared" si="53"/>
        <v>18.333332600000002</v>
      </c>
      <c r="D510" s="14">
        <v>4.8306180000000003</v>
      </c>
      <c r="E510" s="14">
        <v>5.4050770000000004</v>
      </c>
      <c r="F510" s="14">
        <v>4.4171899999999997</v>
      </c>
      <c r="G510" s="14">
        <v>3.5159479999999999</v>
      </c>
      <c r="H510" s="15">
        <v>4.9507099999999999</v>
      </c>
      <c r="I510" s="15">
        <v>3.432544</v>
      </c>
      <c r="J510" s="15">
        <v>10.998010000000001</v>
      </c>
      <c r="K510" s="15">
        <v>4.5845599999999997</v>
      </c>
      <c r="L510" s="16">
        <v>3.4378920000000002</v>
      </c>
      <c r="M510" s="16">
        <v>5.1435380000000004</v>
      </c>
      <c r="N510" s="16">
        <v>6.5555669999999999</v>
      </c>
      <c r="O510" s="16">
        <v>3.8483209999999999</v>
      </c>
      <c r="P510" s="17">
        <v>8.2328969999999995</v>
      </c>
      <c r="Q510" s="17">
        <v>6.9412529999999997</v>
      </c>
      <c r="R510" s="17">
        <v>4.7166360000000003</v>
      </c>
      <c r="S510" s="17">
        <v>8.710782</v>
      </c>
      <c r="AP510" s="35"/>
      <c r="AQ510" s="35"/>
      <c r="AR510" s="35"/>
      <c r="AS510" s="35"/>
    </row>
    <row r="511" spans="2:45" x14ac:dyDescent="0.2">
      <c r="B511" s="2">
        <v>43479.519155092596</v>
      </c>
      <c r="C511" s="5">
        <f t="shared" si="53"/>
        <v>18.416665930000001</v>
      </c>
      <c r="D511" s="14">
        <v>4.8306180000000003</v>
      </c>
      <c r="E511" s="14">
        <v>5.4142330000000003</v>
      </c>
      <c r="F511" s="14">
        <v>4.4230549999999997</v>
      </c>
      <c r="G511" s="14">
        <v>3.5250319999999999</v>
      </c>
      <c r="H511" s="15">
        <v>4.9525699999999997</v>
      </c>
      <c r="I511" s="15">
        <v>3.432544</v>
      </c>
      <c r="J511" s="15">
        <v>11.024900000000001</v>
      </c>
      <c r="K511" s="15">
        <v>4.5847030000000002</v>
      </c>
      <c r="L511" s="16">
        <v>3.4378920000000002</v>
      </c>
      <c r="M511" s="16">
        <v>5.1435380000000004</v>
      </c>
      <c r="N511" s="16">
        <v>6.5555669999999999</v>
      </c>
      <c r="O511" s="16">
        <v>3.8483209999999999</v>
      </c>
      <c r="P511" s="17">
        <v>8.2386189999999999</v>
      </c>
      <c r="Q511" s="17">
        <v>6.9455450000000001</v>
      </c>
      <c r="R511" s="17">
        <v>4.718413</v>
      </c>
      <c r="S511" s="17">
        <v>8.7236569999999993</v>
      </c>
      <c r="AP511" s="35"/>
      <c r="AQ511" s="35"/>
      <c r="AR511" s="35"/>
      <c r="AS511" s="35"/>
    </row>
    <row r="512" spans="2:45" x14ac:dyDescent="0.2">
      <c r="B512" s="2">
        <v>43479.522627314815</v>
      </c>
      <c r="C512" s="5">
        <f t="shared" si="53"/>
        <v>18.499999259999999</v>
      </c>
      <c r="D512" s="14">
        <v>4.8306180000000003</v>
      </c>
      <c r="E512" s="14">
        <v>5.4233880000000001</v>
      </c>
      <c r="F512" s="14">
        <v>4.4289199999999997</v>
      </c>
      <c r="G512" s="14">
        <v>3.531981</v>
      </c>
      <c r="H512" s="15">
        <v>4.9544300000000003</v>
      </c>
      <c r="I512" s="15">
        <v>3.432544</v>
      </c>
      <c r="J512" s="15">
        <v>11.0518</v>
      </c>
      <c r="K512" s="15">
        <v>4.5848459999999998</v>
      </c>
      <c r="L512" s="16">
        <v>3.4378920000000002</v>
      </c>
      <c r="M512" s="16">
        <v>5.1435380000000004</v>
      </c>
      <c r="N512" s="16">
        <v>6.5555669999999999</v>
      </c>
      <c r="O512" s="16">
        <v>3.8483209999999999</v>
      </c>
      <c r="P512" s="17">
        <v>8.2443410000000004</v>
      </c>
      <c r="Q512" s="17">
        <v>6.9498360000000003</v>
      </c>
      <c r="R512" s="17">
        <v>4.718413</v>
      </c>
      <c r="S512" s="17">
        <v>8.7365309999999994</v>
      </c>
      <c r="AP512" s="35"/>
      <c r="AQ512" s="35"/>
      <c r="AR512" s="35"/>
      <c r="AS512" s="35"/>
    </row>
    <row r="513" spans="2:45" x14ac:dyDescent="0.2">
      <c r="B513" s="2">
        <v>43479.526099537034</v>
      </c>
      <c r="C513" s="5">
        <f t="shared" si="53"/>
        <v>18.583332589999998</v>
      </c>
      <c r="D513" s="14">
        <v>4.8306180000000003</v>
      </c>
      <c r="E513" s="14">
        <v>5.4325429999999999</v>
      </c>
      <c r="F513" s="14">
        <v>4.4347849999999998</v>
      </c>
      <c r="G513" s="14">
        <v>3.531981</v>
      </c>
      <c r="H513" s="15">
        <v>4.9562889999999999</v>
      </c>
      <c r="I513" s="15">
        <v>3.432544</v>
      </c>
      <c r="J513" s="15">
        <v>11.064439999999999</v>
      </c>
      <c r="K513" s="15">
        <v>4.5849900000000003</v>
      </c>
      <c r="L513" s="16">
        <v>3.4378920000000002</v>
      </c>
      <c r="M513" s="16">
        <v>5.1435380000000004</v>
      </c>
      <c r="N513" s="16">
        <v>6.5555669999999999</v>
      </c>
      <c r="O513" s="16">
        <v>3.8483209999999999</v>
      </c>
      <c r="P513" s="17">
        <v>8.2500630000000008</v>
      </c>
      <c r="Q513" s="17">
        <v>6.9541279999999999</v>
      </c>
      <c r="R513" s="17">
        <v>4.718413</v>
      </c>
      <c r="S513" s="17">
        <v>8.7494060000000005</v>
      </c>
      <c r="AP513" s="35"/>
      <c r="AQ513" s="35"/>
      <c r="AR513" s="35"/>
      <c r="AS513" s="35"/>
    </row>
    <row r="514" spans="2:45" x14ac:dyDescent="0.2">
      <c r="B514" s="2">
        <v>43479.52957175926</v>
      </c>
      <c r="C514" s="5">
        <f t="shared" si="53"/>
        <v>18.666665919999996</v>
      </c>
      <c r="D514" s="14">
        <v>4.8306180000000003</v>
      </c>
      <c r="E514" s="14">
        <v>5.4416989999999998</v>
      </c>
      <c r="F514" s="14">
        <v>4.4406499999999998</v>
      </c>
      <c r="G514" s="14">
        <v>3.531981</v>
      </c>
      <c r="H514" s="15">
        <v>4.9581489999999997</v>
      </c>
      <c r="I514" s="15">
        <v>3.432544</v>
      </c>
      <c r="J514" s="15">
        <v>11.08343</v>
      </c>
      <c r="K514" s="15">
        <v>4.5851240000000004</v>
      </c>
      <c r="L514" s="16">
        <v>3.4378920000000002</v>
      </c>
      <c r="M514" s="16">
        <v>5.1539099999999998</v>
      </c>
      <c r="N514" s="16">
        <v>6.5555669999999999</v>
      </c>
      <c r="O514" s="16">
        <v>3.8483209999999999</v>
      </c>
      <c r="P514" s="17">
        <v>8.2557849999999995</v>
      </c>
      <c r="Q514" s="17">
        <v>6.9584190000000001</v>
      </c>
      <c r="R514" s="17">
        <v>4.718413</v>
      </c>
      <c r="S514" s="17">
        <v>8.7622800000000005</v>
      </c>
      <c r="AP514" s="35"/>
      <c r="AQ514" s="35"/>
      <c r="AR514" s="35"/>
      <c r="AS514" s="35"/>
    </row>
    <row r="515" spans="2:45" x14ac:dyDescent="0.2">
      <c r="B515" s="2">
        <v>43479.533043981479</v>
      </c>
      <c r="C515" s="5">
        <f t="shared" si="53"/>
        <v>18.749999249999995</v>
      </c>
      <c r="D515" s="14">
        <v>4.8306180000000003</v>
      </c>
      <c r="E515" s="14">
        <v>5.4508539999999996</v>
      </c>
      <c r="F515" s="14">
        <v>4.4465149999999998</v>
      </c>
      <c r="G515" s="14">
        <v>3.531981</v>
      </c>
      <c r="H515" s="15">
        <v>4.9600090000000003</v>
      </c>
      <c r="I515" s="15">
        <v>3.432544</v>
      </c>
      <c r="J515" s="15">
        <v>11.105169999999999</v>
      </c>
      <c r="K515" s="15">
        <v>4.5851240000000004</v>
      </c>
      <c r="L515" s="16">
        <v>3.4378920000000002</v>
      </c>
      <c r="M515" s="16">
        <v>5.1700739999999996</v>
      </c>
      <c r="N515" s="16">
        <v>6.5742909999999997</v>
      </c>
      <c r="O515" s="16">
        <v>3.8483209999999999</v>
      </c>
      <c r="P515" s="17">
        <v>8.2615069999999999</v>
      </c>
      <c r="Q515" s="17">
        <v>6.9627109999999997</v>
      </c>
      <c r="R515" s="17">
        <v>4.718413</v>
      </c>
      <c r="S515" s="17">
        <v>8.7751549999999998</v>
      </c>
      <c r="AP515" s="35"/>
      <c r="AQ515" s="35"/>
      <c r="AR515" s="35"/>
      <c r="AS515" s="35"/>
    </row>
    <row r="516" spans="2:45" x14ac:dyDescent="0.2">
      <c r="B516" s="2">
        <v>43479.536516203705</v>
      </c>
      <c r="C516" s="5">
        <f t="shared" ref="C516:C579" si="59">C515+0.08333333</f>
        <v>18.833332579999993</v>
      </c>
      <c r="D516" s="14">
        <v>4.8306180000000003</v>
      </c>
      <c r="E516" s="14">
        <v>5.4600090000000003</v>
      </c>
      <c r="F516" s="14">
        <v>4.4523799999999998</v>
      </c>
      <c r="G516" s="14">
        <v>3.531981</v>
      </c>
      <c r="H516" s="15">
        <v>4.9618679999999999</v>
      </c>
      <c r="I516" s="15">
        <v>3.432544</v>
      </c>
      <c r="J516" s="15">
        <v>11.126910000000001</v>
      </c>
      <c r="K516" s="15">
        <v>4.5851240000000004</v>
      </c>
      <c r="L516" s="16">
        <v>3.4378920000000002</v>
      </c>
      <c r="M516" s="16">
        <v>5.1862389999999996</v>
      </c>
      <c r="N516" s="16">
        <v>6.5944609999999999</v>
      </c>
      <c r="O516" s="16">
        <v>3.8483209999999999</v>
      </c>
      <c r="P516" s="17">
        <v>8.2672290000000004</v>
      </c>
      <c r="Q516" s="17">
        <v>6.9670019999999999</v>
      </c>
      <c r="R516" s="17">
        <v>4.718413</v>
      </c>
      <c r="S516" s="17">
        <v>8.7880299999999991</v>
      </c>
      <c r="AP516" s="35"/>
      <c r="AQ516" s="35"/>
      <c r="AR516" s="35"/>
      <c r="AS516" s="35"/>
    </row>
    <row r="517" spans="2:45" x14ac:dyDescent="0.2">
      <c r="B517" s="2">
        <v>43479.539988425924</v>
      </c>
      <c r="C517" s="5">
        <f t="shared" si="59"/>
        <v>18.916665909999992</v>
      </c>
      <c r="D517" s="14">
        <v>4.8306180000000003</v>
      </c>
      <c r="E517" s="14">
        <v>5.4691640000000001</v>
      </c>
      <c r="F517" s="14">
        <v>4.4582449999999998</v>
      </c>
      <c r="G517" s="14">
        <v>3.531981</v>
      </c>
      <c r="H517" s="15">
        <v>4.9637279999999997</v>
      </c>
      <c r="I517" s="15">
        <v>3.432544</v>
      </c>
      <c r="J517" s="15">
        <v>11.14866</v>
      </c>
      <c r="K517" s="15">
        <v>4.5851240000000004</v>
      </c>
      <c r="L517" s="16">
        <v>3.4378920000000002</v>
      </c>
      <c r="M517" s="16">
        <v>5.2024039999999996</v>
      </c>
      <c r="N517" s="16">
        <v>6.6146320000000003</v>
      </c>
      <c r="O517" s="16">
        <v>3.8483209999999999</v>
      </c>
      <c r="P517" s="17">
        <v>8.2729510000000008</v>
      </c>
      <c r="Q517" s="17">
        <v>6.9679609999999998</v>
      </c>
      <c r="R517" s="17">
        <v>4.718413</v>
      </c>
      <c r="S517" s="17">
        <v>8.8009039999999992</v>
      </c>
      <c r="AP517" s="35"/>
      <c r="AQ517" s="35"/>
      <c r="AR517" s="35"/>
      <c r="AS517" s="35"/>
    </row>
    <row r="518" spans="2:45" x14ac:dyDescent="0.2">
      <c r="B518" s="2">
        <v>43479.54346064815</v>
      </c>
      <c r="C518" s="5">
        <f t="shared" si="59"/>
        <v>18.99999923999999</v>
      </c>
      <c r="D518" s="14">
        <v>4.8306180000000003</v>
      </c>
      <c r="E518" s="14">
        <v>5.4783200000000001</v>
      </c>
      <c r="F518" s="14">
        <v>4.4641099999999998</v>
      </c>
      <c r="G518" s="14">
        <v>3.531981</v>
      </c>
      <c r="H518" s="15">
        <v>4.9655880000000003</v>
      </c>
      <c r="I518" s="15">
        <v>3.432544</v>
      </c>
      <c r="J518" s="15">
        <v>11.170400000000001</v>
      </c>
      <c r="K518" s="15">
        <v>4.5851240000000004</v>
      </c>
      <c r="L518" s="16">
        <v>3.4378920000000002</v>
      </c>
      <c r="M518" s="16">
        <v>5.2185689999999996</v>
      </c>
      <c r="N518" s="16">
        <v>6.6348019999999996</v>
      </c>
      <c r="O518" s="16">
        <v>3.8483209999999999</v>
      </c>
      <c r="P518" s="17">
        <v>8.2786729999999995</v>
      </c>
      <c r="Q518" s="17">
        <v>6.969563</v>
      </c>
      <c r="R518" s="17">
        <v>4.718413</v>
      </c>
      <c r="S518" s="17">
        <v>8.8137790000000003</v>
      </c>
      <c r="V518" s="25">
        <v>19</v>
      </c>
      <c r="W518">
        <f>AVERAGE(D507:D518)</f>
        <v>4.8306180000000003</v>
      </c>
      <c r="X518">
        <f t="shared" ref="X518:AL518" si="60">AVERAGE(E507:E518)</f>
        <v>5.4279656666666662</v>
      </c>
      <c r="Y518">
        <f t="shared" si="60"/>
        <v>4.4318523333333317</v>
      </c>
      <c r="Z518">
        <f t="shared" si="60"/>
        <v>3.5215156666666676</v>
      </c>
      <c r="AA518">
        <f t="shared" si="60"/>
        <v>4.9553595000000001</v>
      </c>
      <c r="AB518">
        <f t="shared" si="60"/>
        <v>3.432544</v>
      </c>
      <c r="AC518">
        <f t="shared" si="60"/>
        <v>11.050532500000001</v>
      </c>
      <c r="AD518">
        <f t="shared" si="60"/>
        <v>4.5847950833333337</v>
      </c>
      <c r="AE518">
        <f t="shared" si="60"/>
        <v>3.4378920000000002</v>
      </c>
      <c r="AF518">
        <f t="shared" si="60"/>
        <v>5.1613301666666667</v>
      </c>
      <c r="AG518">
        <f t="shared" si="60"/>
        <v>6.5718934999999981</v>
      </c>
      <c r="AH518">
        <f t="shared" si="60"/>
        <v>3.848320999999999</v>
      </c>
      <c r="AI518">
        <f t="shared" si="60"/>
        <v>8.2472019999999997</v>
      </c>
      <c r="AJ518">
        <f t="shared" si="60"/>
        <v>6.9512024166666651</v>
      </c>
      <c r="AK518">
        <f t="shared" si="60"/>
        <v>4.7163185833333321</v>
      </c>
      <c r="AL518">
        <f t="shared" si="60"/>
        <v>8.7429684999999999</v>
      </c>
      <c r="AO518" s="25">
        <v>19</v>
      </c>
      <c r="AP518" s="35">
        <f>AVERAGE(W518:Z518)</f>
        <v>4.552987916666666</v>
      </c>
      <c r="AQ518" s="35">
        <f>AVERAGE(AA518:AD518)</f>
        <v>6.0058077708333339</v>
      </c>
      <c r="AR518" s="35">
        <f>AVERAGE(AE518:AH518)</f>
        <v>4.754859166666666</v>
      </c>
      <c r="AS518" s="35">
        <f>AVERAGE(AI518:AL518)</f>
        <v>7.1644228749999996</v>
      </c>
    </row>
    <row r="519" spans="2:45" x14ac:dyDescent="0.2">
      <c r="B519" s="2">
        <v>43479.546932870369</v>
      </c>
      <c r="C519" s="5">
        <f t="shared" si="59"/>
        <v>19.083332569999989</v>
      </c>
      <c r="D519" s="14">
        <v>4.8306180000000003</v>
      </c>
      <c r="E519" s="14">
        <v>5.4874749999999999</v>
      </c>
      <c r="F519" s="14">
        <v>4.4699749999999998</v>
      </c>
      <c r="G519" s="14">
        <v>3.531981</v>
      </c>
      <c r="H519" s="15">
        <v>4.9674469999999999</v>
      </c>
      <c r="I519" s="15">
        <v>3.432544</v>
      </c>
      <c r="J519" s="15">
        <v>11.19215</v>
      </c>
      <c r="K519" s="15">
        <v>4.5851240000000004</v>
      </c>
      <c r="L519" s="16">
        <v>3.4378920000000002</v>
      </c>
      <c r="M519" s="16">
        <v>5.2347340000000004</v>
      </c>
      <c r="N519" s="16">
        <v>6.6549719999999999</v>
      </c>
      <c r="O519" s="16">
        <v>3.8483209999999999</v>
      </c>
      <c r="P519" s="17">
        <v>8.284395</v>
      </c>
      <c r="Q519" s="17">
        <v>6.9718520000000002</v>
      </c>
      <c r="R519" s="17">
        <v>4.718413</v>
      </c>
      <c r="S519" s="17">
        <v>8.8266530000000003</v>
      </c>
      <c r="AP519" s="35"/>
      <c r="AQ519" s="35"/>
      <c r="AR519" s="35"/>
      <c r="AS519" s="35"/>
    </row>
    <row r="520" spans="2:45" x14ac:dyDescent="0.2">
      <c r="B520" s="2">
        <v>43479.550405092596</v>
      </c>
      <c r="C520" s="5">
        <f t="shared" si="59"/>
        <v>19.166665899999987</v>
      </c>
      <c r="D520" s="14">
        <v>4.830965</v>
      </c>
      <c r="E520" s="14">
        <v>5.4966299999999997</v>
      </c>
      <c r="F520" s="14">
        <v>4.475841</v>
      </c>
      <c r="G520" s="14">
        <v>3.531981</v>
      </c>
      <c r="H520" s="15">
        <v>4.9693069999999997</v>
      </c>
      <c r="I520" s="15">
        <v>3.432544</v>
      </c>
      <c r="J520" s="15">
        <v>11.213889999999999</v>
      </c>
      <c r="K520" s="15">
        <v>4.5851240000000004</v>
      </c>
      <c r="L520" s="16">
        <v>3.4378920000000002</v>
      </c>
      <c r="M520" s="16">
        <v>5.2508980000000003</v>
      </c>
      <c r="N520" s="16">
        <v>6.6751420000000001</v>
      </c>
      <c r="O520" s="16">
        <v>3.8483209999999999</v>
      </c>
      <c r="P520" s="17">
        <v>8.2901170000000004</v>
      </c>
      <c r="Q520" s="17">
        <v>6.9741410000000004</v>
      </c>
      <c r="R520" s="17">
        <v>4.718413</v>
      </c>
      <c r="S520" s="17">
        <v>8.8395279999999996</v>
      </c>
      <c r="AP520" s="35"/>
      <c r="AQ520" s="35"/>
      <c r="AR520" s="35"/>
      <c r="AS520" s="35"/>
    </row>
    <row r="521" spans="2:45" x14ac:dyDescent="0.2">
      <c r="B521" s="2">
        <v>43479.553877314815</v>
      </c>
      <c r="C521" s="5">
        <f t="shared" si="59"/>
        <v>19.249999229999986</v>
      </c>
      <c r="D521" s="14">
        <v>4.8313940000000004</v>
      </c>
      <c r="E521" s="14">
        <v>5.5057850000000004</v>
      </c>
      <c r="F521" s="14">
        <v>4.481706</v>
      </c>
      <c r="G521" s="14">
        <v>3.5370750000000002</v>
      </c>
      <c r="H521" s="15">
        <v>4.9700480000000002</v>
      </c>
      <c r="I521" s="15">
        <v>3.432544</v>
      </c>
      <c r="J521" s="15">
        <v>11.23563</v>
      </c>
      <c r="K521" s="15">
        <v>4.5851240000000004</v>
      </c>
      <c r="L521" s="16">
        <v>3.4378920000000002</v>
      </c>
      <c r="M521" s="16">
        <v>5.2670630000000003</v>
      </c>
      <c r="N521" s="16">
        <v>6.6953129999999996</v>
      </c>
      <c r="O521" s="16">
        <v>3.8483209999999999</v>
      </c>
      <c r="P521" s="17">
        <v>8.2958390000000009</v>
      </c>
      <c r="Q521" s="17">
        <v>6.9764290000000004</v>
      </c>
      <c r="R521" s="17">
        <v>4.718413</v>
      </c>
      <c r="S521" s="17">
        <v>8.8524030000000007</v>
      </c>
      <c r="AP521" s="35"/>
      <c r="AQ521" s="35"/>
      <c r="AR521" s="35"/>
      <c r="AS521" s="35"/>
    </row>
    <row r="522" spans="2:45" x14ac:dyDescent="0.2">
      <c r="B522" s="2">
        <v>43479.557349537034</v>
      </c>
      <c r="C522" s="5">
        <f t="shared" si="59"/>
        <v>19.333332559999985</v>
      </c>
      <c r="D522" s="14">
        <v>4.831823</v>
      </c>
      <c r="E522" s="14">
        <v>5.5149410000000003</v>
      </c>
      <c r="F522" s="14">
        <v>4.487571</v>
      </c>
      <c r="G522" s="14">
        <v>3.5445850000000001</v>
      </c>
      <c r="H522" s="15">
        <v>4.97011</v>
      </c>
      <c r="I522" s="15">
        <v>3.432544</v>
      </c>
      <c r="J522" s="15">
        <v>11.257379999999999</v>
      </c>
      <c r="K522" s="15">
        <v>4.5851240000000004</v>
      </c>
      <c r="L522" s="16">
        <v>3.4378920000000002</v>
      </c>
      <c r="M522" s="16">
        <v>5.2832280000000003</v>
      </c>
      <c r="N522" s="16">
        <v>6.7154829999999999</v>
      </c>
      <c r="O522" s="16">
        <v>3.8483209999999999</v>
      </c>
      <c r="P522" s="17">
        <v>8.3015609999999995</v>
      </c>
      <c r="Q522" s="17">
        <v>6.9787179999999998</v>
      </c>
      <c r="R522" s="17">
        <v>4.718413</v>
      </c>
      <c r="S522" s="17">
        <v>8.8652770000000007</v>
      </c>
      <c r="AP522" s="35"/>
      <c r="AQ522" s="35"/>
      <c r="AR522" s="35"/>
      <c r="AS522" s="35"/>
    </row>
    <row r="523" spans="2:45" x14ac:dyDescent="0.2">
      <c r="B523" s="2">
        <v>43479.56082175926</v>
      </c>
      <c r="C523" s="5">
        <f t="shared" si="59"/>
        <v>19.416665889999983</v>
      </c>
      <c r="D523" s="14">
        <v>4.8322520000000004</v>
      </c>
      <c r="E523" s="14">
        <v>5.5240960000000001</v>
      </c>
      <c r="F523" s="14">
        <v>4.493436</v>
      </c>
      <c r="G523" s="14">
        <v>3.552095</v>
      </c>
      <c r="H523" s="15">
        <v>4.9713969999999996</v>
      </c>
      <c r="I523" s="15">
        <v>3.432544</v>
      </c>
      <c r="J523" s="15">
        <v>11.279120000000001</v>
      </c>
      <c r="K523" s="15">
        <v>4.5851240000000004</v>
      </c>
      <c r="L523" s="16">
        <v>3.4378920000000002</v>
      </c>
      <c r="M523" s="16">
        <v>5.2993930000000002</v>
      </c>
      <c r="N523" s="16">
        <v>6.7356530000000001</v>
      </c>
      <c r="O523" s="16">
        <v>3.8483209999999999</v>
      </c>
      <c r="P523" s="17">
        <v>8.307283</v>
      </c>
      <c r="Q523" s="17">
        <v>6.981007</v>
      </c>
      <c r="R523" s="17">
        <v>4.718413</v>
      </c>
      <c r="S523" s="17">
        <v>8.878152</v>
      </c>
      <c r="AP523" s="35"/>
      <c r="AQ523" s="35"/>
      <c r="AR523" s="35"/>
      <c r="AS523" s="35"/>
    </row>
    <row r="524" spans="2:45" x14ac:dyDescent="0.2">
      <c r="B524" s="2">
        <v>43479.564293981479</v>
      </c>
      <c r="C524" s="5">
        <f t="shared" si="59"/>
        <v>19.499999219999982</v>
      </c>
      <c r="D524" s="14">
        <v>4.832681</v>
      </c>
      <c r="E524" s="14">
        <v>5.5332509999999999</v>
      </c>
      <c r="F524" s="14">
        <v>4.499301</v>
      </c>
      <c r="G524" s="14">
        <v>3.559606</v>
      </c>
      <c r="H524" s="15">
        <v>4.9726850000000002</v>
      </c>
      <c r="I524" s="15">
        <v>3.432544</v>
      </c>
      <c r="J524" s="15">
        <v>11.30087</v>
      </c>
      <c r="K524" s="15">
        <v>4.5851240000000004</v>
      </c>
      <c r="L524" s="16">
        <v>3.4378920000000002</v>
      </c>
      <c r="M524" s="16">
        <v>5.3155570000000001</v>
      </c>
      <c r="N524" s="16">
        <v>6.7558230000000004</v>
      </c>
      <c r="O524" s="16">
        <v>3.8483209999999999</v>
      </c>
      <c r="P524" s="17">
        <v>8.3130050000000004</v>
      </c>
      <c r="Q524" s="17">
        <v>6.9832960000000002</v>
      </c>
      <c r="R524" s="17">
        <v>4.718413</v>
      </c>
      <c r="S524" s="17">
        <v>8.8910260000000001</v>
      </c>
      <c r="AP524" s="35"/>
      <c r="AQ524" s="35"/>
      <c r="AR524" s="35"/>
      <c r="AS524" s="35"/>
    </row>
    <row r="525" spans="2:45" x14ac:dyDescent="0.2">
      <c r="B525" s="2">
        <v>43479.567766203705</v>
      </c>
      <c r="C525" s="5">
        <f t="shared" si="59"/>
        <v>19.58333254999998</v>
      </c>
      <c r="D525" s="14">
        <v>4.8331099999999996</v>
      </c>
      <c r="E525" s="14">
        <v>5.5424069999999999</v>
      </c>
      <c r="F525" s="14">
        <v>4.505166</v>
      </c>
      <c r="G525" s="14">
        <v>3.567116</v>
      </c>
      <c r="H525" s="15">
        <v>4.9739719999999998</v>
      </c>
      <c r="I525" s="15">
        <v>3.432544</v>
      </c>
      <c r="J525" s="15">
        <v>11.322609999999999</v>
      </c>
      <c r="K525" s="15">
        <v>4.5851240000000004</v>
      </c>
      <c r="L525" s="16">
        <v>3.4378920000000002</v>
      </c>
      <c r="M525" s="16">
        <v>5.3317220000000001</v>
      </c>
      <c r="N525" s="16">
        <v>6.7759929999999997</v>
      </c>
      <c r="O525" s="16">
        <v>3.8483209999999999</v>
      </c>
      <c r="P525" s="17">
        <v>8.3138260000000006</v>
      </c>
      <c r="Q525" s="17">
        <v>6.9855850000000004</v>
      </c>
      <c r="R525" s="17">
        <v>4.718413</v>
      </c>
      <c r="S525" s="17">
        <v>8.9039009999999994</v>
      </c>
      <c r="AP525" s="35"/>
      <c r="AQ525" s="35"/>
      <c r="AR525" s="35"/>
      <c r="AS525" s="35"/>
    </row>
    <row r="526" spans="2:45" x14ac:dyDescent="0.2">
      <c r="B526" s="2">
        <v>43479.571238425924</v>
      </c>
      <c r="C526" s="5">
        <f t="shared" si="59"/>
        <v>19.666665879999979</v>
      </c>
      <c r="D526" s="14">
        <v>4.833539</v>
      </c>
      <c r="E526" s="14">
        <v>5.5515619999999997</v>
      </c>
      <c r="F526" s="14">
        <v>4.511031</v>
      </c>
      <c r="G526" s="14">
        <v>3.5746259999999999</v>
      </c>
      <c r="H526" s="15">
        <v>4.9752599999999996</v>
      </c>
      <c r="I526" s="15">
        <v>3.432544</v>
      </c>
      <c r="J526" s="15">
        <v>11.34435</v>
      </c>
      <c r="K526" s="15">
        <v>4.5851240000000004</v>
      </c>
      <c r="L526" s="16">
        <v>3.4378920000000002</v>
      </c>
      <c r="M526" s="16">
        <v>5.3478870000000001</v>
      </c>
      <c r="N526" s="16">
        <v>6.7961640000000001</v>
      </c>
      <c r="O526" s="16">
        <v>3.8483209999999999</v>
      </c>
      <c r="P526" s="17">
        <v>8.3138260000000006</v>
      </c>
      <c r="Q526" s="17">
        <v>6.9878739999999997</v>
      </c>
      <c r="R526" s="17">
        <v>4.718413</v>
      </c>
      <c r="S526" s="17">
        <v>8.9167760000000005</v>
      </c>
      <c r="AP526" s="35"/>
      <c r="AQ526" s="35"/>
      <c r="AR526" s="35"/>
      <c r="AS526" s="35"/>
    </row>
    <row r="527" spans="2:45" x14ac:dyDescent="0.2">
      <c r="B527" s="2">
        <v>43479.57471064815</v>
      </c>
      <c r="C527" s="5">
        <f t="shared" si="59"/>
        <v>19.749999209999977</v>
      </c>
      <c r="D527" s="14">
        <v>4.8339689999999997</v>
      </c>
      <c r="E527" s="14">
        <v>5.5607170000000004</v>
      </c>
      <c r="F527" s="14">
        <v>4.516896</v>
      </c>
      <c r="G527" s="14">
        <v>3.5821360000000002</v>
      </c>
      <c r="H527" s="15">
        <v>4.9765470000000001</v>
      </c>
      <c r="I527" s="15">
        <v>3.432544</v>
      </c>
      <c r="J527" s="15">
        <v>11.366099999999999</v>
      </c>
      <c r="K527" s="15">
        <v>4.5851240000000004</v>
      </c>
      <c r="L527" s="16">
        <v>3.4378920000000002</v>
      </c>
      <c r="M527" s="16">
        <v>5.364052</v>
      </c>
      <c r="N527" s="16">
        <v>6.8163340000000003</v>
      </c>
      <c r="O527" s="16">
        <v>3.8483209999999999</v>
      </c>
      <c r="P527" s="17">
        <v>8.3138260000000006</v>
      </c>
      <c r="Q527" s="17">
        <v>6.9901619999999998</v>
      </c>
      <c r="R527" s="17">
        <v>4.718413</v>
      </c>
      <c r="S527" s="17">
        <v>8.9296500000000005</v>
      </c>
      <c r="AP527" s="35"/>
      <c r="AQ527" s="35"/>
      <c r="AR527" s="35"/>
      <c r="AS527" s="35"/>
    </row>
    <row r="528" spans="2:45" x14ac:dyDescent="0.2">
      <c r="B528" s="2">
        <v>43479.578182870369</v>
      </c>
      <c r="C528" s="5">
        <f t="shared" si="59"/>
        <v>19.833332539999976</v>
      </c>
      <c r="D528" s="14">
        <v>4.8343980000000002</v>
      </c>
      <c r="E528" s="14">
        <v>5.5698720000000002</v>
      </c>
      <c r="F528" s="14">
        <v>4.522761</v>
      </c>
      <c r="G528" s="14">
        <v>3.5896460000000001</v>
      </c>
      <c r="H528" s="15">
        <v>4.9778349999999998</v>
      </c>
      <c r="I528" s="15">
        <v>3.432544</v>
      </c>
      <c r="J528" s="15">
        <v>11.387840000000001</v>
      </c>
      <c r="K528" s="15">
        <v>4.5851240000000004</v>
      </c>
      <c r="L528" s="16">
        <v>3.4378920000000002</v>
      </c>
      <c r="M528" s="16">
        <v>5.380217</v>
      </c>
      <c r="N528" s="16">
        <v>6.8365039999999997</v>
      </c>
      <c r="O528" s="16">
        <v>3.8483209999999999</v>
      </c>
      <c r="P528" s="17">
        <v>8.3138260000000006</v>
      </c>
      <c r="Q528" s="17">
        <v>6.992451</v>
      </c>
      <c r="R528" s="17">
        <v>4.718413</v>
      </c>
      <c r="S528" s="17">
        <v>8.9425249999999998</v>
      </c>
      <c r="AP528" s="35"/>
      <c r="AQ528" s="35"/>
      <c r="AR528" s="35"/>
      <c r="AS528" s="35"/>
    </row>
    <row r="529" spans="2:45" x14ac:dyDescent="0.2">
      <c r="B529" s="2">
        <v>43479.581655092596</v>
      </c>
      <c r="C529" s="5">
        <f t="shared" si="59"/>
        <v>19.916665869999974</v>
      </c>
      <c r="D529" s="14">
        <v>4.8348269999999998</v>
      </c>
      <c r="E529" s="14">
        <v>5.5790280000000001</v>
      </c>
      <c r="F529" s="14">
        <v>4.528626</v>
      </c>
      <c r="G529" s="14">
        <v>3.5971570000000002</v>
      </c>
      <c r="H529" s="15">
        <v>4.9791220000000003</v>
      </c>
      <c r="I529" s="15">
        <v>3.432544</v>
      </c>
      <c r="J529" s="15">
        <v>11.40958</v>
      </c>
      <c r="K529" s="15">
        <v>4.5851240000000004</v>
      </c>
      <c r="L529" s="16">
        <v>3.4378920000000002</v>
      </c>
      <c r="M529" s="16">
        <v>5.3963809999999999</v>
      </c>
      <c r="N529" s="16">
        <v>6.8566739999999999</v>
      </c>
      <c r="O529" s="16">
        <v>3.8483209999999999</v>
      </c>
      <c r="P529" s="17">
        <v>8.3138260000000006</v>
      </c>
      <c r="Q529" s="17">
        <v>6.9947400000000002</v>
      </c>
      <c r="R529" s="17">
        <v>4.718413</v>
      </c>
      <c r="S529" s="17">
        <v>8.9553999999999991</v>
      </c>
      <c r="AP529" s="35"/>
      <c r="AQ529" s="35"/>
      <c r="AR529" s="35"/>
      <c r="AS529" s="35"/>
    </row>
    <row r="530" spans="2:45" x14ac:dyDescent="0.2">
      <c r="B530" s="2">
        <v>43479.585127314815</v>
      </c>
      <c r="C530" s="5">
        <f t="shared" si="59"/>
        <v>19.999999199999973</v>
      </c>
      <c r="D530" s="14">
        <v>4.8352560000000002</v>
      </c>
      <c r="E530" s="14">
        <v>5.5881829999999999</v>
      </c>
      <c r="F530" s="14">
        <v>4.5344920000000002</v>
      </c>
      <c r="G530" s="14">
        <v>3.6046670000000001</v>
      </c>
      <c r="H530" s="15">
        <v>4.98041</v>
      </c>
      <c r="I530" s="15">
        <v>3.432544</v>
      </c>
      <c r="J530" s="15">
        <v>11.431330000000001</v>
      </c>
      <c r="K530" s="15">
        <v>4.5851240000000004</v>
      </c>
      <c r="L530" s="16">
        <v>3.4396309999999999</v>
      </c>
      <c r="M530" s="16">
        <v>5.4125459999999999</v>
      </c>
      <c r="N530" s="16">
        <v>6.8768440000000002</v>
      </c>
      <c r="O530" s="16">
        <v>3.8483209999999999</v>
      </c>
      <c r="P530" s="17">
        <v>8.3138260000000006</v>
      </c>
      <c r="Q530" s="17">
        <v>6.9970290000000004</v>
      </c>
      <c r="R530" s="17">
        <v>4.718413</v>
      </c>
      <c r="S530" s="17">
        <v>8.9688580000000009</v>
      </c>
      <c r="V530" s="25">
        <v>20</v>
      </c>
      <c r="W530">
        <f>AVERAGE(D519:D530)</f>
        <v>4.8329026666666666</v>
      </c>
      <c r="X530">
        <f t="shared" ref="X530:AL530" si="61">AVERAGE(E519:E530)</f>
        <v>5.5378289166666663</v>
      </c>
      <c r="Y530">
        <f t="shared" si="61"/>
        <v>4.5022335</v>
      </c>
      <c r="Z530">
        <f t="shared" si="61"/>
        <v>3.5643892500000001</v>
      </c>
      <c r="AA530">
        <f t="shared" si="61"/>
        <v>4.9736783333333339</v>
      </c>
      <c r="AB530">
        <f t="shared" si="61"/>
        <v>3.432544</v>
      </c>
      <c r="AC530">
        <f t="shared" si="61"/>
        <v>11.3117375</v>
      </c>
      <c r="AD530">
        <f t="shared" si="61"/>
        <v>4.5851240000000004</v>
      </c>
      <c r="AE530">
        <f t="shared" si="61"/>
        <v>3.4380369166666669</v>
      </c>
      <c r="AF530">
        <f t="shared" si="61"/>
        <v>5.323639833333333</v>
      </c>
      <c r="AG530">
        <f t="shared" si="61"/>
        <v>6.7659082499999998</v>
      </c>
      <c r="AH530">
        <f t="shared" si="61"/>
        <v>3.848320999999999</v>
      </c>
      <c r="AI530">
        <f t="shared" si="61"/>
        <v>8.3062630000000013</v>
      </c>
      <c r="AJ530">
        <f t="shared" si="61"/>
        <v>6.9844403333333345</v>
      </c>
      <c r="AK530">
        <f t="shared" si="61"/>
        <v>4.7184129999999991</v>
      </c>
      <c r="AL530">
        <f t="shared" si="61"/>
        <v>8.8975124166666664</v>
      </c>
      <c r="AO530" s="25">
        <v>20</v>
      </c>
      <c r="AP530" s="35">
        <f>AVERAGE(W530:Z530)</f>
        <v>4.6093385833333338</v>
      </c>
      <c r="AQ530" s="35">
        <f>AVERAGE(AA530:AD530)</f>
        <v>6.075770958333333</v>
      </c>
      <c r="AR530" s="35">
        <f>AVERAGE(AE530:AH530)</f>
        <v>4.8439764999999992</v>
      </c>
      <c r="AS530" s="35">
        <f>AVERAGE(AI530:AL530)</f>
        <v>7.2266571875000007</v>
      </c>
    </row>
    <row r="531" spans="2:45" x14ac:dyDescent="0.2">
      <c r="B531" s="2">
        <v>43479.588599537034</v>
      </c>
      <c r="C531" s="5">
        <f t="shared" si="59"/>
        <v>20.083332529999971</v>
      </c>
      <c r="D531" s="14">
        <v>4.8356849999999998</v>
      </c>
      <c r="E531" s="14">
        <v>5.593585</v>
      </c>
      <c r="F531" s="14">
        <v>4.5403570000000002</v>
      </c>
      <c r="G531" s="14">
        <v>3.612177</v>
      </c>
      <c r="H531" s="15">
        <v>4.9816969999999996</v>
      </c>
      <c r="I531" s="15">
        <v>3.432544</v>
      </c>
      <c r="J531" s="15">
        <v>11.45307</v>
      </c>
      <c r="K531" s="15">
        <v>4.5851240000000004</v>
      </c>
      <c r="L531" s="16">
        <v>3.458942</v>
      </c>
      <c r="M531" s="16">
        <v>5.4287109999999998</v>
      </c>
      <c r="N531" s="16">
        <v>6.8970149999999997</v>
      </c>
      <c r="O531" s="16">
        <v>3.8483209999999999</v>
      </c>
      <c r="P531" s="17">
        <v>8.3138260000000006</v>
      </c>
      <c r="Q531" s="17">
        <v>6.9993179999999997</v>
      </c>
      <c r="R531" s="17">
        <v>4.718413</v>
      </c>
      <c r="S531" s="17">
        <v>8.9690469999999998</v>
      </c>
      <c r="AP531" s="35"/>
      <c r="AQ531" s="35"/>
      <c r="AR531" s="35"/>
      <c r="AS531" s="35"/>
    </row>
    <row r="532" spans="2:45" x14ac:dyDescent="0.2">
      <c r="B532" s="2">
        <v>43479.59207175926</v>
      </c>
      <c r="C532" s="5">
        <f t="shared" si="59"/>
        <v>20.16666585999997</v>
      </c>
      <c r="D532" s="14">
        <v>4.8361140000000002</v>
      </c>
      <c r="E532" s="14">
        <v>5.5958439999999996</v>
      </c>
      <c r="F532" s="14">
        <v>4.5462220000000002</v>
      </c>
      <c r="G532" s="14">
        <v>3.6196869999999999</v>
      </c>
      <c r="H532" s="15">
        <v>4.9820209999999996</v>
      </c>
      <c r="I532" s="15">
        <v>3.432544</v>
      </c>
      <c r="J532" s="15">
        <v>11.474819999999999</v>
      </c>
      <c r="K532" s="15">
        <v>4.5851240000000004</v>
      </c>
      <c r="L532" s="16">
        <v>3.4782540000000002</v>
      </c>
      <c r="M532" s="16">
        <v>5.4448759999999998</v>
      </c>
      <c r="N532" s="16">
        <v>6.9171849999999999</v>
      </c>
      <c r="O532" s="16">
        <v>3.8483209999999999</v>
      </c>
      <c r="P532" s="17">
        <v>8.3138260000000006</v>
      </c>
      <c r="Q532" s="17">
        <v>7.0016059999999998</v>
      </c>
      <c r="R532" s="17">
        <v>4.718413</v>
      </c>
      <c r="S532" s="17">
        <v>8.9690469999999998</v>
      </c>
      <c r="AP532" s="35"/>
      <c r="AQ532" s="35"/>
      <c r="AR532" s="35"/>
      <c r="AS532" s="35"/>
    </row>
    <row r="533" spans="2:45" x14ac:dyDescent="0.2">
      <c r="B533" s="2">
        <v>43479.595543981479</v>
      </c>
      <c r="C533" s="5">
        <f t="shared" si="59"/>
        <v>20.249999189999969</v>
      </c>
      <c r="D533" s="14">
        <v>4.836544</v>
      </c>
      <c r="E533" s="14">
        <v>5.5991340000000003</v>
      </c>
      <c r="F533" s="14">
        <v>4.5520870000000002</v>
      </c>
      <c r="G533" s="14">
        <v>3.6271969999999998</v>
      </c>
      <c r="H533" s="15">
        <v>4.9820209999999996</v>
      </c>
      <c r="I533" s="15">
        <v>3.432544</v>
      </c>
      <c r="J533" s="15">
        <v>11.477349999999999</v>
      </c>
      <c r="K533" s="15">
        <v>4.5851240000000004</v>
      </c>
      <c r="L533" s="16">
        <v>3.497566</v>
      </c>
      <c r="M533" s="16">
        <v>5.4610399999999997</v>
      </c>
      <c r="N533" s="16">
        <v>6.9373550000000002</v>
      </c>
      <c r="O533" s="16">
        <v>3.8483209999999999</v>
      </c>
      <c r="P533" s="17">
        <v>8.3138260000000006</v>
      </c>
      <c r="Q533" s="17">
        <v>7.003895</v>
      </c>
      <c r="R533" s="17">
        <v>4.718413</v>
      </c>
      <c r="S533" s="17">
        <v>8.9690469999999998</v>
      </c>
      <c r="AP533" s="35"/>
      <c r="AQ533" s="35"/>
      <c r="AR533" s="35"/>
      <c r="AS533" s="35"/>
    </row>
    <row r="534" spans="2:45" x14ac:dyDescent="0.2">
      <c r="B534" s="2">
        <v>43479.599016203705</v>
      </c>
      <c r="C534" s="5">
        <f t="shared" si="59"/>
        <v>20.333332519999967</v>
      </c>
      <c r="D534" s="14">
        <v>4.8369730000000004</v>
      </c>
      <c r="E534" s="14">
        <v>5.6024240000000001</v>
      </c>
      <c r="F534" s="14">
        <v>4.5579520000000002</v>
      </c>
      <c r="G534" s="14">
        <v>3.6347070000000001</v>
      </c>
      <c r="H534" s="15">
        <v>4.9820209999999996</v>
      </c>
      <c r="I534" s="15">
        <v>3.432544</v>
      </c>
      <c r="J534" s="15">
        <v>11.477349999999999</v>
      </c>
      <c r="K534" s="15">
        <v>4.5851240000000004</v>
      </c>
      <c r="L534" s="16">
        <v>3.5168780000000002</v>
      </c>
      <c r="M534" s="16">
        <v>5.4772049999999997</v>
      </c>
      <c r="N534" s="16">
        <v>6.9575250000000004</v>
      </c>
      <c r="O534" s="16">
        <v>3.8483209999999999</v>
      </c>
      <c r="P534" s="17">
        <v>8.3138260000000006</v>
      </c>
      <c r="Q534" s="17">
        <v>7.0061840000000002</v>
      </c>
      <c r="R534" s="17">
        <v>4.718413</v>
      </c>
      <c r="S534" s="17">
        <v>8.9690469999999998</v>
      </c>
      <c r="AP534" s="35"/>
      <c r="AQ534" s="35"/>
      <c r="AR534" s="35"/>
      <c r="AS534" s="35"/>
    </row>
    <row r="535" spans="2:45" x14ac:dyDescent="0.2">
      <c r="B535" s="2">
        <v>43479.602488425924</v>
      </c>
      <c r="C535" s="5">
        <f t="shared" si="59"/>
        <v>20.416665849999966</v>
      </c>
      <c r="D535" s="14">
        <v>4.837402</v>
      </c>
      <c r="E535" s="14">
        <v>5.6057139999999999</v>
      </c>
      <c r="F535" s="14">
        <v>4.5638170000000002</v>
      </c>
      <c r="G535" s="14">
        <v>3.6422180000000002</v>
      </c>
      <c r="H535" s="15">
        <v>4.9863390000000001</v>
      </c>
      <c r="I535" s="15">
        <v>3.432544</v>
      </c>
      <c r="J535" s="15">
        <v>11.477349999999999</v>
      </c>
      <c r="K535" s="15">
        <v>4.5851240000000004</v>
      </c>
      <c r="L535" s="16">
        <v>3.5361899999999999</v>
      </c>
      <c r="M535" s="16">
        <v>5.4933699999999996</v>
      </c>
      <c r="N535" s="16">
        <v>6.9776949999999998</v>
      </c>
      <c r="O535" s="16">
        <v>3.8483209999999999</v>
      </c>
      <c r="P535" s="17">
        <v>8.3138260000000006</v>
      </c>
      <c r="Q535" s="17">
        <v>7.0084730000000004</v>
      </c>
      <c r="R535" s="17">
        <v>4.718413</v>
      </c>
      <c r="S535" s="17">
        <v>8.9690469999999998</v>
      </c>
      <c r="AP535" s="35"/>
      <c r="AQ535" s="35"/>
      <c r="AR535" s="35"/>
      <c r="AS535" s="35"/>
    </row>
    <row r="536" spans="2:45" x14ac:dyDescent="0.2">
      <c r="B536" s="2">
        <v>43479.60596064815</v>
      </c>
      <c r="C536" s="5">
        <f t="shared" si="59"/>
        <v>20.499999179999964</v>
      </c>
      <c r="D536" s="14">
        <v>4.837466</v>
      </c>
      <c r="E536" s="14">
        <v>5.6090039999999997</v>
      </c>
      <c r="F536" s="14">
        <v>4.5651359999999999</v>
      </c>
      <c r="G536" s="14">
        <v>3.6497280000000001</v>
      </c>
      <c r="H536" s="15">
        <v>4.9914880000000004</v>
      </c>
      <c r="I536" s="15">
        <v>3.432544</v>
      </c>
      <c r="J536" s="15">
        <v>11.477349999999999</v>
      </c>
      <c r="K536" s="15">
        <v>4.5851240000000004</v>
      </c>
      <c r="L536" s="16">
        <v>3.5555020000000002</v>
      </c>
      <c r="M536" s="16">
        <v>5.5095349999999996</v>
      </c>
      <c r="N536" s="16">
        <v>6.9978660000000001</v>
      </c>
      <c r="O536" s="16">
        <v>3.8483209999999999</v>
      </c>
      <c r="P536" s="17">
        <v>8.3138260000000006</v>
      </c>
      <c r="Q536" s="17">
        <v>7.0107619999999997</v>
      </c>
      <c r="R536" s="17">
        <v>4.718413</v>
      </c>
      <c r="S536" s="17">
        <v>8.9690469999999998</v>
      </c>
      <c r="AP536" s="35"/>
      <c r="AQ536" s="35"/>
      <c r="AR536" s="35"/>
      <c r="AS536" s="35"/>
    </row>
    <row r="537" spans="2:45" x14ac:dyDescent="0.2">
      <c r="B537" s="2">
        <v>43479.609432870369</v>
      </c>
      <c r="C537" s="5">
        <f t="shared" si="59"/>
        <v>20.583332509999963</v>
      </c>
      <c r="D537" s="14">
        <v>4.849577</v>
      </c>
      <c r="E537" s="14">
        <v>5.6122949999999996</v>
      </c>
      <c r="F537" s="14">
        <v>4.5651359999999999</v>
      </c>
      <c r="G537" s="14">
        <v>3.657238</v>
      </c>
      <c r="H537" s="15">
        <v>4.9966379999999999</v>
      </c>
      <c r="I537" s="15">
        <v>3.432544</v>
      </c>
      <c r="J537" s="15">
        <v>11.477349999999999</v>
      </c>
      <c r="K537" s="15">
        <v>4.5851240000000004</v>
      </c>
      <c r="L537" s="16">
        <v>3.5748139999999999</v>
      </c>
      <c r="M537" s="16">
        <v>5.5256999999999996</v>
      </c>
      <c r="N537" s="16">
        <v>7.0180360000000004</v>
      </c>
      <c r="O537" s="16">
        <v>3.8483209999999999</v>
      </c>
      <c r="P537" s="17">
        <v>8.3138260000000006</v>
      </c>
      <c r="Q537" s="17">
        <v>7.0130509999999999</v>
      </c>
      <c r="R537" s="17">
        <v>4.718413</v>
      </c>
      <c r="S537" s="17">
        <v>8.9690469999999998</v>
      </c>
      <c r="AP537" s="35"/>
      <c r="AQ537" s="35"/>
      <c r="AR537" s="35"/>
      <c r="AS537" s="35"/>
    </row>
    <row r="538" spans="2:45" x14ac:dyDescent="0.2">
      <c r="B538" s="2">
        <v>43479.612905092596</v>
      </c>
      <c r="C538" s="5">
        <f t="shared" si="59"/>
        <v>20.666665839999961</v>
      </c>
      <c r="D538" s="14">
        <v>4.8714639999999996</v>
      </c>
      <c r="E538" s="14">
        <v>5.6155850000000003</v>
      </c>
      <c r="F538" s="14">
        <v>4.5651359999999999</v>
      </c>
      <c r="G538" s="14">
        <v>3.6647479999999999</v>
      </c>
      <c r="H538" s="15">
        <v>4.997522</v>
      </c>
      <c r="I538" s="15">
        <v>3.432544</v>
      </c>
      <c r="J538" s="15">
        <v>11.477349999999999</v>
      </c>
      <c r="K538" s="15">
        <v>4.6231350000000004</v>
      </c>
      <c r="L538" s="16">
        <v>3.5941260000000002</v>
      </c>
      <c r="M538" s="16">
        <v>5.5418640000000003</v>
      </c>
      <c r="N538" s="16">
        <v>7.0382059999999997</v>
      </c>
      <c r="O538" s="16">
        <v>3.8483209999999999</v>
      </c>
      <c r="P538" s="17">
        <v>8.3138260000000006</v>
      </c>
      <c r="Q538" s="17">
        <v>7.015339</v>
      </c>
      <c r="R538" s="17">
        <v>4.718413</v>
      </c>
      <c r="S538" s="17">
        <v>8.9690469999999998</v>
      </c>
      <c r="AP538" s="35"/>
      <c r="AQ538" s="35"/>
      <c r="AR538" s="35"/>
      <c r="AS538" s="35"/>
    </row>
    <row r="539" spans="2:45" x14ac:dyDescent="0.2">
      <c r="B539" s="2">
        <v>43479.616377314815</v>
      </c>
      <c r="C539" s="5">
        <f t="shared" si="59"/>
        <v>20.74999916999996</v>
      </c>
      <c r="D539" s="14">
        <v>4.893351</v>
      </c>
      <c r="E539" s="14">
        <v>5.6188750000000001</v>
      </c>
      <c r="F539" s="14">
        <v>4.5651359999999999</v>
      </c>
      <c r="G539" s="14">
        <v>3.6722579999999998</v>
      </c>
      <c r="H539" s="15">
        <v>4.997522</v>
      </c>
      <c r="I539" s="15">
        <v>3.432544</v>
      </c>
      <c r="J539" s="15">
        <v>11.477349999999999</v>
      </c>
      <c r="K539" s="15">
        <v>4.6657640000000002</v>
      </c>
      <c r="L539" s="16">
        <v>3.6134379999999999</v>
      </c>
      <c r="M539" s="16">
        <v>5.5580290000000003</v>
      </c>
      <c r="N539" s="16">
        <v>7.058376</v>
      </c>
      <c r="O539" s="16">
        <v>3.8483209999999999</v>
      </c>
      <c r="P539" s="17">
        <v>8.3138260000000006</v>
      </c>
      <c r="Q539" s="17">
        <v>7.0176280000000002</v>
      </c>
      <c r="R539" s="17">
        <v>4.718413</v>
      </c>
      <c r="S539" s="17">
        <v>8.9690469999999998</v>
      </c>
      <c r="AP539" s="35"/>
      <c r="AQ539" s="35"/>
      <c r="AR539" s="35"/>
      <c r="AS539" s="35"/>
    </row>
    <row r="540" spans="2:45" x14ac:dyDescent="0.2">
      <c r="B540" s="2">
        <v>43479.619849537034</v>
      </c>
      <c r="C540" s="5">
        <f t="shared" si="59"/>
        <v>20.833332499999958</v>
      </c>
      <c r="D540" s="14">
        <v>4.9152370000000003</v>
      </c>
      <c r="E540" s="14">
        <v>5.6221649999999999</v>
      </c>
      <c r="F540" s="14">
        <v>4.5651359999999999</v>
      </c>
      <c r="G540" s="14">
        <v>3.6797689999999998</v>
      </c>
      <c r="H540" s="15">
        <v>4.9976310000000002</v>
      </c>
      <c r="I540" s="15">
        <v>3.432544</v>
      </c>
      <c r="J540" s="15">
        <v>11.477349999999999</v>
      </c>
      <c r="K540" s="15">
        <v>4.7083940000000002</v>
      </c>
      <c r="L540" s="16">
        <v>3.6327500000000001</v>
      </c>
      <c r="M540" s="16">
        <v>5.5741940000000003</v>
      </c>
      <c r="N540" s="16">
        <v>7.0785470000000004</v>
      </c>
      <c r="O540" s="16">
        <v>3.8483209999999999</v>
      </c>
      <c r="P540" s="17">
        <v>8.3138260000000006</v>
      </c>
      <c r="Q540" s="17">
        <v>7.0199170000000004</v>
      </c>
      <c r="R540" s="17">
        <v>4.718413</v>
      </c>
      <c r="S540" s="17">
        <v>8.9690469999999998</v>
      </c>
      <c r="AP540" s="35"/>
      <c r="AQ540" s="35"/>
      <c r="AR540" s="35"/>
      <c r="AS540" s="35"/>
    </row>
    <row r="541" spans="2:45" x14ac:dyDescent="0.2">
      <c r="B541" s="2">
        <v>43479.62332175926</v>
      </c>
      <c r="C541" s="5">
        <f t="shared" si="59"/>
        <v>20.916665829999957</v>
      </c>
      <c r="D541" s="14">
        <v>4.9371239999999998</v>
      </c>
      <c r="E541" s="14">
        <v>5.6254549999999997</v>
      </c>
      <c r="F541" s="14">
        <v>4.5651359999999999</v>
      </c>
      <c r="G541" s="14">
        <v>3.6872790000000002</v>
      </c>
      <c r="H541" s="15">
        <v>4.9983459999999997</v>
      </c>
      <c r="I541" s="15">
        <v>3.432544</v>
      </c>
      <c r="J541" s="15">
        <v>11.490030000000001</v>
      </c>
      <c r="K541" s="15">
        <v>4.751023</v>
      </c>
      <c r="L541" s="16">
        <v>3.6520609999999998</v>
      </c>
      <c r="M541" s="16">
        <v>5.5903590000000003</v>
      </c>
      <c r="N541" s="16">
        <v>7.0987169999999997</v>
      </c>
      <c r="O541" s="16">
        <v>3.8483209999999999</v>
      </c>
      <c r="P541" s="17">
        <v>8.3138260000000006</v>
      </c>
      <c r="Q541" s="17">
        <v>7.0222059999999997</v>
      </c>
      <c r="R541" s="17">
        <v>4.718413</v>
      </c>
      <c r="S541" s="17">
        <v>8.9690469999999998</v>
      </c>
      <c r="AP541" s="35"/>
      <c r="AQ541" s="35"/>
      <c r="AR541" s="35"/>
      <c r="AS541" s="35"/>
    </row>
    <row r="542" spans="2:45" x14ac:dyDescent="0.2">
      <c r="B542" s="2">
        <v>43479.626793981479</v>
      </c>
      <c r="C542" s="5">
        <f t="shared" si="59"/>
        <v>20.999999159999955</v>
      </c>
      <c r="D542" s="14">
        <v>4.9590110000000003</v>
      </c>
      <c r="E542" s="14">
        <v>5.6287459999999996</v>
      </c>
      <c r="F542" s="14">
        <v>4.5651359999999999</v>
      </c>
      <c r="G542" s="14">
        <v>3.6947890000000001</v>
      </c>
      <c r="H542" s="15">
        <v>4.9990620000000003</v>
      </c>
      <c r="I542" s="15">
        <v>3.432544</v>
      </c>
      <c r="J542" s="15">
        <v>11.51778</v>
      </c>
      <c r="K542" s="15">
        <v>4.7936519999999998</v>
      </c>
      <c r="L542" s="16">
        <v>3.671373</v>
      </c>
      <c r="M542" s="16">
        <v>5.6065240000000003</v>
      </c>
      <c r="N542" s="16">
        <v>7.118887</v>
      </c>
      <c r="O542" s="16">
        <v>3.8483209999999999</v>
      </c>
      <c r="P542" s="17">
        <v>8.3138260000000006</v>
      </c>
      <c r="Q542" s="17">
        <v>7.0244949999999999</v>
      </c>
      <c r="R542" s="17">
        <v>4.7189170000000003</v>
      </c>
      <c r="S542" s="17">
        <v>8.9869760000000003</v>
      </c>
      <c r="V542" s="25">
        <v>21</v>
      </c>
      <c r="W542">
        <f>AVERAGE(D531:D542)</f>
        <v>4.8704956666666668</v>
      </c>
      <c r="X542">
        <f t="shared" ref="X542:AL542" si="62">AVERAGE(E531:E542)</f>
        <v>5.6107355000000014</v>
      </c>
      <c r="Y542">
        <f t="shared" si="62"/>
        <v>4.5596989166666679</v>
      </c>
      <c r="Z542">
        <f t="shared" si="62"/>
        <v>3.6534829166666669</v>
      </c>
      <c r="AA542">
        <f t="shared" si="62"/>
        <v>4.9910256666666672</v>
      </c>
      <c r="AB542">
        <f t="shared" si="62"/>
        <v>3.432544</v>
      </c>
      <c r="AC542">
        <f t="shared" si="62"/>
        <v>11.479541666666668</v>
      </c>
      <c r="AD542">
        <f t="shared" si="62"/>
        <v>4.636486333333333</v>
      </c>
      <c r="AE542">
        <f t="shared" si="62"/>
        <v>3.5651578333333327</v>
      </c>
      <c r="AF542">
        <f t="shared" si="62"/>
        <v>5.5176172499999998</v>
      </c>
      <c r="AG542">
        <f t="shared" si="62"/>
        <v>7.0079508333333331</v>
      </c>
      <c r="AH542">
        <f t="shared" si="62"/>
        <v>3.848320999999999</v>
      </c>
      <c r="AI542">
        <f t="shared" si="62"/>
        <v>8.3138260000000024</v>
      </c>
      <c r="AJ542">
        <f t="shared" si="62"/>
        <v>7.011906166666666</v>
      </c>
      <c r="AK542">
        <f t="shared" si="62"/>
        <v>4.7184549999999987</v>
      </c>
      <c r="AL542">
        <f t="shared" si="62"/>
        <v>8.9705410833333357</v>
      </c>
      <c r="AO542" s="25">
        <v>21</v>
      </c>
      <c r="AP542" s="35">
        <f>AVERAGE(W542:Z542)</f>
        <v>4.6736032500000011</v>
      </c>
      <c r="AQ542" s="35">
        <f>AVERAGE(AA542:AD542)</f>
        <v>6.1348994166666673</v>
      </c>
      <c r="AR542" s="35">
        <f>AVERAGE(AE542:AH542)</f>
        <v>4.9847617291666664</v>
      </c>
      <c r="AS542" s="35">
        <f>AVERAGE(AI542:AL542)</f>
        <v>7.2536820625000011</v>
      </c>
    </row>
    <row r="543" spans="2:45" x14ac:dyDescent="0.2">
      <c r="B543" s="2">
        <v>43479.630266203705</v>
      </c>
      <c r="C543" s="5">
        <f t="shared" si="59"/>
        <v>21.083332489999954</v>
      </c>
      <c r="D543" s="14">
        <v>4.9808979999999998</v>
      </c>
      <c r="E543" s="14">
        <v>5.6320360000000003</v>
      </c>
      <c r="F543" s="14">
        <v>4.5651359999999999</v>
      </c>
      <c r="G543" s="14">
        <v>3.702299</v>
      </c>
      <c r="H543" s="15">
        <v>4.9997769999999999</v>
      </c>
      <c r="I543" s="15">
        <v>3.432544</v>
      </c>
      <c r="J543" s="15">
        <v>11.545529999999999</v>
      </c>
      <c r="K543" s="15">
        <v>4.8362809999999996</v>
      </c>
      <c r="L543" s="16">
        <v>3.6906850000000002</v>
      </c>
      <c r="M543" s="16">
        <v>5.6226880000000001</v>
      </c>
      <c r="N543" s="16">
        <v>7.1390570000000002</v>
      </c>
      <c r="O543" s="16">
        <v>3.8483209999999999</v>
      </c>
      <c r="P543" s="17">
        <v>8.3138260000000006</v>
      </c>
      <c r="Q543" s="17">
        <v>7.026783</v>
      </c>
      <c r="R543" s="17">
        <v>4.7209199999999996</v>
      </c>
      <c r="S543" s="17">
        <v>9.0098640000000003</v>
      </c>
      <c r="AP543" s="35"/>
      <c r="AQ543" s="35"/>
      <c r="AR543" s="35"/>
      <c r="AS543" s="35"/>
    </row>
    <row r="544" spans="2:45" x14ac:dyDescent="0.2">
      <c r="B544" s="2">
        <v>43479.633738425924</v>
      </c>
      <c r="C544" s="5">
        <f t="shared" si="59"/>
        <v>21.166665819999952</v>
      </c>
      <c r="D544" s="14">
        <v>5.0027850000000003</v>
      </c>
      <c r="E544" s="14">
        <v>5.6353260000000001</v>
      </c>
      <c r="F544" s="14">
        <v>4.5651359999999999</v>
      </c>
      <c r="G544" s="14">
        <v>3.7098089999999999</v>
      </c>
      <c r="H544" s="15">
        <v>5.0004920000000004</v>
      </c>
      <c r="I544" s="15">
        <v>3.432544</v>
      </c>
      <c r="J544" s="15">
        <v>11.57328</v>
      </c>
      <c r="K544" s="15">
        <v>4.8789110000000004</v>
      </c>
      <c r="L544" s="16">
        <v>3.709997</v>
      </c>
      <c r="M544" s="16">
        <v>5.6388530000000001</v>
      </c>
      <c r="N544" s="16">
        <v>7.1592269999999996</v>
      </c>
      <c r="O544" s="16">
        <v>3.8483209999999999</v>
      </c>
      <c r="P544" s="17">
        <v>8.3138260000000006</v>
      </c>
      <c r="Q544" s="17">
        <v>7.0290720000000002</v>
      </c>
      <c r="R544" s="17">
        <v>4.7229219999999996</v>
      </c>
      <c r="S544" s="17">
        <v>9.0327520000000003</v>
      </c>
      <c r="AP544" s="35"/>
      <c r="AQ544" s="35"/>
      <c r="AR544" s="35"/>
      <c r="AS544" s="35"/>
    </row>
    <row r="545" spans="2:45" x14ac:dyDescent="0.2">
      <c r="B545" s="2">
        <v>43479.63721064815</v>
      </c>
      <c r="C545" s="5">
        <f t="shared" si="59"/>
        <v>21.249999149999951</v>
      </c>
      <c r="D545" s="14">
        <v>5.0246719999999998</v>
      </c>
      <c r="E545" s="14">
        <v>5.6386159999999999</v>
      </c>
      <c r="F545" s="14">
        <v>4.5651359999999999</v>
      </c>
      <c r="G545" s="14">
        <v>3.7173189999999998</v>
      </c>
      <c r="H545" s="15">
        <v>5.001207</v>
      </c>
      <c r="I545" s="15">
        <v>3.432544</v>
      </c>
      <c r="J545" s="15">
        <v>11.60103</v>
      </c>
      <c r="K545" s="15">
        <v>4.9230850000000004</v>
      </c>
      <c r="L545" s="16">
        <v>3.7293090000000002</v>
      </c>
      <c r="M545" s="16">
        <v>5.6550180000000001</v>
      </c>
      <c r="N545" s="16">
        <v>7.1793979999999999</v>
      </c>
      <c r="O545" s="16">
        <v>3.8489450000000001</v>
      </c>
      <c r="P545" s="17">
        <v>8.3138260000000006</v>
      </c>
      <c r="Q545" s="17">
        <v>7.0313610000000004</v>
      </c>
      <c r="R545" s="17">
        <v>4.7249249999999998</v>
      </c>
      <c r="S545" s="17">
        <v>9.0556400000000004</v>
      </c>
      <c r="AP545" s="35"/>
      <c r="AQ545" s="35"/>
      <c r="AR545" s="35"/>
      <c r="AS545" s="35"/>
    </row>
    <row r="546" spans="2:45" x14ac:dyDescent="0.2">
      <c r="B546" s="2">
        <v>43479.640682870369</v>
      </c>
      <c r="C546" s="5">
        <f t="shared" si="59"/>
        <v>21.33333247999995</v>
      </c>
      <c r="D546" s="14">
        <v>5.0465580000000001</v>
      </c>
      <c r="E546" s="14">
        <v>5.6419059999999996</v>
      </c>
      <c r="F546" s="14">
        <v>4.5651359999999999</v>
      </c>
      <c r="G546" s="14">
        <v>3.7248299999999999</v>
      </c>
      <c r="H546" s="15">
        <v>5.0016020000000001</v>
      </c>
      <c r="I546" s="15">
        <v>3.432544</v>
      </c>
      <c r="J546" s="15">
        <v>11.62879</v>
      </c>
      <c r="K546" s="15">
        <v>4.9231740000000004</v>
      </c>
      <c r="L546" s="16">
        <v>3.748621</v>
      </c>
      <c r="M546" s="16">
        <v>5.6711830000000001</v>
      </c>
      <c r="N546" s="16">
        <v>7.1995680000000002</v>
      </c>
      <c r="O546" s="16">
        <v>3.852093</v>
      </c>
      <c r="P546" s="17">
        <v>8.3138260000000006</v>
      </c>
      <c r="Q546" s="17">
        <v>7.0336499999999997</v>
      </c>
      <c r="R546" s="17">
        <v>4.726928</v>
      </c>
      <c r="S546" s="17">
        <v>9.0785280000000004</v>
      </c>
      <c r="AP546" s="35"/>
      <c r="AQ546" s="35"/>
      <c r="AR546" s="35"/>
      <c r="AS546" s="35"/>
    </row>
    <row r="547" spans="2:45" x14ac:dyDescent="0.2">
      <c r="B547" s="2">
        <v>43479.644155092596</v>
      </c>
      <c r="C547" s="5">
        <f t="shared" si="59"/>
        <v>21.416665809999948</v>
      </c>
      <c r="D547" s="14">
        <v>5.0684449999999996</v>
      </c>
      <c r="E547" s="14">
        <v>5.6451960000000003</v>
      </c>
      <c r="F547" s="14">
        <v>4.5651359999999999</v>
      </c>
      <c r="G547" s="14">
        <v>3.730375</v>
      </c>
      <c r="H547" s="15">
        <v>5.0016020000000001</v>
      </c>
      <c r="I547" s="15">
        <v>3.432544</v>
      </c>
      <c r="J547" s="15">
        <v>11.65654</v>
      </c>
      <c r="K547" s="15">
        <v>4.9231740000000004</v>
      </c>
      <c r="L547" s="16">
        <v>3.7679330000000002</v>
      </c>
      <c r="M547" s="16">
        <v>5.6873469999999999</v>
      </c>
      <c r="N547" s="16">
        <v>7.2197380000000004</v>
      </c>
      <c r="O547" s="16">
        <v>3.8552399999999998</v>
      </c>
      <c r="P547" s="17">
        <v>8.3138260000000006</v>
      </c>
      <c r="Q547" s="17">
        <v>7.0359389999999999</v>
      </c>
      <c r="R547" s="17">
        <v>4.7289300000000001</v>
      </c>
      <c r="S547" s="17">
        <v>9.1014169999999996</v>
      </c>
      <c r="AP547" s="35"/>
      <c r="AQ547" s="35"/>
      <c r="AR547" s="35"/>
      <c r="AS547" s="35"/>
    </row>
    <row r="548" spans="2:45" x14ac:dyDescent="0.2">
      <c r="B548" s="2">
        <v>43479.647627314815</v>
      </c>
      <c r="C548" s="5">
        <f t="shared" si="59"/>
        <v>21.499999139999947</v>
      </c>
      <c r="D548" s="14">
        <v>5.0903320000000001</v>
      </c>
      <c r="E548" s="14">
        <v>5.6484870000000003</v>
      </c>
      <c r="F548" s="14">
        <v>4.5651359999999999</v>
      </c>
      <c r="G548" s="14">
        <v>3.730375</v>
      </c>
      <c r="H548" s="15">
        <v>5.0016020000000001</v>
      </c>
      <c r="I548" s="15">
        <v>3.432544</v>
      </c>
      <c r="J548" s="15">
        <v>11.684290000000001</v>
      </c>
      <c r="K548" s="15">
        <v>4.9239879999999996</v>
      </c>
      <c r="L548" s="16">
        <v>3.787245</v>
      </c>
      <c r="M548" s="16">
        <v>5.7035119999999999</v>
      </c>
      <c r="N548" s="16">
        <v>7.2399079999999998</v>
      </c>
      <c r="O548" s="16">
        <v>3.858387</v>
      </c>
      <c r="P548" s="17">
        <v>8.3138260000000006</v>
      </c>
      <c r="Q548" s="17">
        <v>7.0382280000000002</v>
      </c>
      <c r="R548" s="17">
        <v>4.7309330000000003</v>
      </c>
      <c r="S548" s="17">
        <v>9.1243049999999997</v>
      </c>
      <c r="AP548" s="35"/>
      <c r="AQ548" s="35"/>
      <c r="AR548" s="35"/>
      <c r="AS548" s="35"/>
    </row>
    <row r="549" spans="2:45" x14ac:dyDescent="0.2">
      <c r="B549" s="2">
        <v>43479.651099537034</v>
      </c>
      <c r="C549" s="5">
        <f t="shared" si="59"/>
        <v>21.583332469999945</v>
      </c>
      <c r="D549" s="14">
        <v>5.1122189999999996</v>
      </c>
      <c r="E549" s="14">
        <v>5.6517770000000001</v>
      </c>
      <c r="F549" s="14">
        <v>4.5651359999999999</v>
      </c>
      <c r="G549" s="14">
        <v>3.730375</v>
      </c>
      <c r="H549" s="15">
        <v>5.0022570000000002</v>
      </c>
      <c r="I549" s="15">
        <v>3.432544</v>
      </c>
      <c r="J549" s="15">
        <v>11.71204</v>
      </c>
      <c r="K549" s="15">
        <v>4.9264200000000002</v>
      </c>
      <c r="L549" s="16">
        <v>3.8065570000000002</v>
      </c>
      <c r="M549" s="16">
        <v>5.7100049999999998</v>
      </c>
      <c r="N549" s="16">
        <v>7.260078</v>
      </c>
      <c r="O549" s="16">
        <v>3.8615339999999998</v>
      </c>
      <c r="P549" s="17">
        <v>8.3138260000000006</v>
      </c>
      <c r="Q549" s="17">
        <v>7.0405160000000002</v>
      </c>
      <c r="R549" s="17">
        <v>4.7329359999999996</v>
      </c>
      <c r="S549" s="17">
        <v>9.1471929999999997</v>
      </c>
      <c r="AP549" s="35"/>
      <c r="AQ549" s="35"/>
      <c r="AR549" s="35"/>
      <c r="AS549" s="35"/>
    </row>
    <row r="550" spans="2:45" x14ac:dyDescent="0.2">
      <c r="B550" s="2">
        <v>43479.65457175926</v>
      </c>
      <c r="C550" s="5">
        <f t="shared" si="59"/>
        <v>21.666665799999944</v>
      </c>
      <c r="D550" s="14">
        <v>5.1341060000000001</v>
      </c>
      <c r="E550" s="14">
        <v>5.6550669999999998</v>
      </c>
      <c r="F550" s="14">
        <v>4.5651359999999999</v>
      </c>
      <c r="G550" s="14">
        <v>3.730375</v>
      </c>
      <c r="H550" s="15">
        <v>5.005261</v>
      </c>
      <c r="I550" s="15">
        <v>3.432544</v>
      </c>
      <c r="J550" s="15">
        <v>11.739789999999999</v>
      </c>
      <c r="K550" s="15">
        <v>4.928852</v>
      </c>
      <c r="L550" s="16">
        <v>3.825869</v>
      </c>
      <c r="M550" s="16">
        <v>5.7100049999999998</v>
      </c>
      <c r="N550" s="16">
        <v>7.2802490000000004</v>
      </c>
      <c r="O550" s="16">
        <v>3.864681</v>
      </c>
      <c r="P550" s="17">
        <v>8.3138260000000006</v>
      </c>
      <c r="Q550" s="17">
        <v>7.0428050000000004</v>
      </c>
      <c r="R550" s="17">
        <v>4.7349389999999998</v>
      </c>
      <c r="S550" s="17">
        <v>9.1700809999999997</v>
      </c>
      <c r="AP550" s="35"/>
      <c r="AQ550" s="35"/>
      <c r="AR550" s="35"/>
      <c r="AS550" s="35"/>
    </row>
    <row r="551" spans="2:45" x14ac:dyDescent="0.2">
      <c r="B551" s="2">
        <v>43479.658043981479</v>
      </c>
      <c r="C551" s="5">
        <f t="shared" si="59"/>
        <v>21.749999129999942</v>
      </c>
      <c r="D551" s="14">
        <v>5.1559929999999996</v>
      </c>
      <c r="E551" s="14">
        <v>5.6583569999999996</v>
      </c>
      <c r="F551" s="14">
        <v>4.5651359999999999</v>
      </c>
      <c r="G551" s="14">
        <v>3.730375</v>
      </c>
      <c r="H551" s="15">
        <v>5.0082649999999997</v>
      </c>
      <c r="I551" s="15">
        <v>3.432544</v>
      </c>
      <c r="J551" s="15">
        <v>11.76754</v>
      </c>
      <c r="K551" s="15">
        <v>4.9312839999999998</v>
      </c>
      <c r="L551" s="16">
        <v>3.8451810000000002</v>
      </c>
      <c r="M551" s="16">
        <v>5.7379170000000004</v>
      </c>
      <c r="N551" s="16">
        <v>7.3004189999999998</v>
      </c>
      <c r="O551" s="16">
        <v>3.8678279999999998</v>
      </c>
      <c r="P551" s="17">
        <v>8.3138260000000006</v>
      </c>
      <c r="Q551" s="17">
        <v>7.0450939999999997</v>
      </c>
      <c r="R551" s="17">
        <v>4.7369409999999998</v>
      </c>
      <c r="S551" s="17">
        <v>9.1929689999999997</v>
      </c>
      <c r="AP551" s="35"/>
      <c r="AQ551" s="35"/>
      <c r="AR551" s="35"/>
      <c r="AS551" s="35"/>
    </row>
    <row r="552" spans="2:45" x14ac:dyDescent="0.2">
      <c r="B552" s="2">
        <v>43479.661516203705</v>
      </c>
      <c r="C552" s="5">
        <f t="shared" si="59"/>
        <v>21.833332459999941</v>
      </c>
      <c r="D552" s="14">
        <v>5.1778789999999999</v>
      </c>
      <c r="E552" s="14">
        <v>5.6616470000000003</v>
      </c>
      <c r="F552" s="14">
        <v>4.5651359999999999</v>
      </c>
      <c r="G552" s="14">
        <v>3.730375</v>
      </c>
      <c r="H552" s="15">
        <v>5.0112699999999997</v>
      </c>
      <c r="I552" s="15">
        <v>3.432544</v>
      </c>
      <c r="J552" s="15">
        <v>11.795299999999999</v>
      </c>
      <c r="K552" s="15">
        <v>4.9337160000000004</v>
      </c>
      <c r="L552" s="16">
        <v>3.8644919999999998</v>
      </c>
      <c r="M552" s="16">
        <v>5.7708190000000004</v>
      </c>
      <c r="N552" s="16">
        <v>7.320589</v>
      </c>
      <c r="O552" s="16">
        <v>3.8709750000000001</v>
      </c>
      <c r="P552" s="17">
        <v>8.3138260000000006</v>
      </c>
      <c r="Q552" s="17">
        <v>7.047383</v>
      </c>
      <c r="R552" s="17">
        <v>4.738944</v>
      </c>
      <c r="S552" s="17">
        <v>9.2158580000000008</v>
      </c>
      <c r="AP552" s="35"/>
      <c r="AQ552" s="35"/>
      <c r="AR552" s="35"/>
      <c r="AS552" s="35"/>
    </row>
    <row r="553" spans="2:45" x14ac:dyDescent="0.2">
      <c r="B553" s="2">
        <v>43479.664988425924</v>
      </c>
      <c r="C553" s="5">
        <f t="shared" si="59"/>
        <v>21.916665789999939</v>
      </c>
      <c r="D553" s="14">
        <v>5.1997660000000003</v>
      </c>
      <c r="E553" s="14">
        <v>5.6649370000000001</v>
      </c>
      <c r="F553" s="14">
        <v>4.5651359999999999</v>
      </c>
      <c r="G553" s="14">
        <v>3.730375</v>
      </c>
      <c r="H553" s="15">
        <v>5.0142740000000003</v>
      </c>
      <c r="I553" s="15">
        <v>3.432544</v>
      </c>
      <c r="J553" s="15">
        <v>11.82305</v>
      </c>
      <c r="K553" s="15">
        <v>4.9361480000000002</v>
      </c>
      <c r="L553" s="16">
        <v>3.883804</v>
      </c>
      <c r="M553" s="16">
        <v>5.8037200000000002</v>
      </c>
      <c r="N553" s="16">
        <v>7.3407590000000003</v>
      </c>
      <c r="O553" s="16">
        <v>3.8713060000000001</v>
      </c>
      <c r="P553" s="17">
        <v>8.3138260000000006</v>
      </c>
      <c r="Q553" s="17">
        <v>7.0496720000000002</v>
      </c>
      <c r="R553" s="17">
        <v>4.7409470000000002</v>
      </c>
      <c r="S553" s="17">
        <v>9.2387460000000008</v>
      </c>
      <c r="AP553" s="35"/>
      <c r="AQ553" s="35"/>
      <c r="AR553" s="35"/>
      <c r="AS553" s="35"/>
    </row>
    <row r="554" spans="2:45" x14ac:dyDescent="0.2">
      <c r="B554" s="2">
        <v>43479.66846064815</v>
      </c>
      <c r="C554" s="5">
        <f t="shared" si="59"/>
        <v>21.999999119999938</v>
      </c>
      <c r="D554" s="14">
        <v>5.2216529999999999</v>
      </c>
      <c r="E554" s="14">
        <v>5.668228</v>
      </c>
      <c r="F554" s="14">
        <v>4.5651359999999999</v>
      </c>
      <c r="G554" s="14">
        <v>3.730375</v>
      </c>
      <c r="H554" s="15">
        <v>5.0172780000000001</v>
      </c>
      <c r="I554" s="15">
        <v>3.432544</v>
      </c>
      <c r="J554" s="15">
        <v>11.8508</v>
      </c>
      <c r="K554" s="15">
        <v>4.93858</v>
      </c>
      <c r="L554" s="16">
        <v>3.9031159999999998</v>
      </c>
      <c r="M554" s="16">
        <v>5.8366220000000002</v>
      </c>
      <c r="N554" s="16">
        <v>7.3609289999999996</v>
      </c>
      <c r="O554" s="16">
        <v>3.8713060000000001</v>
      </c>
      <c r="P554" s="17">
        <v>8.3138260000000006</v>
      </c>
      <c r="Q554" s="17">
        <v>7.0519600000000002</v>
      </c>
      <c r="R554" s="17">
        <v>4.7429490000000003</v>
      </c>
      <c r="S554" s="17">
        <v>9.2616340000000008</v>
      </c>
      <c r="V554" s="25">
        <v>22</v>
      </c>
      <c r="W554">
        <f>AVERAGE(D543:D554)</f>
        <v>5.1012754999999999</v>
      </c>
      <c r="X554">
        <f t="shared" ref="X554:AL554" si="63">AVERAGE(E543:E554)</f>
        <v>5.6501316666666677</v>
      </c>
      <c r="Y554">
        <f t="shared" si="63"/>
        <v>4.5651360000000007</v>
      </c>
      <c r="Z554">
        <f t="shared" si="63"/>
        <v>3.7247714166666666</v>
      </c>
      <c r="AA554">
        <f t="shared" si="63"/>
        <v>5.0054072499999993</v>
      </c>
      <c r="AB554">
        <f t="shared" si="63"/>
        <v>3.432544</v>
      </c>
      <c r="AC554">
        <f t="shared" si="63"/>
        <v>11.698164999999998</v>
      </c>
      <c r="AD554">
        <f t="shared" si="63"/>
        <v>4.9169677500000004</v>
      </c>
      <c r="AE554">
        <f t="shared" si="63"/>
        <v>3.7969007499999994</v>
      </c>
      <c r="AF554">
        <f t="shared" si="63"/>
        <v>5.7123074166666674</v>
      </c>
      <c r="AG554">
        <f t="shared" si="63"/>
        <v>7.2499932500000002</v>
      </c>
      <c r="AH554">
        <f t="shared" si="63"/>
        <v>3.8599114166666664</v>
      </c>
      <c r="AI554">
        <f t="shared" si="63"/>
        <v>8.3138260000000024</v>
      </c>
      <c r="AJ554">
        <f t="shared" si="63"/>
        <v>7.0393719166666662</v>
      </c>
      <c r="AK554">
        <f t="shared" si="63"/>
        <v>4.7319345000000004</v>
      </c>
      <c r="AL554">
        <f t="shared" si="63"/>
        <v>9.1357489166666674</v>
      </c>
      <c r="AO554" s="25">
        <v>22</v>
      </c>
      <c r="AP554" s="35">
        <f>AVERAGE(W554:Z554)</f>
        <v>4.7603286458333338</v>
      </c>
      <c r="AQ554" s="35">
        <f>AVERAGE(AA554:AD554)</f>
        <v>6.2632709999999996</v>
      </c>
      <c r="AR554" s="35">
        <f>AVERAGE(AE554:AH554)</f>
        <v>5.1547782083333331</v>
      </c>
      <c r="AS554" s="35">
        <f>AVERAGE(AI554:AL554)</f>
        <v>7.3052203333333345</v>
      </c>
    </row>
    <row r="555" spans="2:45" x14ac:dyDescent="0.2">
      <c r="B555" s="2">
        <v>43479.671932870369</v>
      </c>
      <c r="C555" s="5">
        <f t="shared" si="59"/>
        <v>22.083332449999936</v>
      </c>
      <c r="D555" s="14">
        <v>5.2435400000000003</v>
      </c>
      <c r="E555" s="14">
        <v>5.6715179999999998</v>
      </c>
      <c r="F555" s="14">
        <v>4.5651359999999999</v>
      </c>
      <c r="G555" s="14">
        <v>3.730375</v>
      </c>
      <c r="H555" s="15">
        <v>5.0202819999999999</v>
      </c>
      <c r="I555" s="15">
        <v>3.432544</v>
      </c>
      <c r="J555" s="15">
        <v>11.878550000000001</v>
      </c>
      <c r="K555" s="15">
        <v>4.9410109999999996</v>
      </c>
      <c r="L555" s="16">
        <v>3.922428</v>
      </c>
      <c r="M555" s="16">
        <v>5.8695240000000002</v>
      </c>
      <c r="N555" s="16">
        <v>7.3811</v>
      </c>
      <c r="O555" s="16">
        <v>3.873615</v>
      </c>
      <c r="P555" s="17">
        <v>8.3138260000000006</v>
      </c>
      <c r="Q555" s="17">
        <v>7.0542490000000004</v>
      </c>
      <c r="R555" s="17">
        <v>4.7449519999999996</v>
      </c>
      <c r="S555" s="17">
        <v>9.2845220000000008</v>
      </c>
      <c r="AP555" s="35"/>
      <c r="AQ555" s="35"/>
      <c r="AR555" s="35"/>
      <c r="AS555" s="35"/>
    </row>
    <row r="556" spans="2:45" x14ac:dyDescent="0.2">
      <c r="B556" s="2">
        <v>43479.675405092596</v>
      </c>
      <c r="C556" s="5">
        <f t="shared" si="59"/>
        <v>22.166665779999935</v>
      </c>
      <c r="D556" s="14">
        <v>5.2654269999999999</v>
      </c>
      <c r="E556" s="14">
        <v>5.6748079999999996</v>
      </c>
      <c r="F556" s="14">
        <v>4.5651359999999999</v>
      </c>
      <c r="G556" s="14">
        <v>3.730375</v>
      </c>
      <c r="H556" s="15">
        <v>5.0232859999999997</v>
      </c>
      <c r="I556" s="15">
        <v>3.432544</v>
      </c>
      <c r="J556" s="15">
        <v>11.9063</v>
      </c>
      <c r="K556" s="15">
        <v>4.9434430000000003</v>
      </c>
      <c r="L556" s="16">
        <v>3.9417399999999998</v>
      </c>
      <c r="M556" s="16">
        <v>5.9024260000000002</v>
      </c>
      <c r="N556" s="16">
        <v>7.3947149999999997</v>
      </c>
      <c r="O556" s="16">
        <v>3.8759749999999999</v>
      </c>
      <c r="P556" s="17">
        <v>8.3138260000000006</v>
      </c>
      <c r="Q556" s="17">
        <v>7.0565379999999998</v>
      </c>
      <c r="R556" s="17">
        <v>4.7469549999999998</v>
      </c>
      <c r="S556" s="17">
        <v>9.3074100000000008</v>
      </c>
      <c r="AP556" s="35"/>
      <c r="AQ556" s="35"/>
      <c r="AR556" s="35"/>
      <c r="AS556" s="35"/>
    </row>
    <row r="557" spans="2:45" x14ac:dyDescent="0.2">
      <c r="B557" s="2">
        <v>43479.678877314815</v>
      </c>
      <c r="C557" s="5">
        <f t="shared" si="59"/>
        <v>22.249999109999933</v>
      </c>
      <c r="D557" s="14">
        <v>5.2873130000000002</v>
      </c>
      <c r="E557" s="14">
        <v>5.6780980000000003</v>
      </c>
      <c r="F557" s="14">
        <v>4.5651359999999999</v>
      </c>
      <c r="G557" s="14">
        <v>3.730375</v>
      </c>
      <c r="H557" s="15">
        <v>5.0262900000000004</v>
      </c>
      <c r="I557" s="15">
        <v>3.432544</v>
      </c>
      <c r="J557" s="15">
        <v>11.934060000000001</v>
      </c>
      <c r="K557" s="15">
        <v>4.945875</v>
      </c>
      <c r="L557" s="16">
        <v>3.961052</v>
      </c>
      <c r="M557" s="16">
        <v>5.9353280000000002</v>
      </c>
      <c r="N557" s="16">
        <v>7.3951380000000002</v>
      </c>
      <c r="O557" s="16">
        <v>3.8783349999999999</v>
      </c>
      <c r="P557" s="17">
        <v>8.3138260000000006</v>
      </c>
      <c r="Q557" s="17">
        <v>7.058827</v>
      </c>
      <c r="R557" s="17">
        <v>4.7478059999999997</v>
      </c>
      <c r="S557" s="17">
        <v>9.3302980000000009</v>
      </c>
      <c r="AP557" s="35"/>
      <c r="AQ557" s="35"/>
      <c r="AR557" s="35"/>
      <c r="AS557" s="35"/>
    </row>
    <row r="558" spans="2:45" x14ac:dyDescent="0.2">
      <c r="B558" s="2">
        <v>43479.682349537034</v>
      </c>
      <c r="C558" s="5">
        <f t="shared" si="59"/>
        <v>22.333332439999932</v>
      </c>
      <c r="D558" s="14">
        <v>5.3091999999999997</v>
      </c>
      <c r="E558" s="14">
        <v>5.6813880000000001</v>
      </c>
      <c r="F558" s="14">
        <v>4.5651359999999999</v>
      </c>
      <c r="G558" s="14">
        <v>3.730375</v>
      </c>
      <c r="H558" s="15">
        <v>5.0273770000000004</v>
      </c>
      <c r="I558" s="15">
        <v>3.432544</v>
      </c>
      <c r="J558" s="15">
        <v>11.96181</v>
      </c>
      <c r="K558" s="15">
        <v>4.9483069999999998</v>
      </c>
      <c r="L558" s="16">
        <v>3.9803639999999998</v>
      </c>
      <c r="M558" s="16">
        <v>5.968229</v>
      </c>
      <c r="N558" s="16">
        <v>7.4052939999999996</v>
      </c>
      <c r="O558" s="16">
        <v>3.8806959999999999</v>
      </c>
      <c r="P558" s="17">
        <v>8.3138260000000006</v>
      </c>
      <c r="Q558" s="17">
        <v>7.0611160000000002</v>
      </c>
      <c r="R558" s="17">
        <v>4.7478059999999997</v>
      </c>
      <c r="S558" s="17">
        <v>9.3531870000000001</v>
      </c>
      <c r="AP558" s="35"/>
      <c r="AQ558" s="35"/>
      <c r="AR558" s="35"/>
      <c r="AS558" s="35"/>
    </row>
    <row r="559" spans="2:45" x14ac:dyDescent="0.2">
      <c r="B559" s="2">
        <v>43479.68582175926</v>
      </c>
      <c r="C559" s="5">
        <f t="shared" si="59"/>
        <v>22.416665769999931</v>
      </c>
      <c r="D559" s="14">
        <v>5.3310870000000001</v>
      </c>
      <c r="E559" s="14">
        <v>5.684679</v>
      </c>
      <c r="F559" s="14">
        <v>4.5651359999999999</v>
      </c>
      <c r="G559" s="14">
        <v>3.730375</v>
      </c>
      <c r="H559" s="15">
        <v>5.0273770000000004</v>
      </c>
      <c r="I559" s="15">
        <v>3.432544</v>
      </c>
      <c r="J559" s="15">
        <v>11.989560000000001</v>
      </c>
      <c r="K559" s="15">
        <v>4.9485789999999996</v>
      </c>
      <c r="L559" s="16">
        <v>3.999676</v>
      </c>
      <c r="M559" s="16">
        <v>6.001131</v>
      </c>
      <c r="N559" s="16">
        <v>7.415451</v>
      </c>
      <c r="O559" s="16">
        <v>3.8830559999999998</v>
      </c>
      <c r="P559" s="17">
        <v>8.3138260000000006</v>
      </c>
      <c r="Q559" s="17">
        <v>7.0634050000000004</v>
      </c>
      <c r="R559" s="17">
        <v>4.7478059999999997</v>
      </c>
      <c r="S559" s="17">
        <v>9.3760750000000002</v>
      </c>
      <c r="AP559" s="35"/>
      <c r="AQ559" s="35"/>
      <c r="AR559" s="35"/>
      <c r="AS559" s="35"/>
    </row>
    <row r="560" spans="2:45" x14ac:dyDescent="0.2">
      <c r="B560" s="2">
        <v>43479.689293981479</v>
      </c>
      <c r="C560" s="5">
        <f t="shared" si="59"/>
        <v>22.499999099999929</v>
      </c>
      <c r="D560" s="14">
        <v>5.3529739999999997</v>
      </c>
      <c r="E560" s="14">
        <v>5.6879689999999998</v>
      </c>
      <c r="F560" s="14">
        <v>4.5651359999999999</v>
      </c>
      <c r="G560" s="14">
        <v>3.730375</v>
      </c>
      <c r="H560" s="15">
        <v>5.0273770000000004</v>
      </c>
      <c r="I560" s="15">
        <v>3.432544</v>
      </c>
      <c r="J560" s="15">
        <v>12.01731</v>
      </c>
      <c r="K560" s="15">
        <v>4.9679039999999999</v>
      </c>
      <c r="L560" s="16">
        <v>4.0189880000000002</v>
      </c>
      <c r="M560" s="16">
        <v>6.034033</v>
      </c>
      <c r="N560" s="16">
        <v>7.4256080000000004</v>
      </c>
      <c r="O560" s="16">
        <v>3.8854169999999999</v>
      </c>
      <c r="P560" s="17">
        <v>8.3138260000000006</v>
      </c>
      <c r="Q560" s="17">
        <v>7.0656929999999996</v>
      </c>
      <c r="R560" s="17">
        <v>4.7478059999999997</v>
      </c>
      <c r="S560" s="17">
        <v>9.3989630000000002</v>
      </c>
      <c r="AP560" s="35"/>
      <c r="AQ560" s="35"/>
      <c r="AR560" s="35"/>
      <c r="AS560" s="35"/>
    </row>
    <row r="561" spans="2:45" x14ac:dyDescent="0.2">
      <c r="B561" s="2">
        <v>43479.692766203705</v>
      </c>
      <c r="C561" s="5">
        <f t="shared" si="59"/>
        <v>22.583332429999928</v>
      </c>
      <c r="D561" s="14">
        <v>5.3748610000000001</v>
      </c>
      <c r="E561" s="14">
        <v>5.6912589999999996</v>
      </c>
      <c r="F561" s="14">
        <v>4.5651359999999999</v>
      </c>
      <c r="G561" s="14">
        <v>3.730375</v>
      </c>
      <c r="H561" s="15">
        <v>5.0273770000000004</v>
      </c>
      <c r="I561" s="15">
        <v>3.432544</v>
      </c>
      <c r="J561" s="15">
        <v>12.045059999999999</v>
      </c>
      <c r="K561" s="15">
        <v>4.9886470000000003</v>
      </c>
      <c r="L561" s="16">
        <v>4.0382999999999996</v>
      </c>
      <c r="M561" s="16">
        <v>6.066935</v>
      </c>
      <c r="N561" s="16">
        <v>7.4357639999999998</v>
      </c>
      <c r="O561" s="16">
        <v>3.8877769999999998</v>
      </c>
      <c r="P561" s="17">
        <v>8.3138260000000006</v>
      </c>
      <c r="Q561" s="17">
        <v>7.0679819999999998</v>
      </c>
      <c r="R561" s="17">
        <v>4.7478059999999997</v>
      </c>
      <c r="S561" s="17">
        <v>9.4218510000000002</v>
      </c>
      <c r="AP561" s="35"/>
      <c r="AQ561" s="35"/>
      <c r="AR561" s="35"/>
      <c r="AS561" s="35"/>
    </row>
    <row r="562" spans="2:45" x14ac:dyDescent="0.2">
      <c r="B562" s="2">
        <v>43479.696238425924</v>
      </c>
      <c r="C562" s="5">
        <f t="shared" si="59"/>
        <v>22.666665759999926</v>
      </c>
      <c r="D562" s="14">
        <v>5.3967479999999997</v>
      </c>
      <c r="E562" s="14">
        <v>5.6945490000000003</v>
      </c>
      <c r="F562" s="14">
        <v>4.5651359999999999</v>
      </c>
      <c r="G562" s="14">
        <v>3.730375</v>
      </c>
      <c r="H562" s="15">
        <v>5.0273770000000004</v>
      </c>
      <c r="I562" s="15">
        <v>3.432544</v>
      </c>
      <c r="J562" s="15">
        <v>12.07282</v>
      </c>
      <c r="K562" s="15">
        <v>5.0093889999999996</v>
      </c>
      <c r="L562" s="16">
        <v>4.0576109999999996</v>
      </c>
      <c r="M562" s="16">
        <v>6.0998359999999998</v>
      </c>
      <c r="N562" s="16">
        <v>7.4459210000000002</v>
      </c>
      <c r="O562" s="16">
        <v>3.8901370000000002</v>
      </c>
      <c r="P562" s="17">
        <v>8.3138260000000006</v>
      </c>
      <c r="Q562" s="17">
        <v>7.070271</v>
      </c>
      <c r="R562" s="17">
        <v>4.7478059999999997</v>
      </c>
      <c r="S562" s="17">
        <v>9.4447390000000002</v>
      </c>
      <c r="AP562" s="35"/>
      <c r="AQ562" s="35"/>
      <c r="AR562" s="35"/>
      <c r="AS562" s="35"/>
    </row>
    <row r="563" spans="2:45" x14ac:dyDescent="0.2">
      <c r="B563" s="2">
        <v>43479.69971064815</v>
      </c>
      <c r="C563" s="5">
        <f t="shared" si="59"/>
        <v>22.749999089999925</v>
      </c>
      <c r="D563" s="14">
        <v>5.418634</v>
      </c>
      <c r="E563" s="14">
        <v>5.6978390000000001</v>
      </c>
      <c r="F563" s="14">
        <v>4.5651359999999999</v>
      </c>
      <c r="G563" s="14">
        <v>3.730375</v>
      </c>
      <c r="H563" s="15">
        <v>5.0273770000000004</v>
      </c>
      <c r="I563" s="15">
        <v>3.432544</v>
      </c>
      <c r="J563" s="15">
        <v>12.100569999999999</v>
      </c>
      <c r="K563" s="15">
        <v>5.0301309999999999</v>
      </c>
      <c r="L563" s="16">
        <v>4.0769229999999999</v>
      </c>
      <c r="M563" s="16">
        <v>6.1327379999999998</v>
      </c>
      <c r="N563" s="16">
        <v>7.4560779999999998</v>
      </c>
      <c r="O563" s="16">
        <v>3.8924979999999998</v>
      </c>
      <c r="P563" s="17">
        <v>8.3138260000000006</v>
      </c>
      <c r="Q563" s="17">
        <v>7.0725600000000002</v>
      </c>
      <c r="R563" s="17">
        <v>4.7478059999999997</v>
      </c>
      <c r="S563" s="17">
        <v>9.4676279999999995</v>
      </c>
      <c r="AP563" s="35"/>
      <c r="AQ563" s="35"/>
      <c r="AR563" s="35"/>
      <c r="AS563" s="35"/>
    </row>
    <row r="564" spans="2:45" x14ac:dyDescent="0.2">
      <c r="B564" s="2">
        <v>43479.703182870369</v>
      </c>
      <c r="C564" s="5">
        <f t="shared" si="59"/>
        <v>22.833332419999923</v>
      </c>
      <c r="D564" s="14">
        <v>5.4405210000000004</v>
      </c>
      <c r="E564" s="14">
        <v>5.7011289999999999</v>
      </c>
      <c r="F564" s="14">
        <v>4.5651359999999999</v>
      </c>
      <c r="G564" s="14">
        <v>3.730375</v>
      </c>
      <c r="H564" s="15">
        <v>5.0273770000000004</v>
      </c>
      <c r="I564" s="15">
        <v>3.432544</v>
      </c>
      <c r="J564" s="15">
        <v>12.12832</v>
      </c>
      <c r="K564" s="15">
        <v>5.0508740000000003</v>
      </c>
      <c r="L564" s="16">
        <v>4.0962350000000001</v>
      </c>
      <c r="M564" s="16">
        <v>6.1656399999999998</v>
      </c>
      <c r="N564" s="16">
        <v>7.466234</v>
      </c>
      <c r="O564" s="16">
        <v>3.8948580000000002</v>
      </c>
      <c r="P564" s="17">
        <v>8.3138260000000006</v>
      </c>
      <c r="Q564" s="17">
        <v>7.0748490000000004</v>
      </c>
      <c r="R564" s="17">
        <v>4.7478059999999997</v>
      </c>
      <c r="S564" s="17">
        <v>9.4905159999999995</v>
      </c>
      <c r="AP564" s="35"/>
      <c r="AQ564" s="35"/>
      <c r="AR564" s="35"/>
      <c r="AS564" s="35"/>
    </row>
    <row r="565" spans="2:45" x14ac:dyDescent="0.2">
      <c r="B565" s="2">
        <v>43479.706655092596</v>
      </c>
      <c r="C565" s="5">
        <f t="shared" si="59"/>
        <v>22.916665749999922</v>
      </c>
      <c r="D565" s="14">
        <v>5.4624079999999999</v>
      </c>
      <c r="E565" s="14">
        <v>5.7044199999999998</v>
      </c>
      <c r="F565" s="14">
        <v>4.5651359999999999</v>
      </c>
      <c r="G565" s="14">
        <v>3.730375</v>
      </c>
      <c r="H565" s="15">
        <v>5.0273770000000004</v>
      </c>
      <c r="I565" s="15">
        <v>3.432544</v>
      </c>
      <c r="J565" s="15">
        <v>12.13739</v>
      </c>
      <c r="K565" s="15">
        <v>5.0716159999999997</v>
      </c>
      <c r="L565" s="16">
        <v>4.1155470000000003</v>
      </c>
      <c r="M565" s="16">
        <v>6.1985419999999998</v>
      </c>
      <c r="N565" s="16">
        <v>7.4763909999999996</v>
      </c>
      <c r="O565" s="16">
        <v>3.8972180000000001</v>
      </c>
      <c r="P565" s="17">
        <v>8.3138260000000006</v>
      </c>
      <c r="Q565" s="17">
        <v>7.0778780000000001</v>
      </c>
      <c r="R565" s="17">
        <v>4.7478059999999997</v>
      </c>
      <c r="S565" s="17">
        <v>9.5134039999999995</v>
      </c>
      <c r="AP565" s="35"/>
      <c r="AQ565" s="35"/>
      <c r="AR565" s="35"/>
      <c r="AS565" s="35"/>
    </row>
    <row r="566" spans="2:45" x14ac:dyDescent="0.2">
      <c r="B566" s="2">
        <v>43479.710127314815</v>
      </c>
      <c r="C566" s="5">
        <f t="shared" si="59"/>
        <v>22.99999907999992</v>
      </c>
      <c r="D566" s="14">
        <v>5.4842950000000004</v>
      </c>
      <c r="E566" s="14">
        <v>5.7077099999999996</v>
      </c>
      <c r="F566" s="14">
        <v>4.5651359999999999</v>
      </c>
      <c r="G566" s="14">
        <v>3.730375</v>
      </c>
      <c r="H566" s="15">
        <v>5.0273770000000004</v>
      </c>
      <c r="I566" s="15">
        <v>3.432544</v>
      </c>
      <c r="J566" s="15">
        <v>12.13739</v>
      </c>
      <c r="K566" s="15">
        <v>5.0923590000000001</v>
      </c>
      <c r="L566" s="16">
        <v>4.1176069999999996</v>
      </c>
      <c r="M566" s="16">
        <v>6.2314429999999996</v>
      </c>
      <c r="N566" s="16">
        <v>7.4865469999999998</v>
      </c>
      <c r="O566" s="16">
        <v>3.8995790000000001</v>
      </c>
      <c r="P566" s="17">
        <v>8.3138260000000006</v>
      </c>
      <c r="Q566" s="17">
        <v>7.0854590000000002</v>
      </c>
      <c r="R566" s="17">
        <v>4.7478059999999997</v>
      </c>
      <c r="S566" s="17">
        <v>9.5362919999999995</v>
      </c>
      <c r="V566" s="25">
        <v>23</v>
      </c>
      <c r="W566">
        <f>AVERAGE(D555:D566)</f>
        <v>5.3639173333333332</v>
      </c>
      <c r="X566">
        <f t="shared" ref="X566:AL566" si="64">AVERAGE(E555:E566)</f>
        <v>5.6896138333333335</v>
      </c>
      <c r="Y566">
        <f t="shared" si="64"/>
        <v>4.5651360000000007</v>
      </c>
      <c r="Z566">
        <f t="shared" si="64"/>
        <v>3.7303750000000004</v>
      </c>
      <c r="AA566">
        <f t="shared" si="64"/>
        <v>5.0263542500000007</v>
      </c>
      <c r="AB566">
        <f t="shared" si="64"/>
        <v>3.432544</v>
      </c>
      <c r="AC566">
        <f t="shared" si="64"/>
        <v>12.02576166666667</v>
      </c>
      <c r="AD566">
        <f t="shared" si="64"/>
        <v>4.9948445833333333</v>
      </c>
      <c r="AE566">
        <f t="shared" si="64"/>
        <v>4.0272059166666665</v>
      </c>
      <c r="AF566">
        <f t="shared" si="64"/>
        <v>6.0504837500000006</v>
      </c>
      <c r="AG566">
        <f t="shared" si="64"/>
        <v>7.4320200833333319</v>
      </c>
      <c r="AH566">
        <f t="shared" si="64"/>
        <v>3.8865967500000007</v>
      </c>
      <c r="AI566">
        <f t="shared" si="64"/>
        <v>8.3138260000000024</v>
      </c>
      <c r="AJ566">
        <f t="shared" si="64"/>
        <v>7.0674022500000007</v>
      </c>
      <c r="AK566">
        <f t="shared" si="64"/>
        <v>4.7474972499999986</v>
      </c>
      <c r="AL566">
        <f t="shared" si="64"/>
        <v>9.4104070833333342</v>
      </c>
      <c r="AO566" s="25">
        <v>23</v>
      </c>
      <c r="AP566" s="35">
        <f>AVERAGE(W566:Z566)</f>
        <v>4.8372605416666667</v>
      </c>
      <c r="AQ566" s="35">
        <f>AVERAGE(AA566:AD566)</f>
        <v>6.3698761250000011</v>
      </c>
      <c r="AR566" s="35">
        <f>AVERAGE(AE566:AH566)</f>
        <v>5.3490766250000004</v>
      </c>
      <c r="AS566" s="35">
        <f>AVERAGE(AI566:AL566)</f>
        <v>7.3847831458333335</v>
      </c>
    </row>
    <row r="567" spans="2:45" x14ac:dyDescent="0.2">
      <c r="B567" s="2">
        <v>43479.713599537034</v>
      </c>
      <c r="C567" s="5">
        <f t="shared" si="59"/>
        <v>23.083332409999919</v>
      </c>
      <c r="D567" s="14">
        <v>5.5061819999999999</v>
      </c>
      <c r="E567" s="14">
        <v>5.7110000000000003</v>
      </c>
      <c r="F567" s="14">
        <v>4.5651359999999999</v>
      </c>
      <c r="G567" s="14">
        <v>3.730375</v>
      </c>
      <c r="H567" s="15">
        <v>5.0273770000000004</v>
      </c>
      <c r="I567" s="15">
        <v>3.432544</v>
      </c>
      <c r="J567" s="15">
        <v>12.13739</v>
      </c>
      <c r="K567" s="15">
        <v>5.1131010000000003</v>
      </c>
      <c r="L567" s="16">
        <v>4.1176069999999996</v>
      </c>
      <c r="M567" s="16">
        <v>6.2643449999999996</v>
      </c>
      <c r="N567" s="16">
        <v>7.4967040000000003</v>
      </c>
      <c r="O567" s="16">
        <v>3.901939</v>
      </c>
      <c r="P567" s="17">
        <v>8.3138260000000006</v>
      </c>
      <c r="Q567" s="17">
        <v>7.0930410000000004</v>
      </c>
      <c r="R567" s="17">
        <v>4.7478059999999997</v>
      </c>
      <c r="S567" s="17">
        <v>9.5591799999999996</v>
      </c>
      <c r="AP567" s="35"/>
      <c r="AQ567" s="35"/>
      <c r="AR567" s="35"/>
      <c r="AS567" s="35"/>
    </row>
    <row r="568" spans="2:45" x14ac:dyDescent="0.2">
      <c r="B568" s="2">
        <v>43479.71707175926</v>
      </c>
      <c r="C568" s="5">
        <f t="shared" si="59"/>
        <v>23.166665739999917</v>
      </c>
      <c r="D568" s="14">
        <v>5.5280690000000003</v>
      </c>
      <c r="E568" s="14">
        <v>5.7142900000000001</v>
      </c>
      <c r="F568" s="14">
        <v>4.5651359999999999</v>
      </c>
      <c r="G568" s="14">
        <v>3.730375</v>
      </c>
      <c r="H568" s="15">
        <v>5.0273770000000004</v>
      </c>
      <c r="I568" s="15">
        <v>3.432544</v>
      </c>
      <c r="J568" s="15">
        <v>12.13739</v>
      </c>
      <c r="K568" s="15">
        <v>5.1338429999999997</v>
      </c>
      <c r="L568" s="16">
        <v>4.1176069999999996</v>
      </c>
      <c r="M568" s="16">
        <v>6.2972469999999996</v>
      </c>
      <c r="N568" s="16">
        <v>7.5068609999999998</v>
      </c>
      <c r="O568" s="16">
        <v>3.904299</v>
      </c>
      <c r="P568" s="17">
        <v>8.3138260000000006</v>
      </c>
      <c r="Q568" s="17">
        <v>7.1006229999999997</v>
      </c>
      <c r="R568" s="17">
        <v>4.7478059999999997</v>
      </c>
      <c r="S568" s="17">
        <v>9.5820679999999996</v>
      </c>
      <c r="AP568" s="35"/>
      <c r="AQ568" s="35"/>
      <c r="AR568" s="35"/>
      <c r="AS568" s="35"/>
    </row>
    <row r="569" spans="2:45" x14ac:dyDescent="0.2">
      <c r="B569" s="2">
        <v>43479.720543981479</v>
      </c>
      <c r="C569" s="5">
        <f t="shared" si="59"/>
        <v>23.249999069999916</v>
      </c>
      <c r="D569" s="14">
        <v>5.5492990000000004</v>
      </c>
      <c r="E569" s="14">
        <v>5.7175799999999999</v>
      </c>
      <c r="F569" s="14">
        <v>4.5651359999999999</v>
      </c>
      <c r="G569" s="14">
        <v>3.730375</v>
      </c>
      <c r="H569" s="15">
        <v>5.0273770000000004</v>
      </c>
      <c r="I569" s="15">
        <v>3.432544</v>
      </c>
      <c r="J569" s="15">
        <v>12.14</v>
      </c>
      <c r="K569" s="15">
        <v>5.1545860000000001</v>
      </c>
      <c r="L569" s="16">
        <v>4.1176069999999996</v>
      </c>
      <c r="M569" s="16">
        <v>6.3223070000000003</v>
      </c>
      <c r="N569" s="16">
        <v>7.5170170000000001</v>
      </c>
      <c r="O569" s="16">
        <v>3.90666</v>
      </c>
      <c r="P569" s="17">
        <v>8.3138260000000006</v>
      </c>
      <c r="Q569" s="17">
        <v>7.1082039999999997</v>
      </c>
      <c r="R569" s="17">
        <v>4.7478059999999997</v>
      </c>
      <c r="S569" s="17">
        <v>9.6049570000000006</v>
      </c>
      <c r="AP569" s="35"/>
      <c r="AQ569" s="35"/>
      <c r="AR569" s="35"/>
      <c r="AS569" s="35"/>
    </row>
    <row r="570" spans="2:45" x14ac:dyDescent="0.2">
      <c r="B570" s="2">
        <v>43479.724016203705</v>
      </c>
      <c r="C570" s="5">
        <f t="shared" si="59"/>
        <v>23.333332399999914</v>
      </c>
      <c r="D570" s="14">
        <v>5.5492990000000004</v>
      </c>
      <c r="E570" s="14">
        <v>5.7208699999999997</v>
      </c>
      <c r="F570" s="14">
        <v>4.5651359999999999</v>
      </c>
      <c r="G570" s="14">
        <v>3.730375</v>
      </c>
      <c r="H570" s="15">
        <v>5.0273770000000004</v>
      </c>
      <c r="I570" s="15">
        <v>3.432544</v>
      </c>
      <c r="J570" s="15">
        <v>12.14429</v>
      </c>
      <c r="K570" s="15">
        <v>5.1753280000000004</v>
      </c>
      <c r="L570" s="16">
        <v>4.1176069999999996</v>
      </c>
      <c r="M570" s="16">
        <v>6.3234060000000003</v>
      </c>
      <c r="N570" s="16">
        <v>7.5271739999999996</v>
      </c>
      <c r="O570" s="16">
        <v>3.9090199999999999</v>
      </c>
      <c r="P570" s="17">
        <v>8.3138260000000006</v>
      </c>
      <c r="Q570" s="17">
        <v>7.1157859999999999</v>
      </c>
      <c r="R570" s="17">
        <v>4.7478059999999997</v>
      </c>
      <c r="S570" s="17">
        <v>9.6278450000000007</v>
      </c>
      <c r="AP570" s="35"/>
      <c r="AQ570" s="35"/>
      <c r="AR570" s="35"/>
      <c r="AS570" s="35"/>
    </row>
    <row r="571" spans="2:45" x14ac:dyDescent="0.2">
      <c r="B571" s="2">
        <v>43479.727488425924</v>
      </c>
      <c r="C571" s="5">
        <f t="shared" si="59"/>
        <v>23.416665729999913</v>
      </c>
      <c r="D571" s="14">
        <v>5.5492990000000004</v>
      </c>
      <c r="E571" s="14">
        <v>5.7241609999999996</v>
      </c>
      <c r="F571" s="14">
        <v>4.5651359999999999</v>
      </c>
      <c r="G571" s="14">
        <v>3.730375</v>
      </c>
      <c r="H571" s="15">
        <v>5.0273770000000004</v>
      </c>
      <c r="I571" s="15">
        <v>3.432544</v>
      </c>
      <c r="J571" s="15">
        <v>12.14859</v>
      </c>
      <c r="K571" s="15">
        <v>5.1960709999999999</v>
      </c>
      <c r="L571" s="16">
        <v>4.1176069999999996</v>
      </c>
      <c r="M571" s="16">
        <v>6.3461509999999999</v>
      </c>
      <c r="N571" s="16">
        <v>7.537331</v>
      </c>
      <c r="O571" s="16">
        <v>3.9113799999999999</v>
      </c>
      <c r="P571" s="17">
        <v>8.3138260000000006</v>
      </c>
      <c r="Q571" s="17">
        <v>7.1233680000000001</v>
      </c>
      <c r="R571" s="17">
        <v>4.7478059999999997</v>
      </c>
      <c r="S571" s="17">
        <v>9.6507330000000007</v>
      </c>
      <c r="AP571" s="35"/>
      <c r="AQ571" s="35"/>
      <c r="AR571" s="35"/>
      <c r="AS571" s="35"/>
    </row>
    <row r="572" spans="2:45" x14ac:dyDescent="0.2">
      <c r="B572" s="2">
        <v>43479.73096064815</v>
      </c>
      <c r="C572" s="5">
        <f t="shared" si="59"/>
        <v>23.499999059999912</v>
      </c>
      <c r="D572" s="14">
        <v>5.5492990000000004</v>
      </c>
      <c r="E572" s="14">
        <v>5.7274510000000003</v>
      </c>
      <c r="F572" s="14">
        <v>4.5651359999999999</v>
      </c>
      <c r="G572" s="14">
        <v>3.730375</v>
      </c>
      <c r="H572" s="15">
        <v>5.0273770000000004</v>
      </c>
      <c r="I572" s="15">
        <v>3.432544</v>
      </c>
      <c r="J572" s="15">
        <v>12.15288</v>
      </c>
      <c r="K572" s="15">
        <v>5.2168130000000001</v>
      </c>
      <c r="L572" s="16">
        <v>4.1176069999999996</v>
      </c>
      <c r="M572" s="16">
        <v>6.3688960000000003</v>
      </c>
      <c r="N572" s="16">
        <v>7.5474870000000003</v>
      </c>
      <c r="O572" s="16">
        <v>3.9137409999999999</v>
      </c>
      <c r="P572" s="17">
        <v>8.3138260000000006</v>
      </c>
      <c r="Q572" s="17">
        <v>7.1309490000000002</v>
      </c>
      <c r="R572" s="17">
        <v>4.7478059999999997</v>
      </c>
      <c r="S572" s="17">
        <v>9.6736210000000007</v>
      </c>
      <c r="AP572" s="35"/>
      <c r="AQ572" s="35"/>
      <c r="AR572" s="35"/>
      <c r="AS572" s="35"/>
    </row>
    <row r="573" spans="2:45" x14ac:dyDescent="0.2">
      <c r="B573" s="2">
        <v>43479.734432870369</v>
      </c>
      <c r="C573" s="5">
        <f t="shared" si="59"/>
        <v>23.58333238999991</v>
      </c>
      <c r="D573" s="14">
        <v>5.5492990000000004</v>
      </c>
      <c r="E573" s="14">
        <v>5.7307410000000001</v>
      </c>
      <c r="F573" s="14">
        <v>4.5651359999999999</v>
      </c>
      <c r="G573" s="14">
        <v>3.730375</v>
      </c>
      <c r="H573" s="15">
        <v>5.0273770000000004</v>
      </c>
      <c r="I573" s="15">
        <v>3.432544</v>
      </c>
      <c r="J573" s="15">
        <v>12.157170000000001</v>
      </c>
      <c r="K573" s="15">
        <v>5.2375559999999997</v>
      </c>
      <c r="L573" s="16">
        <v>4.1176069999999996</v>
      </c>
      <c r="M573" s="16">
        <v>6.391642</v>
      </c>
      <c r="N573" s="16">
        <v>7.5576439999999998</v>
      </c>
      <c r="O573" s="16">
        <v>3.9161009999999998</v>
      </c>
      <c r="P573" s="17">
        <v>8.3138260000000006</v>
      </c>
      <c r="Q573" s="17">
        <v>7.1359029999999999</v>
      </c>
      <c r="R573" s="17">
        <v>4.7478059999999997</v>
      </c>
      <c r="S573" s="17">
        <v>9.6965090000000007</v>
      </c>
      <c r="AP573" s="35"/>
      <c r="AQ573" s="35"/>
      <c r="AR573" s="35"/>
      <c r="AS573" s="35"/>
    </row>
    <row r="574" spans="2:45" x14ac:dyDescent="0.2">
      <c r="B574" s="2">
        <v>43479.737905092596</v>
      </c>
      <c r="C574" s="5">
        <f t="shared" si="59"/>
        <v>23.666665719999909</v>
      </c>
      <c r="D574" s="14">
        <v>5.5492990000000004</v>
      </c>
      <c r="E574" s="14">
        <v>5.7340309999999999</v>
      </c>
      <c r="F574" s="14">
        <v>4.5651359999999999</v>
      </c>
      <c r="G574" s="14">
        <v>3.730375</v>
      </c>
      <c r="H574" s="15">
        <v>5.0273770000000004</v>
      </c>
      <c r="I574" s="15">
        <v>3.432544</v>
      </c>
      <c r="J574" s="15">
        <v>12.16146</v>
      </c>
      <c r="K574" s="15">
        <v>5.2582979999999999</v>
      </c>
      <c r="L574" s="16">
        <v>4.1176069999999996</v>
      </c>
      <c r="M574" s="16">
        <v>6.4143869999999996</v>
      </c>
      <c r="N574" s="16">
        <v>7.5678010000000002</v>
      </c>
      <c r="O574" s="16">
        <v>3.9184610000000002</v>
      </c>
      <c r="P574" s="17">
        <v>8.3138260000000006</v>
      </c>
      <c r="Q574" s="17">
        <v>7.1359029999999999</v>
      </c>
      <c r="R574" s="17">
        <v>4.7478059999999997</v>
      </c>
      <c r="S574" s="17">
        <v>9.719398</v>
      </c>
      <c r="AP574" s="35"/>
      <c r="AQ574" s="35"/>
      <c r="AR574" s="35"/>
      <c r="AS574" s="35"/>
    </row>
    <row r="575" spans="2:45" x14ac:dyDescent="0.2">
      <c r="B575" s="2">
        <v>43479.741377314815</v>
      </c>
      <c r="C575" s="5">
        <f t="shared" si="59"/>
        <v>23.749999049999907</v>
      </c>
      <c r="D575" s="14">
        <v>5.5492990000000004</v>
      </c>
      <c r="E575" s="14">
        <v>5.7373209999999997</v>
      </c>
      <c r="F575" s="14">
        <v>4.5651359999999999</v>
      </c>
      <c r="G575" s="14">
        <v>3.730375</v>
      </c>
      <c r="H575" s="15">
        <v>5.0273770000000004</v>
      </c>
      <c r="I575" s="15">
        <v>3.432544</v>
      </c>
      <c r="J575" s="15">
        <v>12.165749999999999</v>
      </c>
      <c r="K575" s="15">
        <v>5.2790400000000002</v>
      </c>
      <c r="L575" s="16">
        <v>4.1176069999999996</v>
      </c>
      <c r="M575" s="16">
        <v>6.4371320000000001</v>
      </c>
      <c r="N575" s="16">
        <v>7.5779569999999996</v>
      </c>
      <c r="O575" s="16">
        <v>3.9208219999999998</v>
      </c>
      <c r="P575" s="17">
        <v>8.3138260000000006</v>
      </c>
      <c r="Q575" s="17">
        <v>7.1359029999999999</v>
      </c>
      <c r="R575" s="17">
        <v>4.7478059999999997</v>
      </c>
      <c r="S575" s="17">
        <v>9.7257300000000004</v>
      </c>
      <c r="AP575" s="35"/>
      <c r="AQ575" s="35"/>
      <c r="AR575" s="35"/>
      <c r="AS575" s="35"/>
    </row>
    <row r="576" spans="2:45" x14ac:dyDescent="0.2">
      <c r="B576" s="2">
        <v>43479.744849537034</v>
      </c>
      <c r="C576" s="5">
        <f t="shared" si="59"/>
        <v>23.833332379999906</v>
      </c>
      <c r="D576" s="14">
        <v>5.5492990000000004</v>
      </c>
      <c r="E576" s="14">
        <v>5.7406119999999996</v>
      </c>
      <c r="F576" s="14">
        <v>4.5651359999999999</v>
      </c>
      <c r="G576" s="14">
        <v>3.730375</v>
      </c>
      <c r="H576" s="15">
        <v>5.0273770000000004</v>
      </c>
      <c r="I576" s="15">
        <v>3.432544</v>
      </c>
      <c r="J576" s="15">
        <v>12.17004</v>
      </c>
      <c r="K576" s="15">
        <v>5.2997829999999997</v>
      </c>
      <c r="L576" s="16">
        <v>4.1176069999999996</v>
      </c>
      <c r="M576" s="16">
        <v>6.4598769999999996</v>
      </c>
      <c r="N576" s="16">
        <v>7.588114</v>
      </c>
      <c r="O576" s="16">
        <v>3.9231820000000002</v>
      </c>
      <c r="P576" s="17">
        <v>8.3138260000000006</v>
      </c>
      <c r="Q576" s="17">
        <v>7.1616780000000002</v>
      </c>
      <c r="R576" s="17">
        <v>4.7478059999999997</v>
      </c>
      <c r="S576" s="17">
        <v>9.7257300000000004</v>
      </c>
      <c r="AP576" s="35"/>
      <c r="AQ576" s="35"/>
      <c r="AR576" s="35"/>
      <c r="AS576" s="35"/>
    </row>
    <row r="577" spans="2:48" x14ac:dyDescent="0.2">
      <c r="B577" s="2">
        <v>43479.74832175926</v>
      </c>
      <c r="C577" s="5">
        <f t="shared" si="59"/>
        <v>23.916665709999904</v>
      </c>
      <c r="D577" s="14">
        <v>5.5492990000000004</v>
      </c>
      <c r="E577" s="14">
        <v>5.7439020000000003</v>
      </c>
      <c r="F577" s="14">
        <v>4.5651359999999999</v>
      </c>
      <c r="G577" s="14">
        <v>3.730375</v>
      </c>
      <c r="H577" s="15">
        <v>5.0273770000000004</v>
      </c>
      <c r="I577" s="15">
        <v>3.432544</v>
      </c>
      <c r="J577" s="15">
        <v>12.174340000000001</v>
      </c>
      <c r="K577" s="15">
        <v>5.3205249999999999</v>
      </c>
      <c r="L577" s="16">
        <v>4.1176069999999996</v>
      </c>
      <c r="M577" s="16">
        <v>6.4826220000000001</v>
      </c>
      <c r="N577" s="16">
        <v>7.5982700000000003</v>
      </c>
      <c r="O577" s="16">
        <v>3.9255420000000001</v>
      </c>
      <c r="P577" s="17">
        <v>8.3138260000000006</v>
      </c>
      <c r="Q577" s="17">
        <v>7.1951520000000002</v>
      </c>
      <c r="R577" s="17">
        <v>4.7478059999999997</v>
      </c>
      <c r="S577" s="17">
        <v>9.7257300000000004</v>
      </c>
      <c r="AP577" s="35"/>
      <c r="AQ577" s="35"/>
      <c r="AR577" s="35"/>
      <c r="AS577" s="35"/>
    </row>
    <row r="578" spans="2:48" x14ac:dyDescent="0.2">
      <c r="B578" s="8">
        <v>43479.751793981479</v>
      </c>
      <c r="C578" s="9">
        <v>0</v>
      </c>
      <c r="D578" s="14">
        <v>5.5492990000000004</v>
      </c>
      <c r="E578" s="14">
        <v>5.7471920000000001</v>
      </c>
      <c r="F578" s="14">
        <v>4.5651359999999999</v>
      </c>
      <c r="G578" s="14">
        <v>3.730375</v>
      </c>
      <c r="H578" s="15">
        <v>5.0273770000000004</v>
      </c>
      <c r="I578" s="15">
        <v>3.432544</v>
      </c>
      <c r="J578" s="15">
        <v>12.17863</v>
      </c>
      <c r="K578" s="15">
        <v>5.3412680000000003</v>
      </c>
      <c r="L578" s="16">
        <v>4.1176069999999996</v>
      </c>
      <c r="M578" s="16">
        <v>6.5053669999999997</v>
      </c>
      <c r="N578" s="16">
        <v>7.6084269999999998</v>
      </c>
      <c r="O578" s="16">
        <v>3.9279030000000001</v>
      </c>
      <c r="P578" s="17">
        <v>8.3138260000000006</v>
      </c>
      <c r="Q578" s="17">
        <v>7.2286260000000002</v>
      </c>
      <c r="R578" s="17">
        <v>4.7478059999999997</v>
      </c>
      <c r="S578" s="17">
        <v>9.7257300000000004</v>
      </c>
      <c r="V578" s="28">
        <v>0</v>
      </c>
      <c r="W578">
        <f>AVERAGE(D567:D578)</f>
        <v>5.5439367499999994</v>
      </c>
      <c r="X578">
        <f t="shared" ref="X578:AL578" si="65">AVERAGE(E567:E578)</f>
        <v>5.7290959166666662</v>
      </c>
      <c r="Y578">
        <f t="shared" si="65"/>
        <v>4.5651360000000007</v>
      </c>
      <c r="Z578">
        <f t="shared" si="65"/>
        <v>3.7303750000000004</v>
      </c>
      <c r="AA578">
        <f t="shared" si="65"/>
        <v>5.0273770000000004</v>
      </c>
      <c r="AB578">
        <f t="shared" si="65"/>
        <v>3.432544</v>
      </c>
      <c r="AC578">
        <f t="shared" si="65"/>
        <v>12.155660833333334</v>
      </c>
      <c r="AD578">
        <f t="shared" si="65"/>
        <v>5.2271843333333337</v>
      </c>
      <c r="AE578">
        <f t="shared" si="65"/>
        <v>4.1176069999999996</v>
      </c>
      <c r="AF578">
        <f t="shared" si="65"/>
        <v>6.3844482499999984</v>
      </c>
      <c r="AG578">
        <f t="shared" si="65"/>
        <v>7.5525655833333341</v>
      </c>
      <c r="AH578">
        <f t="shared" si="65"/>
        <v>3.9149208333333334</v>
      </c>
      <c r="AI578">
        <f t="shared" si="65"/>
        <v>8.3138260000000024</v>
      </c>
      <c r="AJ578">
        <f t="shared" si="65"/>
        <v>7.138761333333334</v>
      </c>
      <c r="AK578">
        <f t="shared" si="65"/>
        <v>4.7478059999999989</v>
      </c>
      <c r="AL578">
        <f t="shared" si="65"/>
        <v>9.6681025833333329</v>
      </c>
      <c r="AO578" s="28">
        <v>0</v>
      </c>
      <c r="AP578" s="35">
        <f>AVERAGE(W578:Z578)</f>
        <v>4.8921359166666667</v>
      </c>
      <c r="AQ578" s="35">
        <f>AVERAGE(AA578:AD578)</f>
        <v>6.4606915416666677</v>
      </c>
      <c r="AR578" s="35">
        <f>AVERAGE(AE578:AH578)</f>
        <v>5.4923854166666661</v>
      </c>
      <c r="AS578" s="35">
        <f>AVERAGE(AI578:AL578)</f>
        <v>7.4671239791666677</v>
      </c>
      <c r="AV578" s="28"/>
    </row>
    <row r="579" spans="2:48" x14ac:dyDescent="0.2">
      <c r="B579" s="2">
        <v>43479.755266203705</v>
      </c>
      <c r="C579" s="5">
        <f t="shared" si="59"/>
        <v>8.3333329999999997E-2</v>
      </c>
      <c r="D579" s="14">
        <v>5.5492990000000004</v>
      </c>
      <c r="E579" s="14">
        <v>5.7504819999999999</v>
      </c>
      <c r="F579" s="14">
        <v>4.5651359999999999</v>
      </c>
      <c r="G579" s="14">
        <v>3.730375</v>
      </c>
      <c r="H579" s="15">
        <v>5.0273770000000004</v>
      </c>
      <c r="I579" s="15">
        <v>3.432544</v>
      </c>
      <c r="J579" s="15">
        <v>12.182919999999999</v>
      </c>
      <c r="K579" s="15">
        <v>5.3620099999999997</v>
      </c>
      <c r="L579" s="16">
        <v>4.1176069999999996</v>
      </c>
      <c r="M579" s="16">
        <v>6.5281120000000001</v>
      </c>
      <c r="N579" s="16">
        <v>7.6185840000000002</v>
      </c>
      <c r="O579" s="16">
        <v>3.9302630000000001</v>
      </c>
      <c r="P579" s="17">
        <v>8.3138260000000006</v>
      </c>
      <c r="Q579" s="17">
        <v>7.2621000000000002</v>
      </c>
      <c r="R579" s="17">
        <v>4.7478059999999997</v>
      </c>
      <c r="S579" s="17">
        <v>9.7257300000000004</v>
      </c>
      <c r="AP579" s="35"/>
      <c r="AQ579" s="35"/>
      <c r="AR579" s="35"/>
      <c r="AS579" s="35"/>
    </row>
    <row r="580" spans="2:48" x14ac:dyDescent="0.2">
      <c r="B580" s="2">
        <v>43479.758738425924</v>
      </c>
      <c r="C580" s="5">
        <f t="shared" ref="C580:C643" si="66">C579+0.08333333</f>
        <v>0.16666665999999999</v>
      </c>
      <c r="D580" s="14">
        <v>5.5492990000000004</v>
      </c>
      <c r="E580" s="14">
        <v>5.7537719999999997</v>
      </c>
      <c r="F580" s="14">
        <v>4.5651359999999999</v>
      </c>
      <c r="G580" s="14">
        <v>3.730375</v>
      </c>
      <c r="H580" s="15">
        <v>5.0273770000000004</v>
      </c>
      <c r="I580" s="15">
        <v>3.432544</v>
      </c>
      <c r="J580" s="15">
        <v>12.18721</v>
      </c>
      <c r="K580" s="15">
        <v>5.382752</v>
      </c>
      <c r="L580" s="16">
        <v>4.1176069999999996</v>
      </c>
      <c r="M580" s="16">
        <v>6.5508579999999998</v>
      </c>
      <c r="N580" s="16">
        <v>7.6287399999999996</v>
      </c>
      <c r="O580" s="16">
        <v>3.932623</v>
      </c>
      <c r="P580" s="17">
        <v>8.3138260000000006</v>
      </c>
      <c r="Q580" s="17">
        <v>7.2955740000000002</v>
      </c>
      <c r="R580" s="17">
        <v>4.7478059999999997</v>
      </c>
      <c r="S580" s="17">
        <v>9.7257300000000004</v>
      </c>
      <c r="AP580" s="35"/>
      <c r="AQ580" s="35"/>
      <c r="AR580" s="35"/>
      <c r="AS580" s="35"/>
    </row>
    <row r="581" spans="2:48" x14ac:dyDescent="0.2">
      <c r="B581" s="2">
        <v>43479.76221064815</v>
      </c>
      <c r="C581" s="5">
        <f t="shared" si="66"/>
        <v>0.24999999000000001</v>
      </c>
      <c r="D581" s="14">
        <v>5.5492990000000004</v>
      </c>
      <c r="E581" s="14">
        <v>5.7570620000000003</v>
      </c>
      <c r="F581" s="14">
        <v>4.5651359999999999</v>
      </c>
      <c r="G581" s="14">
        <v>3.730375</v>
      </c>
      <c r="H581" s="15">
        <v>5.0273770000000004</v>
      </c>
      <c r="I581" s="15">
        <v>3.432544</v>
      </c>
      <c r="J581" s="15">
        <v>12.1915</v>
      </c>
      <c r="K581" s="15">
        <v>5.4034950000000004</v>
      </c>
      <c r="L581" s="16">
        <v>4.1176069999999996</v>
      </c>
      <c r="M581" s="16">
        <v>6.5736030000000003</v>
      </c>
      <c r="N581" s="16">
        <v>7.638897</v>
      </c>
      <c r="O581" s="16">
        <v>3.934984</v>
      </c>
      <c r="P581" s="17">
        <v>8.3138260000000006</v>
      </c>
      <c r="Q581" s="17">
        <v>7.3290480000000002</v>
      </c>
      <c r="R581" s="17">
        <v>4.7478059999999997</v>
      </c>
      <c r="S581" s="17">
        <v>9.7257300000000004</v>
      </c>
      <c r="AP581" s="35"/>
      <c r="AQ581" s="35"/>
      <c r="AR581" s="35"/>
      <c r="AS581" s="35"/>
    </row>
    <row r="582" spans="2:48" x14ac:dyDescent="0.2">
      <c r="B582" s="2">
        <v>43479.765682870369</v>
      </c>
      <c r="C582" s="5">
        <f t="shared" si="66"/>
        <v>0.33333331999999999</v>
      </c>
      <c r="D582" s="14">
        <v>5.5492990000000004</v>
      </c>
      <c r="E582" s="14">
        <v>5.7603530000000003</v>
      </c>
      <c r="F582" s="14">
        <v>4.5651359999999999</v>
      </c>
      <c r="G582" s="14">
        <v>3.730375</v>
      </c>
      <c r="H582" s="15">
        <v>5.0273770000000004</v>
      </c>
      <c r="I582" s="15">
        <v>3.432544</v>
      </c>
      <c r="J582" s="15">
        <v>12.195790000000001</v>
      </c>
      <c r="K582" s="15">
        <v>5.4242369999999998</v>
      </c>
      <c r="L582" s="16">
        <v>4.1176069999999996</v>
      </c>
      <c r="M582" s="16">
        <v>6.5963479999999999</v>
      </c>
      <c r="N582" s="16">
        <v>7.643688</v>
      </c>
      <c r="O582" s="16">
        <v>3.937344</v>
      </c>
      <c r="P582" s="17">
        <v>8.3138260000000006</v>
      </c>
      <c r="Q582" s="17">
        <v>7.3625220000000002</v>
      </c>
      <c r="R582" s="17">
        <v>4.7478059999999997</v>
      </c>
      <c r="S582" s="17">
        <v>9.7257300000000004</v>
      </c>
      <c r="AP582" s="35"/>
      <c r="AQ582" s="35"/>
      <c r="AR582" s="35"/>
      <c r="AS582" s="35"/>
    </row>
    <row r="583" spans="2:48" x14ac:dyDescent="0.2">
      <c r="B583" s="2">
        <v>43479.769155092596</v>
      </c>
      <c r="C583" s="5">
        <f t="shared" si="66"/>
        <v>0.41666664999999997</v>
      </c>
      <c r="D583" s="14">
        <v>5.5492990000000004</v>
      </c>
      <c r="E583" s="14">
        <v>5.7636430000000001</v>
      </c>
      <c r="F583" s="14">
        <v>4.5651359999999999</v>
      </c>
      <c r="G583" s="14">
        <v>3.730375</v>
      </c>
      <c r="H583" s="15">
        <v>5.0273770000000004</v>
      </c>
      <c r="I583" s="15">
        <v>3.432544</v>
      </c>
      <c r="J583" s="15">
        <v>12.1999</v>
      </c>
      <c r="K583" s="15">
        <v>5.4380309999999996</v>
      </c>
      <c r="L583" s="16">
        <v>4.1176069999999996</v>
      </c>
      <c r="M583" s="16">
        <v>6.6190930000000003</v>
      </c>
      <c r="N583" s="16">
        <v>7.643688</v>
      </c>
      <c r="O583" s="16">
        <v>3.9397039999999999</v>
      </c>
      <c r="P583" s="17">
        <v>8.3138260000000006</v>
      </c>
      <c r="Q583" s="17">
        <v>7.3959960000000002</v>
      </c>
      <c r="R583" s="17">
        <v>4.7478059999999997</v>
      </c>
      <c r="S583" s="17">
        <v>9.7257300000000004</v>
      </c>
      <c r="AP583" s="35"/>
      <c r="AQ583" s="35"/>
      <c r="AR583" s="35"/>
      <c r="AS583" s="35"/>
    </row>
    <row r="584" spans="2:48" x14ac:dyDescent="0.2">
      <c r="B584" s="2">
        <v>43479.772627314815</v>
      </c>
      <c r="C584" s="5">
        <f t="shared" si="66"/>
        <v>0.49999997999999996</v>
      </c>
      <c r="D584" s="14">
        <v>5.5492990000000004</v>
      </c>
      <c r="E584" s="14">
        <v>5.7669329999999999</v>
      </c>
      <c r="F584" s="14">
        <v>4.5651359999999999</v>
      </c>
      <c r="G584" s="14">
        <v>3.730375</v>
      </c>
      <c r="H584" s="15">
        <v>5.0273770000000004</v>
      </c>
      <c r="I584" s="15">
        <v>3.432544</v>
      </c>
      <c r="J584" s="15">
        <v>12.20241</v>
      </c>
      <c r="K584" s="15">
        <v>5.4380309999999996</v>
      </c>
      <c r="L584" s="16">
        <v>4.1176069999999996</v>
      </c>
      <c r="M584" s="16">
        <v>6.6418379999999999</v>
      </c>
      <c r="N584" s="16">
        <v>7.643688</v>
      </c>
      <c r="O584" s="16">
        <v>3.9420649999999999</v>
      </c>
      <c r="P584" s="17">
        <v>8.3138260000000006</v>
      </c>
      <c r="Q584" s="17">
        <v>7.4294700000000002</v>
      </c>
      <c r="R584" s="17">
        <v>4.7478059999999997</v>
      </c>
      <c r="S584" s="17">
        <v>9.7257300000000004</v>
      </c>
      <c r="AP584" s="35"/>
      <c r="AQ584" s="35"/>
      <c r="AR584" s="35"/>
      <c r="AS584" s="35"/>
    </row>
    <row r="585" spans="2:48" x14ac:dyDescent="0.2">
      <c r="B585" s="2">
        <v>43479.776099537034</v>
      </c>
      <c r="C585" s="5">
        <f t="shared" si="66"/>
        <v>0.58333330999999999</v>
      </c>
      <c r="D585" s="14">
        <v>5.5492990000000004</v>
      </c>
      <c r="E585" s="14">
        <v>5.7702229999999997</v>
      </c>
      <c r="F585" s="14">
        <v>4.5651359999999999</v>
      </c>
      <c r="G585" s="14">
        <v>3.730375</v>
      </c>
      <c r="H585" s="15">
        <v>5.0273770000000004</v>
      </c>
      <c r="I585" s="15">
        <v>3.432544</v>
      </c>
      <c r="J585" s="15">
        <v>12.24676</v>
      </c>
      <c r="K585" s="15">
        <v>5.4380309999999996</v>
      </c>
      <c r="L585" s="16">
        <v>4.1176069999999996</v>
      </c>
      <c r="M585" s="16">
        <v>6.6645830000000004</v>
      </c>
      <c r="N585" s="16">
        <v>7.643688</v>
      </c>
      <c r="O585" s="16">
        <v>3.9444249999999998</v>
      </c>
      <c r="P585" s="17">
        <v>8.3138260000000006</v>
      </c>
      <c r="Q585" s="17">
        <v>7.4629440000000002</v>
      </c>
      <c r="R585" s="17">
        <v>4.7478059999999997</v>
      </c>
      <c r="S585" s="17">
        <v>9.7257300000000004</v>
      </c>
      <c r="AP585" s="35"/>
      <c r="AQ585" s="35"/>
      <c r="AR585" s="35"/>
      <c r="AS585" s="35"/>
    </row>
    <row r="586" spans="2:48" x14ac:dyDescent="0.2">
      <c r="B586" s="2">
        <v>43479.77957175926</v>
      </c>
      <c r="C586" s="5">
        <f t="shared" si="66"/>
        <v>0.66666663999999998</v>
      </c>
      <c r="D586" s="14">
        <v>5.5492990000000004</v>
      </c>
      <c r="E586" s="14">
        <v>5.7735130000000003</v>
      </c>
      <c r="F586" s="14">
        <v>4.5651359999999999</v>
      </c>
      <c r="G586" s="14">
        <v>3.730375</v>
      </c>
      <c r="H586" s="15">
        <v>5.0273770000000004</v>
      </c>
      <c r="I586" s="15">
        <v>3.432544</v>
      </c>
      <c r="J586" s="15">
        <v>12.2911</v>
      </c>
      <c r="K586" s="15">
        <v>5.4380309999999996</v>
      </c>
      <c r="L586" s="16">
        <v>4.1176069999999996</v>
      </c>
      <c r="M586" s="16">
        <v>6.6873279999999999</v>
      </c>
      <c r="N586" s="16">
        <v>7.643688</v>
      </c>
      <c r="O586" s="16">
        <v>3.9467850000000002</v>
      </c>
      <c r="P586" s="17">
        <v>8.3138260000000006</v>
      </c>
      <c r="Q586" s="17">
        <v>7.4964180000000002</v>
      </c>
      <c r="R586" s="17">
        <v>4.7478059999999997</v>
      </c>
      <c r="S586" s="17">
        <v>9.7257300000000004</v>
      </c>
      <c r="AP586" s="35"/>
      <c r="AQ586" s="35"/>
      <c r="AR586" s="35"/>
      <c r="AS586" s="35"/>
    </row>
    <row r="587" spans="2:48" x14ac:dyDescent="0.2">
      <c r="B587" s="2">
        <v>43479.783043981479</v>
      </c>
      <c r="C587" s="5">
        <f t="shared" si="66"/>
        <v>0.74999996999999996</v>
      </c>
      <c r="D587" s="14">
        <v>5.5492990000000004</v>
      </c>
      <c r="E587" s="14">
        <v>5.7768030000000001</v>
      </c>
      <c r="F587" s="14">
        <v>4.5651359999999999</v>
      </c>
      <c r="G587" s="14">
        <v>3.730375</v>
      </c>
      <c r="H587" s="15">
        <v>5.0273770000000004</v>
      </c>
      <c r="I587" s="15">
        <v>3.432544</v>
      </c>
      <c r="J587" s="15">
        <v>12.33545</v>
      </c>
      <c r="K587" s="15">
        <v>5.4380309999999996</v>
      </c>
      <c r="L587" s="16">
        <v>4.1176069999999996</v>
      </c>
      <c r="M587" s="16">
        <v>6.7100730000000004</v>
      </c>
      <c r="N587" s="16">
        <v>7.643688</v>
      </c>
      <c r="O587" s="16">
        <v>3.9491459999999998</v>
      </c>
      <c r="P587" s="17">
        <v>8.3138260000000006</v>
      </c>
      <c r="Q587" s="17">
        <v>7.5298910000000001</v>
      </c>
      <c r="R587" s="17">
        <v>4.7478059999999997</v>
      </c>
      <c r="S587" s="17">
        <v>9.7257300000000004</v>
      </c>
      <c r="AP587" s="35"/>
      <c r="AQ587" s="35"/>
      <c r="AR587" s="35"/>
      <c r="AS587" s="35"/>
    </row>
    <row r="588" spans="2:48" x14ac:dyDescent="0.2">
      <c r="B588" s="2">
        <v>43479.786516203705</v>
      </c>
      <c r="C588" s="5">
        <f t="shared" si="66"/>
        <v>0.83333329999999994</v>
      </c>
      <c r="D588" s="14">
        <v>5.5492990000000004</v>
      </c>
      <c r="E588" s="14">
        <v>5.7800940000000001</v>
      </c>
      <c r="F588" s="14">
        <v>4.5651359999999999</v>
      </c>
      <c r="G588" s="14">
        <v>3.730375</v>
      </c>
      <c r="H588" s="15">
        <v>5.0273770000000004</v>
      </c>
      <c r="I588" s="15">
        <v>3.432544</v>
      </c>
      <c r="J588" s="15">
        <v>12.379799999999999</v>
      </c>
      <c r="K588" s="15">
        <v>5.4380309999999996</v>
      </c>
      <c r="L588" s="16">
        <v>4.1176069999999996</v>
      </c>
      <c r="M588" s="16">
        <v>6.7328190000000001</v>
      </c>
      <c r="N588" s="16">
        <v>7.643688</v>
      </c>
      <c r="O588" s="16">
        <v>3.9515060000000002</v>
      </c>
      <c r="P588" s="17">
        <v>8.3138260000000006</v>
      </c>
      <c r="Q588" s="17">
        <v>7.5633650000000001</v>
      </c>
      <c r="R588" s="17">
        <v>4.7478059999999997</v>
      </c>
      <c r="S588" s="17">
        <v>9.7511740000000007</v>
      </c>
      <c r="AP588" s="35"/>
      <c r="AQ588" s="35"/>
      <c r="AR588" s="35"/>
      <c r="AS588" s="35"/>
    </row>
    <row r="589" spans="2:48" x14ac:dyDescent="0.2">
      <c r="B589" s="2">
        <v>43479.789988425924</v>
      </c>
      <c r="C589" s="5">
        <f t="shared" si="66"/>
        <v>0.91666662999999993</v>
      </c>
      <c r="D589" s="14">
        <v>5.5492990000000004</v>
      </c>
      <c r="E589" s="14">
        <v>5.7833839999999999</v>
      </c>
      <c r="F589" s="14">
        <v>4.5651359999999999</v>
      </c>
      <c r="G589" s="14">
        <v>3.730375</v>
      </c>
      <c r="H589" s="15">
        <v>5.0273770000000004</v>
      </c>
      <c r="I589" s="15">
        <v>3.432544</v>
      </c>
      <c r="J589" s="15">
        <v>12.42414</v>
      </c>
      <c r="K589" s="15">
        <v>5.4380309999999996</v>
      </c>
      <c r="L589" s="16">
        <v>4.1176069999999996</v>
      </c>
      <c r="M589" s="16">
        <v>6.7555639999999997</v>
      </c>
      <c r="N589" s="16">
        <v>7.643688</v>
      </c>
      <c r="O589" s="16">
        <v>3.9538660000000001</v>
      </c>
      <c r="P589" s="17">
        <v>8.3138260000000006</v>
      </c>
      <c r="Q589" s="17">
        <v>7.5968390000000001</v>
      </c>
      <c r="R589" s="17">
        <v>4.7478059999999997</v>
      </c>
      <c r="S589" s="17">
        <v>9.7926590000000004</v>
      </c>
      <c r="AP589" s="35"/>
      <c r="AQ589" s="35"/>
      <c r="AR589" s="35"/>
      <c r="AS589" s="35"/>
    </row>
    <row r="590" spans="2:48" x14ac:dyDescent="0.2">
      <c r="B590" s="2">
        <v>43479.79346064815</v>
      </c>
      <c r="C590" s="5">
        <f t="shared" si="66"/>
        <v>0.99999995999999991</v>
      </c>
      <c r="D590" s="14">
        <v>5.5492990000000004</v>
      </c>
      <c r="E590" s="14">
        <v>5.7866739999999997</v>
      </c>
      <c r="F590" s="14">
        <v>4.5651359999999999</v>
      </c>
      <c r="G590" s="14">
        <v>3.730375</v>
      </c>
      <c r="H590" s="15">
        <v>5.0273770000000004</v>
      </c>
      <c r="I590" s="15">
        <v>3.432544</v>
      </c>
      <c r="J590" s="15">
        <v>12.468489999999999</v>
      </c>
      <c r="K590" s="15">
        <v>5.4380309999999996</v>
      </c>
      <c r="L590" s="16">
        <v>4.1176069999999996</v>
      </c>
      <c r="M590" s="16">
        <v>6.7783090000000001</v>
      </c>
      <c r="N590" s="16">
        <v>7.643688</v>
      </c>
      <c r="O590" s="16">
        <v>3.9562270000000002</v>
      </c>
      <c r="P590" s="17">
        <v>8.3138260000000006</v>
      </c>
      <c r="Q590" s="17">
        <v>7.6303130000000001</v>
      </c>
      <c r="R590" s="17">
        <v>4.7478059999999997</v>
      </c>
      <c r="S590" s="17">
        <v>9.8341440000000002</v>
      </c>
      <c r="V590" s="25">
        <v>1</v>
      </c>
      <c r="W590">
        <f>AVERAGE(D579:D590)</f>
        <v>5.5492989999999986</v>
      </c>
      <c r="X590">
        <f t="shared" ref="X590:AL590" si="67">AVERAGE(E579:E590)</f>
        <v>5.7685780000000006</v>
      </c>
      <c r="Y590">
        <f t="shared" si="67"/>
        <v>4.5651360000000007</v>
      </c>
      <c r="Z590">
        <f t="shared" si="67"/>
        <v>3.7303750000000004</v>
      </c>
      <c r="AA590">
        <f t="shared" si="67"/>
        <v>5.0273770000000004</v>
      </c>
      <c r="AB590">
        <f t="shared" si="67"/>
        <v>3.432544</v>
      </c>
      <c r="AC590">
        <f t="shared" si="67"/>
        <v>12.275455833333332</v>
      </c>
      <c r="AD590">
        <f t="shared" si="67"/>
        <v>5.4230618333333345</v>
      </c>
      <c r="AE590">
        <f t="shared" si="67"/>
        <v>4.1176069999999996</v>
      </c>
      <c r="AF590">
        <f t="shared" si="67"/>
        <v>6.653210666666669</v>
      </c>
      <c r="AG590">
        <f t="shared" si="67"/>
        <v>7.6399510833333322</v>
      </c>
      <c r="AH590">
        <f t="shared" si="67"/>
        <v>3.943244833333333</v>
      </c>
      <c r="AI590">
        <f t="shared" si="67"/>
        <v>8.3138260000000024</v>
      </c>
      <c r="AJ590">
        <f t="shared" si="67"/>
        <v>7.4462066666666678</v>
      </c>
      <c r="AK590">
        <f t="shared" si="67"/>
        <v>4.7478059999999989</v>
      </c>
      <c r="AL590">
        <f t="shared" si="67"/>
        <v>9.7424622500000009</v>
      </c>
      <c r="AO590" s="25">
        <v>1</v>
      </c>
      <c r="AP590" s="35">
        <f>AVERAGE(W590:Z590)</f>
        <v>4.9033470000000001</v>
      </c>
      <c r="AQ590" s="35">
        <f>AVERAGE(AA590:AD590)</f>
        <v>6.5396096666666672</v>
      </c>
      <c r="AR590" s="35">
        <f>AVERAGE(AE590:AH590)</f>
        <v>5.5885033958333334</v>
      </c>
      <c r="AS590" s="35">
        <f>AVERAGE(AI590:AL590)</f>
        <v>7.5625752291666686</v>
      </c>
    </row>
    <row r="591" spans="2:48" x14ac:dyDescent="0.2">
      <c r="B591" s="2">
        <v>43479.796932870369</v>
      </c>
      <c r="C591" s="5">
        <f t="shared" si="66"/>
        <v>1.0833332899999999</v>
      </c>
      <c r="D591" s="14">
        <v>5.5492990000000004</v>
      </c>
      <c r="E591" s="14">
        <v>5.7899640000000003</v>
      </c>
      <c r="F591" s="14">
        <v>4.5651359999999999</v>
      </c>
      <c r="G591" s="14">
        <v>3.730375</v>
      </c>
      <c r="H591" s="15">
        <v>5.0273770000000004</v>
      </c>
      <c r="I591" s="15">
        <v>3.432544</v>
      </c>
      <c r="J591" s="15">
        <v>12.512829999999999</v>
      </c>
      <c r="K591" s="15">
        <v>5.4380309999999996</v>
      </c>
      <c r="L591" s="16">
        <v>4.1176069999999996</v>
      </c>
      <c r="M591" s="16">
        <v>6.8010539999999997</v>
      </c>
      <c r="N591" s="16">
        <v>7.643688</v>
      </c>
      <c r="O591" s="16">
        <v>3.9585870000000001</v>
      </c>
      <c r="P591" s="17">
        <v>8.3138260000000006</v>
      </c>
      <c r="Q591" s="17">
        <v>7.6637870000000001</v>
      </c>
      <c r="R591" s="17">
        <v>4.7478059999999997</v>
      </c>
      <c r="S591" s="17">
        <v>9.8756280000000007</v>
      </c>
      <c r="AP591" s="35"/>
      <c r="AQ591" s="35"/>
      <c r="AR591" s="35"/>
      <c r="AS591" s="35"/>
    </row>
    <row r="592" spans="2:48" x14ac:dyDescent="0.2">
      <c r="B592" s="2">
        <v>43479.800405092596</v>
      </c>
      <c r="C592" s="5">
        <f t="shared" si="66"/>
        <v>1.16666662</v>
      </c>
      <c r="D592" s="14">
        <v>5.5492990000000004</v>
      </c>
      <c r="E592" s="14">
        <v>5.7932540000000001</v>
      </c>
      <c r="F592" s="14">
        <v>4.5651359999999999</v>
      </c>
      <c r="G592" s="14">
        <v>3.730375</v>
      </c>
      <c r="H592" s="15">
        <v>5.0273770000000004</v>
      </c>
      <c r="I592" s="15">
        <v>3.432544</v>
      </c>
      <c r="J592" s="15">
        <v>12.557180000000001</v>
      </c>
      <c r="K592" s="15">
        <v>5.4380309999999996</v>
      </c>
      <c r="L592" s="16">
        <v>4.1176069999999996</v>
      </c>
      <c r="M592" s="16">
        <v>6.8237990000000002</v>
      </c>
      <c r="N592" s="16">
        <v>7.643688</v>
      </c>
      <c r="O592" s="16">
        <v>3.9609480000000001</v>
      </c>
      <c r="P592" s="17">
        <v>8.3138260000000006</v>
      </c>
      <c r="Q592" s="17">
        <v>7.6972610000000001</v>
      </c>
      <c r="R592" s="17">
        <v>4.7478059999999997</v>
      </c>
      <c r="S592" s="17">
        <v>9.9171130000000005</v>
      </c>
      <c r="AP592" s="35"/>
      <c r="AQ592" s="35"/>
      <c r="AR592" s="35"/>
      <c r="AS592" s="35"/>
    </row>
    <row r="593" spans="2:45" x14ac:dyDescent="0.2">
      <c r="B593" s="2">
        <v>43479.803877314815</v>
      </c>
      <c r="C593" s="5">
        <f t="shared" si="66"/>
        <v>1.2499999500000001</v>
      </c>
      <c r="D593" s="14">
        <v>5.5492990000000004</v>
      </c>
      <c r="E593" s="14">
        <v>5.7965450000000001</v>
      </c>
      <c r="F593" s="14">
        <v>4.5651359999999999</v>
      </c>
      <c r="G593" s="14">
        <v>3.730375</v>
      </c>
      <c r="H593" s="15">
        <v>5.0273770000000004</v>
      </c>
      <c r="I593" s="15">
        <v>3.432544</v>
      </c>
      <c r="J593" s="15">
        <v>12.601520000000001</v>
      </c>
      <c r="K593" s="15">
        <v>5.4380309999999996</v>
      </c>
      <c r="L593" s="16">
        <v>4.1176069999999996</v>
      </c>
      <c r="M593" s="16">
        <v>6.8465439999999997</v>
      </c>
      <c r="N593" s="16">
        <v>7.643688</v>
      </c>
      <c r="O593" s="16">
        <v>3.9633080000000001</v>
      </c>
      <c r="P593" s="17">
        <v>8.3138260000000006</v>
      </c>
      <c r="Q593" s="17">
        <v>7.7307350000000001</v>
      </c>
      <c r="R593" s="17">
        <v>4.7478059999999997</v>
      </c>
      <c r="S593" s="17">
        <v>9.9585980000000003</v>
      </c>
      <c r="AP593" s="35"/>
      <c r="AQ593" s="35"/>
      <c r="AR593" s="35"/>
      <c r="AS593" s="35"/>
    </row>
    <row r="594" spans="2:45" x14ac:dyDescent="0.2">
      <c r="B594" s="2">
        <v>43479.807349537034</v>
      </c>
      <c r="C594" s="5">
        <f t="shared" si="66"/>
        <v>1.3333332800000002</v>
      </c>
      <c r="D594" s="14">
        <v>5.5492990000000004</v>
      </c>
      <c r="E594" s="14">
        <v>5.7998349999999999</v>
      </c>
      <c r="F594" s="14">
        <v>4.5651359999999999</v>
      </c>
      <c r="G594" s="14">
        <v>3.730375</v>
      </c>
      <c r="H594" s="15">
        <v>5.0273770000000004</v>
      </c>
      <c r="I594" s="15">
        <v>3.432544</v>
      </c>
      <c r="J594" s="15">
        <v>12.64587</v>
      </c>
      <c r="K594" s="15">
        <v>5.4380309999999996</v>
      </c>
      <c r="L594" s="16">
        <v>4.1176069999999996</v>
      </c>
      <c r="M594" s="16">
        <v>6.8692890000000002</v>
      </c>
      <c r="N594" s="16">
        <v>7.643688</v>
      </c>
      <c r="O594" s="16">
        <v>3.965668</v>
      </c>
      <c r="P594" s="17">
        <v>8.3138260000000006</v>
      </c>
      <c r="Q594" s="17">
        <v>7.7642090000000001</v>
      </c>
      <c r="R594" s="17">
        <v>4.7478059999999997</v>
      </c>
      <c r="S594" s="17">
        <v>10.000080000000001</v>
      </c>
      <c r="AP594" s="35"/>
      <c r="AQ594" s="35"/>
      <c r="AR594" s="35"/>
      <c r="AS594" s="35"/>
    </row>
    <row r="595" spans="2:45" x14ac:dyDescent="0.2">
      <c r="B595" s="2">
        <v>43479.81082175926</v>
      </c>
      <c r="C595" s="5">
        <f t="shared" si="66"/>
        <v>1.4166666100000003</v>
      </c>
      <c r="D595" s="14">
        <v>5.5492990000000004</v>
      </c>
      <c r="E595" s="14">
        <v>5.8031249999999996</v>
      </c>
      <c r="F595" s="14">
        <v>4.5651359999999999</v>
      </c>
      <c r="G595" s="14">
        <v>3.730375</v>
      </c>
      <c r="H595" s="15">
        <v>5.0273770000000004</v>
      </c>
      <c r="I595" s="15">
        <v>3.432544</v>
      </c>
      <c r="J595" s="15">
        <v>12.69022</v>
      </c>
      <c r="K595" s="15">
        <v>5.4380309999999996</v>
      </c>
      <c r="L595" s="16">
        <v>4.1176069999999996</v>
      </c>
      <c r="M595" s="16">
        <v>6.8920349999999999</v>
      </c>
      <c r="N595" s="16">
        <v>7.643688</v>
      </c>
      <c r="O595" s="16">
        <v>3.968029</v>
      </c>
      <c r="P595" s="17">
        <v>8.3138260000000006</v>
      </c>
      <c r="Q595" s="17">
        <v>7.7976830000000001</v>
      </c>
      <c r="R595" s="17">
        <v>4.7478059999999997</v>
      </c>
      <c r="S595" s="17">
        <v>10.04157</v>
      </c>
      <c r="AP595" s="35"/>
      <c r="AQ595" s="35"/>
      <c r="AR595" s="35"/>
      <c r="AS595" s="35"/>
    </row>
    <row r="596" spans="2:45" x14ac:dyDescent="0.2">
      <c r="B596" s="2">
        <v>43479.814293981479</v>
      </c>
      <c r="C596" s="5">
        <f t="shared" si="66"/>
        <v>1.4999999400000004</v>
      </c>
      <c r="D596" s="14">
        <v>5.5492990000000004</v>
      </c>
      <c r="E596" s="14">
        <v>5.8064150000000003</v>
      </c>
      <c r="F596" s="14">
        <v>4.5651359999999999</v>
      </c>
      <c r="G596" s="14">
        <v>3.730375</v>
      </c>
      <c r="H596" s="15">
        <v>5.0273770000000004</v>
      </c>
      <c r="I596" s="15">
        <v>3.432544</v>
      </c>
      <c r="J596" s="15">
        <v>12.73456</v>
      </c>
      <c r="K596" s="15">
        <v>5.4380309999999996</v>
      </c>
      <c r="L596" s="16">
        <v>4.1176069999999996</v>
      </c>
      <c r="M596" s="16">
        <v>6.9147800000000004</v>
      </c>
      <c r="N596" s="16">
        <v>7.643688</v>
      </c>
      <c r="O596" s="16">
        <v>3.9703889999999999</v>
      </c>
      <c r="P596" s="17">
        <v>8.3138260000000006</v>
      </c>
      <c r="Q596" s="17">
        <v>7.8311570000000001</v>
      </c>
      <c r="R596" s="17">
        <v>4.7478059999999997</v>
      </c>
      <c r="S596" s="17">
        <v>10.08305</v>
      </c>
      <c r="AP596" s="35"/>
      <c r="AQ596" s="35"/>
      <c r="AR596" s="35"/>
      <c r="AS596" s="35"/>
    </row>
    <row r="597" spans="2:45" x14ac:dyDescent="0.2">
      <c r="B597" s="2">
        <v>43479.817766203705</v>
      </c>
      <c r="C597" s="5">
        <f t="shared" si="66"/>
        <v>1.5833332700000005</v>
      </c>
      <c r="D597" s="14">
        <v>5.5492990000000004</v>
      </c>
      <c r="E597" s="14">
        <v>5.8097050000000001</v>
      </c>
      <c r="F597" s="14">
        <v>4.5651359999999999</v>
      </c>
      <c r="G597" s="14">
        <v>3.730375</v>
      </c>
      <c r="H597" s="15">
        <v>5.0273770000000004</v>
      </c>
      <c r="I597" s="15">
        <v>3.432544</v>
      </c>
      <c r="J597" s="15">
        <v>12.77891</v>
      </c>
      <c r="K597" s="15">
        <v>5.4380309999999996</v>
      </c>
      <c r="L597" s="16">
        <v>4.1176069999999996</v>
      </c>
      <c r="M597" s="16">
        <v>6.9375249999999999</v>
      </c>
      <c r="N597" s="16">
        <v>7.643688</v>
      </c>
      <c r="O597" s="16">
        <v>3.9727489999999999</v>
      </c>
      <c r="P597" s="17">
        <v>8.3138260000000006</v>
      </c>
      <c r="Q597" s="17">
        <v>7.8588290000000001</v>
      </c>
      <c r="R597" s="17">
        <v>4.7478059999999997</v>
      </c>
      <c r="S597" s="17">
        <v>10.12454</v>
      </c>
      <c r="AP597" s="35"/>
      <c r="AQ597" s="35"/>
      <c r="AR597" s="35"/>
      <c r="AS597" s="35"/>
    </row>
    <row r="598" spans="2:45" x14ac:dyDescent="0.2">
      <c r="B598" s="2">
        <v>43479.821238425924</v>
      </c>
      <c r="C598" s="5">
        <f t="shared" si="66"/>
        <v>1.6666666000000006</v>
      </c>
      <c r="D598" s="14">
        <v>5.5492990000000004</v>
      </c>
      <c r="E598" s="14">
        <v>5.8129949999999999</v>
      </c>
      <c r="F598" s="14">
        <v>4.5651359999999999</v>
      </c>
      <c r="G598" s="14">
        <v>3.730375</v>
      </c>
      <c r="H598" s="15">
        <v>5.0273770000000004</v>
      </c>
      <c r="I598" s="15">
        <v>3.432544</v>
      </c>
      <c r="J598" s="15">
        <v>12.82325</v>
      </c>
      <c r="K598" s="15">
        <v>5.4380309999999996</v>
      </c>
      <c r="L598" s="16">
        <v>4.1176069999999996</v>
      </c>
      <c r="M598" s="16">
        <v>6.9602700000000004</v>
      </c>
      <c r="N598" s="16">
        <v>7.643688</v>
      </c>
      <c r="O598" s="16">
        <v>3.9751099999999999</v>
      </c>
      <c r="P598" s="17">
        <v>8.3138260000000006</v>
      </c>
      <c r="Q598" s="17">
        <v>7.8588290000000001</v>
      </c>
      <c r="R598" s="17">
        <v>4.7478059999999997</v>
      </c>
      <c r="S598" s="17">
        <v>10.16602</v>
      </c>
      <c r="AP598" s="35"/>
      <c r="AQ598" s="35"/>
      <c r="AR598" s="35"/>
      <c r="AS598" s="35"/>
    </row>
    <row r="599" spans="2:45" x14ac:dyDescent="0.2">
      <c r="B599" s="2">
        <v>43479.82471064815</v>
      </c>
      <c r="C599" s="5">
        <f t="shared" si="66"/>
        <v>1.7499999300000006</v>
      </c>
      <c r="D599" s="14">
        <v>5.5492990000000004</v>
      </c>
      <c r="E599" s="14">
        <v>5.8162859999999998</v>
      </c>
      <c r="F599" s="14">
        <v>4.5651359999999999</v>
      </c>
      <c r="G599" s="14">
        <v>3.730375</v>
      </c>
      <c r="H599" s="15">
        <v>5.0273770000000004</v>
      </c>
      <c r="I599" s="15">
        <v>3.432544</v>
      </c>
      <c r="J599" s="15">
        <v>12.857989999999999</v>
      </c>
      <c r="K599" s="15">
        <v>5.4380309999999996</v>
      </c>
      <c r="L599" s="16">
        <v>4.1176069999999996</v>
      </c>
      <c r="M599" s="16">
        <v>6.983015</v>
      </c>
      <c r="N599" s="16">
        <v>7.643688</v>
      </c>
      <c r="O599" s="16">
        <v>3.9756719999999999</v>
      </c>
      <c r="P599" s="17">
        <v>8.3138260000000006</v>
      </c>
      <c r="Q599" s="17">
        <v>7.8588290000000001</v>
      </c>
      <c r="R599" s="17">
        <v>4.7478059999999997</v>
      </c>
      <c r="S599" s="17">
        <v>10.207509999999999</v>
      </c>
      <c r="AP599" s="35"/>
      <c r="AQ599" s="35"/>
      <c r="AR599" s="35"/>
      <c r="AS599" s="35"/>
    </row>
    <row r="600" spans="2:45" x14ac:dyDescent="0.2">
      <c r="B600" s="2">
        <v>43479.828182870369</v>
      </c>
      <c r="C600" s="5">
        <f t="shared" si="66"/>
        <v>1.8333332600000007</v>
      </c>
      <c r="D600" s="14">
        <v>5.5492990000000004</v>
      </c>
      <c r="E600" s="14">
        <v>5.8195759999999996</v>
      </c>
      <c r="F600" s="14">
        <v>4.5651359999999999</v>
      </c>
      <c r="G600" s="14">
        <v>3.730375</v>
      </c>
      <c r="H600" s="15">
        <v>5.0273770000000004</v>
      </c>
      <c r="I600" s="15">
        <v>3.432544</v>
      </c>
      <c r="J600" s="15">
        <v>12.857989999999999</v>
      </c>
      <c r="K600" s="15">
        <v>5.4380309999999996</v>
      </c>
      <c r="L600" s="16">
        <v>4.1176069999999996</v>
      </c>
      <c r="M600" s="16">
        <v>7.0057600000000004</v>
      </c>
      <c r="N600" s="16">
        <v>7.643688</v>
      </c>
      <c r="O600" s="16">
        <v>3.9756719999999999</v>
      </c>
      <c r="P600" s="17">
        <v>8.3138260000000006</v>
      </c>
      <c r="Q600" s="17">
        <v>7.8588290000000001</v>
      </c>
      <c r="R600" s="17">
        <v>4.7478059999999997</v>
      </c>
      <c r="S600" s="17">
        <v>10.248989999999999</v>
      </c>
      <c r="AP600" s="35"/>
      <c r="AQ600" s="35"/>
      <c r="AR600" s="35"/>
      <c r="AS600" s="35"/>
    </row>
    <row r="601" spans="2:45" x14ac:dyDescent="0.2">
      <c r="B601" s="2">
        <v>43479.831655092596</v>
      </c>
      <c r="C601" s="5">
        <f t="shared" si="66"/>
        <v>1.9166665900000008</v>
      </c>
      <c r="D601" s="14">
        <v>5.5492990000000004</v>
      </c>
      <c r="E601" s="14">
        <v>5.8228660000000003</v>
      </c>
      <c r="F601" s="14">
        <v>4.5651359999999999</v>
      </c>
      <c r="G601" s="14">
        <v>3.730375</v>
      </c>
      <c r="H601" s="15">
        <v>5.0273770000000004</v>
      </c>
      <c r="I601" s="15">
        <v>3.432544</v>
      </c>
      <c r="J601" s="15">
        <v>12.857989999999999</v>
      </c>
      <c r="K601" s="15">
        <v>5.4380309999999996</v>
      </c>
      <c r="L601" s="16">
        <v>4.1176069999999996</v>
      </c>
      <c r="M601" s="16">
        <v>7.028505</v>
      </c>
      <c r="N601" s="16">
        <v>7.643688</v>
      </c>
      <c r="O601" s="16">
        <v>3.9756719999999999</v>
      </c>
      <c r="P601" s="17">
        <v>8.3138260000000006</v>
      </c>
      <c r="Q601" s="17">
        <v>7.8588290000000001</v>
      </c>
      <c r="R601" s="17">
        <v>4.7478059999999997</v>
      </c>
      <c r="S601" s="17">
        <v>10.290480000000001</v>
      </c>
      <c r="AP601" s="35"/>
      <c r="AQ601" s="35"/>
      <c r="AR601" s="35"/>
      <c r="AS601" s="35"/>
    </row>
    <row r="602" spans="2:45" x14ac:dyDescent="0.2">
      <c r="B602" s="2">
        <v>43479.835127314815</v>
      </c>
      <c r="C602" s="5">
        <f t="shared" si="66"/>
        <v>1.9999999200000009</v>
      </c>
      <c r="D602" s="14">
        <v>5.5492990000000004</v>
      </c>
      <c r="E602" s="14">
        <v>5.8261560000000001</v>
      </c>
      <c r="F602" s="14">
        <v>4.5651359999999999</v>
      </c>
      <c r="G602" s="14">
        <v>3.730375</v>
      </c>
      <c r="H602" s="15">
        <v>5.0273770000000004</v>
      </c>
      <c r="I602" s="15">
        <v>3.432544</v>
      </c>
      <c r="J602" s="15">
        <v>12.857989999999999</v>
      </c>
      <c r="K602" s="15">
        <v>5.4380309999999996</v>
      </c>
      <c r="L602" s="16">
        <v>4.1176069999999996</v>
      </c>
      <c r="M602" s="16">
        <v>7.0512499999999996</v>
      </c>
      <c r="N602" s="16">
        <v>7.643688</v>
      </c>
      <c r="O602" s="16">
        <v>3.9756719999999999</v>
      </c>
      <c r="P602" s="17">
        <v>8.3138260000000006</v>
      </c>
      <c r="Q602" s="17">
        <v>7.8588290000000001</v>
      </c>
      <c r="R602" s="17">
        <v>4.7478059999999997</v>
      </c>
      <c r="S602" s="17">
        <v>10.33196</v>
      </c>
      <c r="V602" s="25">
        <v>2</v>
      </c>
      <c r="W602">
        <f>AVERAGE(D591:D602)</f>
        <v>5.5492989999999986</v>
      </c>
      <c r="X602">
        <f t="shared" ref="X602:AL602" si="68">AVERAGE(E591:E602)</f>
        <v>5.8080601666666665</v>
      </c>
      <c r="Y602">
        <f t="shared" si="68"/>
        <v>4.5651360000000007</v>
      </c>
      <c r="Z602">
        <f t="shared" si="68"/>
        <v>3.7303750000000004</v>
      </c>
      <c r="AA602">
        <f t="shared" si="68"/>
        <v>5.0273770000000004</v>
      </c>
      <c r="AB602">
        <f t="shared" si="68"/>
        <v>3.432544</v>
      </c>
      <c r="AC602">
        <f t="shared" si="68"/>
        <v>12.731358333333333</v>
      </c>
      <c r="AD602">
        <f t="shared" si="68"/>
        <v>5.4380310000000014</v>
      </c>
      <c r="AE602">
        <f t="shared" si="68"/>
        <v>4.1176069999999996</v>
      </c>
      <c r="AF602">
        <f t="shared" si="68"/>
        <v>6.9261521666666654</v>
      </c>
      <c r="AG602">
        <f t="shared" si="68"/>
        <v>7.6436879999999983</v>
      </c>
      <c r="AH602">
        <f t="shared" si="68"/>
        <v>3.9697896666666677</v>
      </c>
      <c r="AI602">
        <f t="shared" si="68"/>
        <v>8.3138260000000024</v>
      </c>
      <c r="AJ602">
        <f t="shared" si="68"/>
        <v>7.8031505000000001</v>
      </c>
      <c r="AK602">
        <f t="shared" si="68"/>
        <v>4.7478059999999989</v>
      </c>
      <c r="AL602">
        <f t="shared" si="68"/>
        <v>10.103794916666667</v>
      </c>
      <c r="AO602" s="25">
        <v>2</v>
      </c>
      <c r="AP602" s="35">
        <f>AVERAGE(W602:Z602)</f>
        <v>4.9132175416666666</v>
      </c>
      <c r="AQ602" s="35">
        <f>AVERAGE(AA602:AD602)</f>
        <v>6.6573275833333341</v>
      </c>
      <c r="AR602" s="35">
        <f>AVERAGE(AE602:AH602)</f>
        <v>5.6643092083333322</v>
      </c>
      <c r="AS602" s="35">
        <f>AVERAGE(AI602:AL602)</f>
        <v>7.7421443541666672</v>
      </c>
    </row>
    <row r="603" spans="2:45" x14ac:dyDescent="0.2">
      <c r="B603" s="2">
        <v>43479.838599537034</v>
      </c>
      <c r="C603" s="5">
        <f t="shared" si="66"/>
        <v>2.0833332500000008</v>
      </c>
      <c r="D603" s="14">
        <v>5.5492990000000004</v>
      </c>
      <c r="E603" s="14">
        <v>5.8294459999999999</v>
      </c>
      <c r="F603" s="14">
        <v>4.5651359999999999</v>
      </c>
      <c r="G603" s="14">
        <v>3.730375</v>
      </c>
      <c r="H603" s="15">
        <v>5.0273770000000004</v>
      </c>
      <c r="I603" s="15">
        <v>3.432544</v>
      </c>
      <c r="J603" s="15">
        <v>12.857989999999999</v>
      </c>
      <c r="K603" s="15">
        <v>5.4380309999999996</v>
      </c>
      <c r="L603" s="16">
        <v>4.1176069999999996</v>
      </c>
      <c r="M603" s="16">
        <v>7.0739960000000002</v>
      </c>
      <c r="N603" s="16">
        <v>7.643688</v>
      </c>
      <c r="O603" s="16">
        <v>3.9756719999999999</v>
      </c>
      <c r="P603" s="17">
        <v>8.3138260000000006</v>
      </c>
      <c r="Q603" s="17">
        <v>7.8588290000000001</v>
      </c>
      <c r="R603" s="17">
        <v>4.7478059999999997</v>
      </c>
      <c r="S603" s="17">
        <v>10.37345</v>
      </c>
      <c r="AP603" s="35"/>
      <c r="AQ603" s="35"/>
      <c r="AR603" s="35"/>
      <c r="AS603" s="35"/>
    </row>
    <row r="604" spans="2:45" x14ac:dyDescent="0.2">
      <c r="B604" s="2">
        <v>43479.84207175926</v>
      </c>
      <c r="C604" s="5">
        <f t="shared" si="66"/>
        <v>2.1666665800000007</v>
      </c>
      <c r="D604" s="14">
        <v>5.5492990000000004</v>
      </c>
      <c r="E604" s="14">
        <v>5.8327359999999997</v>
      </c>
      <c r="F604" s="14">
        <v>4.5651359999999999</v>
      </c>
      <c r="G604" s="14">
        <v>3.730375</v>
      </c>
      <c r="H604" s="15">
        <v>5.0273770000000004</v>
      </c>
      <c r="I604" s="15">
        <v>3.432544</v>
      </c>
      <c r="J604" s="15">
        <v>12.857989999999999</v>
      </c>
      <c r="K604" s="15">
        <v>5.4380309999999996</v>
      </c>
      <c r="L604" s="16">
        <v>4.1176069999999996</v>
      </c>
      <c r="M604" s="16">
        <v>7.0967409999999997</v>
      </c>
      <c r="N604" s="16">
        <v>7.643688</v>
      </c>
      <c r="O604" s="16">
        <v>3.9756719999999999</v>
      </c>
      <c r="P604" s="17">
        <v>8.3138260000000006</v>
      </c>
      <c r="Q604" s="17">
        <v>7.8588490000000002</v>
      </c>
      <c r="R604" s="17">
        <v>4.7478059999999997</v>
      </c>
      <c r="S604" s="17">
        <v>10.41493</v>
      </c>
      <c r="AP604" s="35"/>
      <c r="AQ604" s="35"/>
      <c r="AR604" s="35"/>
      <c r="AS604" s="35"/>
    </row>
    <row r="605" spans="2:45" x14ac:dyDescent="0.2">
      <c r="B605" s="2">
        <v>43479.845543981479</v>
      </c>
      <c r="C605" s="5">
        <f t="shared" si="66"/>
        <v>2.2499999100000005</v>
      </c>
      <c r="D605" s="14">
        <v>5.5492990000000004</v>
      </c>
      <c r="E605" s="14">
        <v>5.8360269999999996</v>
      </c>
      <c r="F605" s="14">
        <v>4.5651359999999999</v>
      </c>
      <c r="G605" s="14">
        <v>3.730375</v>
      </c>
      <c r="H605" s="15">
        <v>5.0273770000000004</v>
      </c>
      <c r="I605" s="15">
        <v>3.432544</v>
      </c>
      <c r="J605" s="15">
        <v>12.857989999999999</v>
      </c>
      <c r="K605" s="15">
        <v>5.4380309999999996</v>
      </c>
      <c r="L605" s="16">
        <v>4.1176069999999996</v>
      </c>
      <c r="M605" s="16">
        <v>7.1194860000000002</v>
      </c>
      <c r="N605" s="16">
        <v>7.643688</v>
      </c>
      <c r="O605" s="16">
        <v>3.9756719999999999</v>
      </c>
      <c r="P605" s="17">
        <v>8.3138260000000006</v>
      </c>
      <c r="Q605" s="17">
        <v>7.8735080000000002</v>
      </c>
      <c r="R605" s="17">
        <v>4.7478059999999997</v>
      </c>
      <c r="S605" s="17">
        <v>10.45642</v>
      </c>
      <c r="AP605" s="35"/>
      <c r="AQ605" s="35"/>
      <c r="AR605" s="35"/>
      <c r="AS605" s="35"/>
    </row>
    <row r="606" spans="2:45" x14ac:dyDescent="0.2">
      <c r="B606" s="2">
        <v>43479.849016203705</v>
      </c>
      <c r="C606" s="5">
        <f t="shared" si="66"/>
        <v>2.3333332400000004</v>
      </c>
      <c r="D606" s="14">
        <v>5.5492990000000004</v>
      </c>
      <c r="E606" s="14">
        <v>5.8393170000000003</v>
      </c>
      <c r="F606" s="14">
        <v>4.5651359999999999</v>
      </c>
      <c r="G606" s="14">
        <v>3.730375</v>
      </c>
      <c r="H606" s="15">
        <v>5.0273770000000004</v>
      </c>
      <c r="I606" s="15">
        <v>3.432544</v>
      </c>
      <c r="J606" s="15">
        <v>12.857989999999999</v>
      </c>
      <c r="K606" s="15">
        <v>5.4380309999999996</v>
      </c>
      <c r="L606" s="16">
        <v>4.1176069999999996</v>
      </c>
      <c r="M606" s="16">
        <v>7.1422309999999998</v>
      </c>
      <c r="N606" s="16">
        <v>7.643688</v>
      </c>
      <c r="O606" s="16">
        <v>3.9756719999999999</v>
      </c>
      <c r="P606" s="17">
        <v>8.3138260000000006</v>
      </c>
      <c r="Q606" s="17">
        <v>7.8883850000000004</v>
      </c>
      <c r="R606" s="17">
        <v>4.7478059999999997</v>
      </c>
      <c r="S606" s="17">
        <v>10.4979</v>
      </c>
      <c r="AP606" s="35"/>
      <c r="AQ606" s="35"/>
      <c r="AR606" s="35"/>
      <c r="AS606" s="35"/>
    </row>
    <row r="607" spans="2:45" x14ac:dyDescent="0.2">
      <c r="B607" s="2">
        <v>43479.852488425924</v>
      </c>
      <c r="C607" s="5">
        <f t="shared" si="66"/>
        <v>2.4166665700000003</v>
      </c>
      <c r="D607" s="14">
        <v>5.5492990000000004</v>
      </c>
      <c r="E607" s="14">
        <v>5.8426070000000001</v>
      </c>
      <c r="F607" s="14">
        <v>4.5651359999999999</v>
      </c>
      <c r="G607" s="14">
        <v>3.730375</v>
      </c>
      <c r="H607" s="15">
        <v>5.0273770000000004</v>
      </c>
      <c r="I607" s="15">
        <v>3.432544</v>
      </c>
      <c r="J607" s="15">
        <v>12.857989999999999</v>
      </c>
      <c r="K607" s="15">
        <v>5.4380309999999996</v>
      </c>
      <c r="L607" s="16">
        <v>4.1176069999999996</v>
      </c>
      <c r="M607" s="16">
        <v>7.1649760000000002</v>
      </c>
      <c r="N607" s="16">
        <v>7.643688</v>
      </c>
      <c r="O607" s="16">
        <v>3.9756719999999999</v>
      </c>
      <c r="P607" s="17">
        <v>8.3138260000000006</v>
      </c>
      <c r="Q607" s="17">
        <v>7.9032629999999999</v>
      </c>
      <c r="R607" s="17">
        <v>4.7478059999999997</v>
      </c>
      <c r="S607" s="17">
        <v>10.539389999999999</v>
      </c>
      <c r="AP607" s="35"/>
      <c r="AQ607" s="35"/>
      <c r="AR607" s="35"/>
      <c r="AS607" s="35"/>
    </row>
    <row r="608" spans="2:45" x14ac:dyDescent="0.2">
      <c r="B608" s="2">
        <v>43479.85596064815</v>
      </c>
      <c r="C608" s="5">
        <f t="shared" si="66"/>
        <v>2.4999999000000002</v>
      </c>
      <c r="D608" s="14">
        <v>5.5492990000000004</v>
      </c>
      <c r="E608" s="14">
        <v>5.8458969999999999</v>
      </c>
      <c r="F608" s="14">
        <v>4.5651359999999999</v>
      </c>
      <c r="G608" s="14">
        <v>3.730375</v>
      </c>
      <c r="H608" s="15">
        <v>5.0305429999999998</v>
      </c>
      <c r="I608" s="15">
        <v>3.432544</v>
      </c>
      <c r="J608" s="15">
        <v>12.857989999999999</v>
      </c>
      <c r="K608" s="15">
        <v>5.4380309999999996</v>
      </c>
      <c r="L608" s="16">
        <v>4.1176069999999996</v>
      </c>
      <c r="M608" s="16">
        <v>7.1877209999999998</v>
      </c>
      <c r="N608" s="16">
        <v>7.643688</v>
      </c>
      <c r="O608" s="16">
        <v>3.9756719999999999</v>
      </c>
      <c r="P608" s="17">
        <v>8.3138260000000006</v>
      </c>
      <c r="Q608" s="17">
        <v>7.9181400000000002</v>
      </c>
      <c r="R608" s="17">
        <v>4.7478059999999997</v>
      </c>
      <c r="S608" s="17">
        <v>10.580870000000001</v>
      </c>
      <c r="AP608" s="35"/>
      <c r="AQ608" s="35"/>
      <c r="AR608" s="35"/>
      <c r="AS608" s="35"/>
    </row>
    <row r="609" spans="2:45" x14ac:dyDescent="0.2">
      <c r="B609" s="2">
        <v>43479.859432870369</v>
      </c>
      <c r="C609" s="5">
        <f t="shared" si="66"/>
        <v>2.58333323</v>
      </c>
      <c r="D609" s="14">
        <v>5.5492990000000004</v>
      </c>
      <c r="E609" s="14">
        <v>5.8491869999999997</v>
      </c>
      <c r="F609" s="14">
        <v>4.5651359999999999</v>
      </c>
      <c r="G609" s="14">
        <v>3.730375</v>
      </c>
      <c r="H609" s="15">
        <v>5.0358359999999998</v>
      </c>
      <c r="I609" s="15">
        <v>3.432544</v>
      </c>
      <c r="J609" s="15">
        <v>12.857989999999999</v>
      </c>
      <c r="K609" s="15">
        <v>5.4380309999999996</v>
      </c>
      <c r="L609" s="16">
        <v>4.1176069999999996</v>
      </c>
      <c r="M609" s="16">
        <v>7.2104660000000003</v>
      </c>
      <c r="N609" s="16">
        <v>7.643688</v>
      </c>
      <c r="O609" s="16">
        <v>3.9756719999999999</v>
      </c>
      <c r="P609" s="17">
        <v>8.3138260000000006</v>
      </c>
      <c r="Q609" s="17">
        <v>7.9330170000000004</v>
      </c>
      <c r="R609" s="17">
        <v>4.7478059999999997</v>
      </c>
      <c r="S609" s="17">
        <v>10.62236</v>
      </c>
      <c r="AP609" s="35"/>
      <c r="AQ609" s="35"/>
      <c r="AR609" s="35"/>
      <c r="AS609" s="35"/>
    </row>
    <row r="610" spans="2:45" x14ac:dyDescent="0.2">
      <c r="B610" s="2">
        <v>43479.862905092596</v>
      </c>
      <c r="C610" s="5">
        <f t="shared" si="66"/>
        <v>2.6666665599999999</v>
      </c>
      <c r="D610" s="14">
        <v>5.5492990000000004</v>
      </c>
      <c r="E610" s="14">
        <v>5.8524779999999996</v>
      </c>
      <c r="F610" s="14">
        <v>4.5651359999999999</v>
      </c>
      <c r="G610" s="14">
        <v>3.730375</v>
      </c>
      <c r="H610" s="15">
        <v>5.0411289999999997</v>
      </c>
      <c r="I610" s="15">
        <v>3.432544</v>
      </c>
      <c r="J610" s="15">
        <v>12.857989999999999</v>
      </c>
      <c r="K610" s="15">
        <v>5.4380309999999996</v>
      </c>
      <c r="L610" s="16">
        <v>4.1176069999999996</v>
      </c>
      <c r="M610" s="16">
        <v>7.2143709999999999</v>
      </c>
      <c r="N610" s="16">
        <v>7.643688</v>
      </c>
      <c r="O610" s="16">
        <v>3.9756719999999999</v>
      </c>
      <c r="P610" s="17">
        <v>8.3138260000000006</v>
      </c>
      <c r="Q610" s="17">
        <v>7.9478949999999999</v>
      </c>
      <c r="R610" s="17">
        <v>4.7478059999999997</v>
      </c>
      <c r="S610" s="17">
        <v>10.635630000000001</v>
      </c>
      <c r="AP610" s="35"/>
      <c r="AQ610" s="35"/>
      <c r="AR610" s="35"/>
      <c r="AS610" s="35"/>
    </row>
    <row r="611" spans="2:45" x14ac:dyDescent="0.2">
      <c r="B611" s="2">
        <v>43479.866377314815</v>
      </c>
      <c r="C611" s="5">
        <f t="shared" si="66"/>
        <v>2.7499998899999998</v>
      </c>
      <c r="D611" s="14">
        <v>5.5492990000000004</v>
      </c>
      <c r="E611" s="14">
        <v>5.8557680000000003</v>
      </c>
      <c r="F611" s="14">
        <v>4.5651359999999999</v>
      </c>
      <c r="G611" s="14">
        <v>3.730375</v>
      </c>
      <c r="H611" s="15">
        <v>5.0464219999999997</v>
      </c>
      <c r="I611" s="15">
        <v>3.432544</v>
      </c>
      <c r="J611" s="15">
        <v>12.857989999999999</v>
      </c>
      <c r="K611" s="15">
        <v>5.4380309999999996</v>
      </c>
      <c r="L611" s="16">
        <v>4.1176069999999996</v>
      </c>
      <c r="M611" s="16">
        <v>7.2174829999999996</v>
      </c>
      <c r="N611" s="16">
        <v>7.643688</v>
      </c>
      <c r="O611" s="16">
        <v>3.9756719999999999</v>
      </c>
      <c r="P611" s="17">
        <v>8.3138260000000006</v>
      </c>
      <c r="Q611" s="17">
        <v>7.9627720000000002</v>
      </c>
      <c r="R611" s="17">
        <v>4.7478059999999997</v>
      </c>
      <c r="S611" s="17">
        <v>10.63588</v>
      </c>
      <c r="AP611" s="35"/>
      <c r="AQ611" s="35"/>
      <c r="AR611" s="35"/>
      <c r="AS611" s="35"/>
    </row>
    <row r="612" spans="2:45" x14ac:dyDescent="0.2">
      <c r="B612" s="2">
        <v>43479.869849537034</v>
      </c>
      <c r="C612" s="5">
        <f t="shared" si="66"/>
        <v>2.8333332199999997</v>
      </c>
      <c r="D612" s="14">
        <v>5.5492990000000004</v>
      </c>
      <c r="E612" s="14">
        <v>5.8590580000000001</v>
      </c>
      <c r="F612" s="14">
        <v>4.5651359999999999</v>
      </c>
      <c r="G612" s="14">
        <v>3.730375</v>
      </c>
      <c r="H612" s="15">
        <v>5.0517149999999997</v>
      </c>
      <c r="I612" s="15">
        <v>3.432544</v>
      </c>
      <c r="J612" s="15">
        <v>12.857989999999999</v>
      </c>
      <c r="K612" s="15">
        <v>5.4380309999999996</v>
      </c>
      <c r="L612" s="16">
        <v>4.1176069999999996</v>
      </c>
      <c r="M612" s="16">
        <v>7.2249220000000003</v>
      </c>
      <c r="N612" s="16">
        <v>7.643688</v>
      </c>
      <c r="O612" s="16">
        <v>3.9756719999999999</v>
      </c>
      <c r="P612" s="17">
        <v>8.3138260000000006</v>
      </c>
      <c r="Q612" s="17">
        <v>7.9776490000000004</v>
      </c>
      <c r="R612" s="17">
        <v>4.7478059999999997</v>
      </c>
      <c r="S612" s="17">
        <v>10.63617</v>
      </c>
      <c r="AP612" s="35"/>
      <c r="AQ612" s="35"/>
      <c r="AR612" s="35"/>
      <c r="AS612" s="35"/>
    </row>
    <row r="613" spans="2:45" x14ac:dyDescent="0.2">
      <c r="B613" s="2">
        <v>43479.87332175926</v>
      </c>
      <c r="C613" s="5">
        <f t="shared" si="66"/>
        <v>2.9166665499999995</v>
      </c>
      <c r="D613" s="14">
        <v>5.5492990000000004</v>
      </c>
      <c r="E613" s="14">
        <v>5.8623479999999999</v>
      </c>
      <c r="F613" s="14">
        <v>4.5651359999999999</v>
      </c>
      <c r="G613" s="14">
        <v>3.730375</v>
      </c>
      <c r="H613" s="15">
        <v>5.0570079999999997</v>
      </c>
      <c r="I613" s="15">
        <v>3.432544</v>
      </c>
      <c r="J613" s="15">
        <v>12.857989999999999</v>
      </c>
      <c r="K613" s="15">
        <v>5.4380309999999996</v>
      </c>
      <c r="L613" s="16">
        <v>4.1176069999999996</v>
      </c>
      <c r="M613" s="16">
        <v>7.2323599999999999</v>
      </c>
      <c r="N613" s="16">
        <v>7.643688</v>
      </c>
      <c r="O613" s="16">
        <v>3.9756719999999999</v>
      </c>
      <c r="P613" s="17">
        <v>8.3138260000000006</v>
      </c>
      <c r="Q613" s="17">
        <v>7.9925269999999999</v>
      </c>
      <c r="R613" s="17">
        <v>4.7478059999999997</v>
      </c>
      <c r="S613" s="17">
        <v>10.63645</v>
      </c>
      <c r="AP613" s="35"/>
      <c r="AQ613" s="35"/>
      <c r="AR613" s="35"/>
      <c r="AS613" s="35"/>
    </row>
    <row r="614" spans="2:45" x14ac:dyDescent="0.2">
      <c r="B614" s="2">
        <v>43479.876793981479</v>
      </c>
      <c r="C614" s="5">
        <f t="shared" si="66"/>
        <v>2.9999998799999994</v>
      </c>
      <c r="D614" s="14">
        <v>5.5492990000000004</v>
      </c>
      <c r="E614" s="14">
        <v>5.8656379999999997</v>
      </c>
      <c r="F614" s="14">
        <v>4.5651359999999999</v>
      </c>
      <c r="G614" s="14">
        <v>3.730375</v>
      </c>
      <c r="H614" s="15">
        <v>5.0623009999999997</v>
      </c>
      <c r="I614" s="15">
        <v>3.432544</v>
      </c>
      <c r="J614" s="15">
        <v>12.857989999999999</v>
      </c>
      <c r="K614" s="15">
        <v>5.4380309999999996</v>
      </c>
      <c r="L614" s="16">
        <v>4.1176069999999996</v>
      </c>
      <c r="M614" s="16">
        <v>7.2397989999999997</v>
      </c>
      <c r="N614" s="16">
        <v>7.643688</v>
      </c>
      <c r="O614" s="16">
        <v>3.9756719999999999</v>
      </c>
      <c r="P614" s="17">
        <v>8.3138260000000006</v>
      </c>
      <c r="Q614" s="17">
        <v>8.0074039999999993</v>
      </c>
      <c r="R614" s="17">
        <v>4.7478059999999997</v>
      </c>
      <c r="S614" s="17">
        <v>10.63674</v>
      </c>
      <c r="V614" s="25">
        <v>3</v>
      </c>
      <c r="W614">
        <f>AVERAGE(D603:D614)</f>
        <v>5.5492989999999986</v>
      </c>
      <c r="X614">
        <f t="shared" ref="X614:AL614" si="69">AVERAGE(E603:E614)</f>
        <v>5.8475422500000001</v>
      </c>
      <c r="Y614">
        <f t="shared" si="69"/>
        <v>4.5651360000000007</v>
      </c>
      <c r="Z614">
        <f t="shared" si="69"/>
        <v>3.7303750000000004</v>
      </c>
      <c r="AA614">
        <f t="shared" si="69"/>
        <v>5.0384865833333334</v>
      </c>
      <c r="AB614">
        <f t="shared" si="69"/>
        <v>3.432544</v>
      </c>
      <c r="AC614">
        <f t="shared" si="69"/>
        <v>12.857989999999999</v>
      </c>
      <c r="AD614">
        <f t="shared" si="69"/>
        <v>5.4380310000000014</v>
      </c>
      <c r="AE614">
        <f t="shared" si="69"/>
        <v>4.1176069999999996</v>
      </c>
      <c r="AF614">
        <f t="shared" si="69"/>
        <v>7.1770460000000007</v>
      </c>
      <c r="AG614">
        <f t="shared" si="69"/>
        <v>7.6436879999999983</v>
      </c>
      <c r="AH614">
        <f t="shared" si="69"/>
        <v>3.9756720000000008</v>
      </c>
      <c r="AI614">
        <f t="shared" si="69"/>
        <v>8.3138260000000024</v>
      </c>
      <c r="AJ614">
        <f t="shared" si="69"/>
        <v>7.9268531666666666</v>
      </c>
      <c r="AK614">
        <f t="shared" si="69"/>
        <v>4.7478059999999989</v>
      </c>
      <c r="AL614">
        <f t="shared" si="69"/>
        <v>10.555515833333333</v>
      </c>
      <c r="AO614" s="25">
        <v>3</v>
      </c>
      <c r="AP614" s="35">
        <f>AVERAGE(W614:Z614)</f>
        <v>4.9230880624999998</v>
      </c>
      <c r="AQ614" s="35">
        <f>AVERAGE(AA614:AD614)</f>
        <v>6.6917628958333335</v>
      </c>
      <c r="AR614" s="35">
        <f>AVERAGE(AE614:AH614)</f>
        <v>5.7285032499999993</v>
      </c>
      <c r="AS614" s="35">
        <f>AVERAGE(AI614:AL614)</f>
        <v>7.8860002500000004</v>
      </c>
    </row>
    <row r="615" spans="2:45" x14ac:dyDescent="0.2">
      <c r="B615" s="2">
        <v>43479.880266203705</v>
      </c>
      <c r="C615" s="5">
        <f t="shared" si="66"/>
        <v>3.0833332099999993</v>
      </c>
      <c r="D615" s="14">
        <v>5.5492990000000004</v>
      </c>
      <c r="E615" s="14">
        <v>5.8689280000000004</v>
      </c>
      <c r="F615" s="14">
        <v>4.5651359999999999</v>
      </c>
      <c r="G615" s="14">
        <v>3.730375</v>
      </c>
      <c r="H615" s="15">
        <v>5.0675939999999997</v>
      </c>
      <c r="I615" s="15">
        <v>3.432544</v>
      </c>
      <c r="J615" s="15">
        <v>12.857989999999999</v>
      </c>
      <c r="K615" s="15">
        <v>5.4380309999999996</v>
      </c>
      <c r="L615" s="16">
        <v>4.1176069999999996</v>
      </c>
      <c r="M615" s="16">
        <v>7.2472380000000003</v>
      </c>
      <c r="N615" s="16">
        <v>7.643688</v>
      </c>
      <c r="O615" s="16">
        <v>3.9756719999999999</v>
      </c>
      <c r="P615" s="17">
        <v>8.3138260000000006</v>
      </c>
      <c r="Q615" s="17">
        <v>8.0222820000000006</v>
      </c>
      <c r="R615" s="17">
        <v>4.7478059999999997</v>
      </c>
      <c r="S615" s="17">
        <v>10.637029999999999</v>
      </c>
      <c r="AP615" s="35"/>
      <c r="AQ615" s="35"/>
      <c r="AR615" s="35"/>
      <c r="AS615" s="35"/>
    </row>
    <row r="616" spans="2:45" x14ac:dyDescent="0.2">
      <c r="B616" s="2">
        <v>43479.883738425924</v>
      </c>
      <c r="C616" s="5">
        <f t="shared" si="66"/>
        <v>3.1666665399999991</v>
      </c>
      <c r="D616" s="14">
        <v>5.5492990000000004</v>
      </c>
      <c r="E616" s="14">
        <v>5.8722190000000003</v>
      </c>
      <c r="F616" s="14">
        <v>4.5651359999999999</v>
      </c>
      <c r="G616" s="14">
        <v>3.730375</v>
      </c>
      <c r="H616" s="15">
        <v>5.0728859999999996</v>
      </c>
      <c r="I616" s="15">
        <v>3.432544</v>
      </c>
      <c r="J616" s="15">
        <v>12.857989999999999</v>
      </c>
      <c r="K616" s="15">
        <v>5.4380309999999996</v>
      </c>
      <c r="L616" s="16">
        <v>4.1176069999999996</v>
      </c>
      <c r="M616" s="16">
        <v>7.2546759999999999</v>
      </c>
      <c r="N616" s="16">
        <v>7.643688</v>
      </c>
      <c r="O616" s="16">
        <v>3.9756719999999999</v>
      </c>
      <c r="P616" s="17">
        <v>8.3138260000000006</v>
      </c>
      <c r="Q616" s="17">
        <v>8.0371590000000008</v>
      </c>
      <c r="R616" s="17">
        <v>4.7478059999999997</v>
      </c>
      <c r="S616" s="17">
        <v>10.637309999999999</v>
      </c>
      <c r="AP616" s="35"/>
      <c r="AQ616" s="35"/>
      <c r="AR616" s="35"/>
      <c r="AS616" s="35"/>
    </row>
    <row r="617" spans="2:45" x14ac:dyDescent="0.2">
      <c r="B617" s="2">
        <v>43479.88721064815</v>
      </c>
      <c r="C617" s="5">
        <f t="shared" si="66"/>
        <v>3.249999869999999</v>
      </c>
      <c r="D617" s="14">
        <v>5.5492990000000004</v>
      </c>
      <c r="E617" s="14">
        <v>5.8755090000000001</v>
      </c>
      <c r="F617" s="14">
        <v>4.5651359999999999</v>
      </c>
      <c r="G617" s="14">
        <v>3.730375</v>
      </c>
      <c r="H617" s="15">
        <v>5.0781790000000004</v>
      </c>
      <c r="I617" s="15">
        <v>3.432544</v>
      </c>
      <c r="J617" s="15">
        <v>12.857989999999999</v>
      </c>
      <c r="K617" s="15">
        <v>5.4380309999999996</v>
      </c>
      <c r="L617" s="16">
        <v>4.1176069999999996</v>
      </c>
      <c r="M617" s="16">
        <v>7.2621149999999997</v>
      </c>
      <c r="N617" s="16">
        <v>7.643688</v>
      </c>
      <c r="O617" s="16">
        <v>3.9756719999999999</v>
      </c>
      <c r="P617" s="17">
        <v>8.3138260000000006</v>
      </c>
      <c r="Q617" s="17">
        <v>8.0520359999999993</v>
      </c>
      <c r="R617" s="17">
        <v>4.7478059999999997</v>
      </c>
      <c r="S617" s="17">
        <v>10.637600000000001</v>
      </c>
      <c r="AP617" s="35"/>
      <c r="AQ617" s="35"/>
      <c r="AR617" s="35"/>
      <c r="AS617" s="35"/>
    </row>
    <row r="618" spans="2:45" x14ac:dyDescent="0.2">
      <c r="B618" s="2">
        <v>43479.890682870369</v>
      </c>
      <c r="C618" s="5">
        <f t="shared" si="66"/>
        <v>3.3333331999999989</v>
      </c>
      <c r="D618" s="14">
        <v>5.5492990000000004</v>
      </c>
      <c r="E618" s="14">
        <v>5.8787989999999999</v>
      </c>
      <c r="F618" s="14">
        <v>4.5651359999999999</v>
      </c>
      <c r="G618" s="14">
        <v>3.730375</v>
      </c>
      <c r="H618" s="15">
        <v>5.0834720000000004</v>
      </c>
      <c r="I618" s="15">
        <v>3.432544</v>
      </c>
      <c r="J618" s="15">
        <v>12.857989999999999</v>
      </c>
      <c r="K618" s="15">
        <v>5.4380309999999996</v>
      </c>
      <c r="L618" s="16">
        <v>4.1176069999999996</v>
      </c>
      <c r="M618" s="16">
        <v>7.2695540000000003</v>
      </c>
      <c r="N618" s="16">
        <v>7.643688</v>
      </c>
      <c r="O618" s="16">
        <v>3.9756719999999999</v>
      </c>
      <c r="P618" s="17">
        <v>8.3138260000000006</v>
      </c>
      <c r="Q618" s="17">
        <v>8.0669140000000006</v>
      </c>
      <c r="R618" s="17">
        <v>4.7478059999999997</v>
      </c>
      <c r="S618" s="17">
        <v>10.637890000000001</v>
      </c>
      <c r="AP618" s="35"/>
      <c r="AQ618" s="35"/>
      <c r="AR618" s="35"/>
      <c r="AS618" s="35"/>
    </row>
    <row r="619" spans="2:45" x14ac:dyDescent="0.2">
      <c r="B619" s="2">
        <v>43479.894155092596</v>
      </c>
      <c r="C619" s="5">
        <f t="shared" si="66"/>
        <v>3.4166665299999988</v>
      </c>
      <c r="D619" s="14">
        <v>5.5492990000000004</v>
      </c>
      <c r="E619" s="14">
        <v>5.8820889999999997</v>
      </c>
      <c r="F619" s="14">
        <v>4.5651359999999999</v>
      </c>
      <c r="G619" s="14">
        <v>3.730375</v>
      </c>
      <c r="H619" s="15">
        <v>5.0887650000000004</v>
      </c>
      <c r="I619" s="15">
        <v>3.432544</v>
      </c>
      <c r="J619" s="15">
        <v>12.857989999999999</v>
      </c>
      <c r="K619" s="15">
        <v>5.4380309999999996</v>
      </c>
      <c r="L619" s="16">
        <v>4.1176069999999996</v>
      </c>
      <c r="M619" s="16">
        <v>7.2769919999999999</v>
      </c>
      <c r="N619" s="16">
        <v>7.643688</v>
      </c>
      <c r="O619" s="16">
        <v>3.9756719999999999</v>
      </c>
      <c r="P619" s="17">
        <v>8.3138260000000006</v>
      </c>
      <c r="Q619" s="17">
        <v>8.0817910000000008</v>
      </c>
      <c r="R619" s="17">
        <v>4.7478059999999997</v>
      </c>
      <c r="S619" s="17">
        <v>10.638170000000001</v>
      </c>
      <c r="AP619" s="35"/>
      <c r="AQ619" s="35"/>
      <c r="AR619" s="35"/>
      <c r="AS619" s="35"/>
    </row>
    <row r="620" spans="2:45" x14ac:dyDescent="0.2">
      <c r="B620" s="2">
        <v>43479.897627314815</v>
      </c>
      <c r="C620" s="5">
        <f t="shared" si="66"/>
        <v>3.4999998599999986</v>
      </c>
      <c r="D620" s="14">
        <v>5.5492990000000004</v>
      </c>
      <c r="E620" s="14">
        <v>5.8853790000000004</v>
      </c>
      <c r="F620" s="14">
        <v>4.5651359999999999</v>
      </c>
      <c r="G620" s="14">
        <v>3.730375</v>
      </c>
      <c r="H620" s="15">
        <v>5.0940580000000004</v>
      </c>
      <c r="I620" s="15">
        <v>3.432544</v>
      </c>
      <c r="J620" s="15">
        <v>12.857989999999999</v>
      </c>
      <c r="K620" s="15">
        <v>5.4380309999999996</v>
      </c>
      <c r="L620" s="16">
        <v>4.1176069999999996</v>
      </c>
      <c r="M620" s="16">
        <v>7.2844309999999997</v>
      </c>
      <c r="N620" s="16">
        <v>7.643688</v>
      </c>
      <c r="O620" s="16">
        <v>3.9756719999999999</v>
      </c>
      <c r="P620" s="17">
        <v>8.3138260000000006</v>
      </c>
      <c r="Q620" s="17">
        <v>8.0966679999999993</v>
      </c>
      <c r="R620" s="17">
        <v>4.7478059999999997</v>
      </c>
      <c r="S620" s="17">
        <v>10.63846</v>
      </c>
      <c r="AP620" s="35"/>
      <c r="AQ620" s="35"/>
      <c r="AR620" s="35"/>
      <c r="AS620" s="35"/>
    </row>
    <row r="621" spans="2:45" x14ac:dyDescent="0.2">
      <c r="B621" s="2">
        <v>43479.901099537034</v>
      </c>
      <c r="C621" s="5">
        <f t="shared" si="66"/>
        <v>3.5833331899999985</v>
      </c>
      <c r="D621" s="14">
        <v>5.5492990000000004</v>
      </c>
      <c r="E621" s="14">
        <v>5.8886690000000002</v>
      </c>
      <c r="F621" s="14">
        <v>4.5651359999999999</v>
      </c>
      <c r="G621" s="14">
        <v>3.730375</v>
      </c>
      <c r="H621" s="15">
        <v>5.0993510000000004</v>
      </c>
      <c r="I621" s="15">
        <v>3.432544</v>
      </c>
      <c r="J621" s="15">
        <v>12.857989999999999</v>
      </c>
      <c r="K621" s="15">
        <v>5.4380309999999996</v>
      </c>
      <c r="L621" s="16">
        <v>4.1176069999999996</v>
      </c>
      <c r="M621" s="16">
        <v>7.2918700000000003</v>
      </c>
      <c r="N621" s="16">
        <v>7.643688</v>
      </c>
      <c r="O621" s="16">
        <v>3.9756719999999999</v>
      </c>
      <c r="P621" s="17">
        <v>8.3138260000000006</v>
      </c>
      <c r="Q621" s="17">
        <v>8.1115460000000006</v>
      </c>
      <c r="R621" s="17">
        <v>4.7478059999999997</v>
      </c>
      <c r="S621" s="17">
        <v>10.63874</v>
      </c>
      <c r="AP621" s="35"/>
      <c r="AQ621" s="35"/>
      <c r="AR621" s="35"/>
      <c r="AS621" s="35"/>
    </row>
    <row r="622" spans="2:45" x14ac:dyDescent="0.2">
      <c r="B622" s="2">
        <v>43479.90457175926</v>
      </c>
      <c r="C622" s="5">
        <f t="shared" si="66"/>
        <v>3.6666665199999984</v>
      </c>
      <c r="D622" s="14">
        <v>5.5492990000000004</v>
      </c>
      <c r="E622" s="14">
        <v>5.8919600000000001</v>
      </c>
      <c r="F622" s="14">
        <v>4.5651359999999999</v>
      </c>
      <c r="G622" s="14">
        <v>3.730375</v>
      </c>
      <c r="H622" s="15">
        <v>5.1046440000000004</v>
      </c>
      <c r="I622" s="15">
        <v>3.432544</v>
      </c>
      <c r="J622" s="15">
        <v>12.857989999999999</v>
      </c>
      <c r="K622" s="15">
        <v>5.4380309999999996</v>
      </c>
      <c r="L622" s="16">
        <v>4.1176069999999996</v>
      </c>
      <c r="M622" s="16">
        <v>7.2993079999999999</v>
      </c>
      <c r="N622" s="16">
        <v>7.643688</v>
      </c>
      <c r="O622" s="16">
        <v>3.9756719999999999</v>
      </c>
      <c r="P622" s="17">
        <v>8.3138260000000006</v>
      </c>
      <c r="Q622" s="17">
        <v>8.1264230000000008</v>
      </c>
      <c r="R622" s="17">
        <v>4.747903</v>
      </c>
      <c r="S622" s="17">
        <v>10.63903</v>
      </c>
      <c r="AP622" s="35"/>
      <c r="AQ622" s="35"/>
      <c r="AR622" s="35"/>
      <c r="AS622" s="35"/>
    </row>
    <row r="623" spans="2:45" x14ac:dyDescent="0.2">
      <c r="B623" s="2">
        <v>43479.908043981479</v>
      </c>
      <c r="C623" s="5">
        <f t="shared" si="66"/>
        <v>3.7499998499999982</v>
      </c>
      <c r="D623" s="14">
        <v>5.5492990000000004</v>
      </c>
      <c r="E623" s="14">
        <v>5.8952499999999999</v>
      </c>
      <c r="F623" s="14">
        <v>4.5651359999999999</v>
      </c>
      <c r="G623" s="14">
        <v>3.730375</v>
      </c>
      <c r="H623" s="15">
        <v>5.1099370000000004</v>
      </c>
      <c r="I623" s="15">
        <v>3.432544</v>
      </c>
      <c r="J623" s="15">
        <v>12.857989999999999</v>
      </c>
      <c r="K623" s="15">
        <v>5.4380309999999996</v>
      </c>
      <c r="L623" s="16">
        <v>4.1176069999999996</v>
      </c>
      <c r="M623" s="16">
        <v>7.3067469999999997</v>
      </c>
      <c r="N623" s="16">
        <v>7.643688</v>
      </c>
      <c r="O623" s="16">
        <v>3.9756719999999999</v>
      </c>
      <c r="P623" s="17">
        <v>8.3138260000000006</v>
      </c>
      <c r="Q623" s="17">
        <v>8.1412999999999993</v>
      </c>
      <c r="R623" s="17">
        <v>4.7480460000000004</v>
      </c>
      <c r="S623" s="17">
        <v>10.63932</v>
      </c>
      <c r="AP623" s="35"/>
      <c r="AQ623" s="35"/>
      <c r="AR623" s="35"/>
      <c r="AS623" s="35"/>
    </row>
    <row r="624" spans="2:45" x14ac:dyDescent="0.2">
      <c r="B624" s="2">
        <v>43479.911516203705</v>
      </c>
      <c r="C624" s="5">
        <f t="shared" si="66"/>
        <v>3.8333331799999981</v>
      </c>
      <c r="D624" s="14">
        <v>5.5492990000000004</v>
      </c>
      <c r="E624" s="14">
        <v>5.8985399999999997</v>
      </c>
      <c r="F624" s="14">
        <v>4.5651359999999999</v>
      </c>
      <c r="G624" s="14">
        <v>3.730375</v>
      </c>
      <c r="H624" s="15">
        <v>5.1152300000000004</v>
      </c>
      <c r="I624" s="15">
        <v>3.432544</v>
      </c>
      <c r="J624" s="15">
        <v>12.857989999999999</v>
      </c>
      <c r="K624" s="15">
        <v>5.4380309999999996</v>
      </c>
      <c r="L624" s="16">
        <v>4.1205129999999999</v>
      </c>
      <c r="M624" s="16">
        <v>7.3141860000000003</v>
      </c>
      <c r="N624" s="16">
        <v>7.643688</v>
      </c>
      <c r="O624" s="16">
        <v>3.9756719999999999</v>
      </c>
      <c r="P624" s="17">
        <v>8.3138260000000006</v>
      </c>
      <c r="Q624" s="17">
        <v>8.1561780000000006</v>
      </c>
      <c r="R624" s="17">
        <v>4.748189</v>
      </c>
      <c r="S624" s="17">
        <v>10.6396</v>
      </c>
      <c r="AP624" s="35"/>
      <c r="AQ624" s="35"/>
      <c r="AR624" s="35"/>
      <c r="AS624" s="35"/>
    </row>
    <row r="625" spans="2:45" x14ac:dyDescent="0.2">
      <c r="B625" s="2">
        <v>43479.914988425924</v>
      </c>
      <c r="C625" s="5">
        <f t="shared" si="66"/>
        <v>3.916666509999998</v>
      </c>
      <c r="D625" s="14">
        <v>5.5492990000000004</v>
      </c>
      <c r="E625" s="14">
        <v>5.9018300000000004</v>
      </c>
      <c r="F625" s="14">
        <v>4.5651359999999999</v>
      </c>
      <c r="G625" s="14">
        <v>3.730375</v>
      </c>
      <c r="H625" s="15">
        <v>5.1205220000000002</v>
      </c>
      <c r="I625" s="15">
        <v>3.432544</v>
      </c>
      <c r="J625" s="15">
        <v>12.857989999999999</v>
      </c>
      <c r="K625" s="15">
        <v>5.4380309999999996</v>
      </c>
      <c r="L625" s="16">
        <v>4.1238039999999998</v>
      </c>
      <c r="M625" s="16">
        <v>7.3216239999999999</v>
      </c>
      <c r="N625" s="16">
        <v>7.643688</v>
      </c>
      <c r="O625" s="16">
        <v>3.9756719999999999</v>
      </c>
      <c r="P625" s="17">
        <v>8.3138260000000006</v>
      </c>
      <c r="Q625" s="17">
        <v>8.1710550000000008</v>
      </c>
      <c r="R625" s="17">
        <v>4.7483320000000004</v>
      </c>
      <c r="S625" s="17">
        <v>10.639889999999999</v>
      </c>
      <c r="AP625" s="35"/>
      <c r="AQ625" s="35"/>
      <c r="AR625" s="35"/>
      <c r="AS625" s="35"/>
    </row>
    <row r="626" spans="2:45" x14ac:dyDescent="0.2">
      <c r="B626" s="2">
        <v>43479.91846064815</v>
      </c>
      <c r="C626" s="5">
        <f t="shared" si="66"/>
        <v>3.9999998399999979</v>
      </c>
      <c r="D626" s="14">
        <v>5.5492990000000004</v>
      </c>
      <c r="E626" s="14">
        <v>5.9051200000000001</v>
      </c>
      <c r="F626" s="14">
        <v>4.5651359999999999</v>
      </c>
      <c r="G626" s="14">
        <v>3.730375</v>
      </c>
      <c r="H626" s="15">
        <v>5.1258150000000002</v>
      </c>
      <c r="I626" s="15">
        <v>3.432544</v>
      </c>
      <c r="J626" s="15">
        <v>12.857989999999999</v>
      </c>
      <c r="K626" s="15">
        <v>5.4380309999999996</v>
      </c>
      <c r="L626" s="16">
        <v>4.1270939999999996</v>
      </c>
      <c r="M626" s="16">
        <v>7.3290629999999997</v>
      </c>
      <c r="N626" s="16">
        <v>7.643688</v>
      </c>
      <c r="O626" s="16">
        <v>3.9756719999999999</v>
      </c>
      <c r="P626" s="17">
        <v>8.3138260000000006</v>
      </c>
      <c r="Q626" s="17">
        <v>8.1859319999999993</v>
      </c>
      <c r="R626" s="17">
        <v>4.748475</v>
      </c>
      <c r="S626" s="17">
        <v>10.640169999999999</v>
      </c>
      <c r="V626" s="25">
        <v>4</v>
      </c>
      <c r="W626">
        <f>AVERAGE(D615:D626)</f>
        <v>5.5492989999999986</v>
      </c>
      <c r="X626">
        <f t="shared" ref="X626:AL626" si="70">AVERAGE(E615:E626)</f>
        <v>5.8870243333333327</v>
      </c>
      <c r="Y626">
        <f t="shared" si="70"/>
        <v>4.5651360000000007</v>
      </c>
      <c r="Z626">
        <f t="shared" si="70"/>
        <v>3.7303750000000004</v>
      </c>
      <c r="AA626">
        <f t="shared" si="70"/>
        <v>5.0967044166666673</v>
      </c>
      <c r="AB626">
        <f t="shared" si="70"/>
        <v>3.432544</v>
      </c>
      <c r="AC626">
        <f t="shared" si="70"/>
        <v>12.857989999999999</v>
      </c>
      <c r="AD626">
        <f t="shared" si="70"/>
        <v>5.4380310000000014</v>
      </c>
      <c r="AE626">
        <f t="shared" si="70"/>
        <v>4.1191561666666665</v>
      </c>
      <c r="AF626">
        <f t="shared" si="70"/>
        <v>7.2881503333333342</v>
      </c>
      <c r="AG626">
        <f t="shared" si="70"/>
        <v>7.6436879999999983</v>
      </c>
      <c r="AH626">
        <f t="shared" si="70"/>
        <v>3.9756720000000008</v>
      </c>
      <c r="AI626">
        <f t="shared" si="70"/>
        <v>8.3138260000000024</v>
      </c>
      <c r="AJ626">
        <f t="shared" si="70"/>
        <v>8.1041070000000008</v>
      </c>
      <c r="AK626">
        <f t="shared" si="70"/>
        <v>4.7479655833333334</v>
      </c>
      <c r="AL626">
        <f t="shared" si="70"/>
        <v>10.638600833333333</v>
      </c>
      <c r="AO626" s="25">
        <v>4</v>
      </c>
      <c r="AP626" s="35">
        <f>AVERAGE(W626:Z626)</f>
        <v>4.9329585833333329</v>
      </c>
      <c r="AQ626" s="35">
        <f>AVERAGE(AA626:AD626)</f>
        <v>6.7063173541666679</v>
      </c>
      <c r="AR626" s="35">
        <f>AVERAGE(AE626:AH626)</f>
        <v>5.7566666249999994</v>
      </c>
      <c r="AS626" s="35">
        <f>AVERAGE(AI626:AL626)</f>
        <v>7.9511248541666681</v>
      </c>
    </row>
    <row r="627" spans="2:45" x14ac:dyDescent="0.2">
      <c r="B627" s="2">
        <v>43479.921932870369</v>
      </c>
      <c r="C627" s="5">
        <f t="shared" si="66"/>
        <v>4.0833331699999977</v>
      </c>
      <c r="D627" s="14">
        <v>5.5492990000000004</v>
      </c>
      <c r="E627" s="14">
        <v>5.9084110000000001</v>
      </c>
      <c r="F627" s="14">
        <v>4.5651359999999999</v>
      </c>
      <c r="G627" s="14">
        <v>3.730375</v>
      </c>
      <c r="H627" s="15">
        <v>5.1311080000000002</v>
      </c>
      <c r="I627" s="15">
        <v>3.432544</v>
      </c>
      <c r="J627" s="15">
        <v>12.857989999999999</v>
      </c>
      <c r="K627" s="15">
        <v>5.4380309999999996</v>
      </c>
      <c r="L627" s="16">
        <v>4.1303840000000003</v>
      </c>
      <c r="M627" s="16">
        <v>7.3365020000000003</v>
      </c>
      <c r="N627" s="16">
        <v>7.643688</v>
      </c>
      <c r="O627" s="16">
        <v>3.9756719999999999</v>
      </c>
      <c r="P627" s="17">
        <v>8.3138260000000006</v>
      </c>
      <c r="Q627" s="17">
        <v>8.2008089999999996</v>
      </c>
      <c r="R627" s="17">
        <v>4.7486179999999996</v>
      </c>
      <c r="S627" s="17">
        <v>10.640459999999999</v>
      </c>
      <c r="AP627" s="35"/>
      <c r="AQ627" s="35"/>
      <c r="AR627" s="35"/>
      <c r="AS627" s="35"/>
    </row>
    <row r="628" spans="2:45" x14ac:dyDescent="0.2">
      <c r="B628" s="2">
        <v>43479.925405092596</v>
      </c>
      <c r="C628" s="5">
        <f t="shared" si="66"/>
        <v>4.1666664999999981</v>
      </c>
      <c r="D628" s="14">
        <v>5.5492990000000004</v>
      </c>
      <c r="E628" s="14">
        <v>5.9117009999999999</v>
      </c>
      <c r="F628" s="14">
        <v>4.5651359999999999</v>
      </c>
      <c r="G628" s="14">
        <v>3.730375</v>
      </c>
      <c r="H628" s="15">
        <v>5.1364010000000002</v>
      </c>
      <c r="I628" s="15">
        <v>3.432544</v>
      </c>
      <c r="J628" s="15">
        <v>12.857989999999999</v>
      </c>
      <c r="K628" s="15">
        <v>5.4380309999999996</v>
      </c>
      <c r="L628" s="16">
        <v>4.1336740000000001</v>
      </c>
      <c r="M628" s="16">
        <v>7.3379029999999998</v>
      </c>
      <c r="N628" s="16">
        <v>7.643688</v>
      </c>
      <c r="O628" s="16">
        <v>3.9756719999999999</v>
      </c>
      <c r="P628" s="17">
        <v>8.3138260000000006</v>
      </c>
      <c r="Q628" s="17">
        <v>8.2156870000000009</v>
      </c>
      <c r="R628" s="17">
        <v>4.748761</v>
      </c>
      <c r="S628" s="17">
        <v>10.640750000000001</v>
      </c>
      <c r="AP628" s="35"/>
      <c r="AQ628" s="35"/>
      <c r="AR628" s="35"/>
      <c r="AS628" s="35"/>
    </row>
    <row r="629" spans="2:45" x14ac:dyDescent="0.2">
      <c r="B629" s="2">
        <v>43479.928877314815</v>
      </c>
      <c r="C629" s="5">
        <f t="shared" si="66"/>
        <v>4.2499998299999984</v>
      </c>
      <c r="D629" s="14">
        <v>5.5492990000000004</v>
      </c>
      <c r="E629" s="14">
        <v>5.9149909999999997</v>
      </c>
      <c r="F629" s="14">
        <v>4.5651359999999999</v>
      </c>
      <c r="G629" s="14">
        <v>3.730375</v>
      </c>
      <c r="H629" s="15">
        <v>5.1416940000000002</v>
      </c>
      <c r="I629" s="15">
        <v>3.432544</v>
      </c>
      <c r="J629" s="15">
        <v>12.857989999999999</v>
      </c>
      <c r="K629" s="15">
        <v>5.4380309999999996</v>
      </c>
      <c r="L629" s="16">
        <v>4.1369639999999999</v>
      </c>
      <c r="M629" s="16">
        <v>7.3379029999999998</v>
      </c>
      <c r="N629" s="16">
        <v>7.643688</v>
      </c>
      <c r="O629" s="16">
        <v>3.9756719999999999</v>
      </c>
      <c r="P629" s="17">
        <v>8.3138260000000006</v>
      </c>
      <c r="Q629" s="17">
        <v>8.2305639999999993</v>
      </c>
      <c r="R629" s="17">
        <v>4.7489039999999996</v>
      </c>
      <c r="S629" s="17">
        <v>10.641030000000001</v>
      </c>
      <c r="AP629" s="35"/>
      <c r="AQ629" s="35"/>
      <c r="AR629" s="35"/>
      <c r="AS629" s="35"/>
    </row>
    <row r="630" spans="2:45" x14ac:dyDescent="0.2">
      <c r="B630" s="2">
        <v>43479.932349537034</v>
      </c>
      <c r="C630" s="5">
        <f t="shared" si="66"/>
        <v>4.3333331599999987</v>
      </c>
      <c r="D630" s="14">
        <v>5.5492990000000004</v>
      </c>
      <c r="E630" s="14">
        <v>5.9182810000000003</v>
      </c>
      <c r="F630" s="14">
        <v>4.5651359999999999</v>
      </c>
      <c r="G630" s="14">
        <v>3.730375</v>
      </c>
      <c r="H630" s="15">
        <v>5.1469870000000002</v>
      </c>
      <c r="I630" s="15">
        <v>3.432544</v>
      </c>
      <c r="J630" s="15">
        <v>12.857989999999999</v>
      </c>
      <c r="K630" s="15">
        <v>5.4380309999999996</v>
      </c>
      <c r="L630" s="16">
        <v>4.1402539999999997</v>
      </c>
      <c r="M630" s="16">
        <v>7.3379029999999998</v>
      </c>
      <c r="N630" s="16">
        <v>7.643688</v>
      </c>
      <c r="O630" s="16">
        <v>3.9756719999999999</v>
      </c>
      <c r="P630" s="17">
        <v>8.3138260000000006</v>
      </c>
      <c r="Q630" s="17">
        <v>8.2454409999999996</v>
      </c>
      <c r="R630" s="17">
        <v>4.749047</v>
      </c>
      <c r="S630" s="17">
        <v>10.64132</v>
      </c>
      <c r="AP630" s="35"/>
      <c r="AQ630" s="35"/>
      <c r="AR630" s="35"/>
      <c r="AS630" s="35"/>
    </row>
    <row r="631" spans="2:45" x14ac:dyDescent="0.2">
      <c r="B631" s="2">
        <v>43479.93582175926</v>
      </c>
      <c r="C631" s="5">
        <f t="shared" si="66"/>
        <v>4.416666489999999</v>
      </c>
      <c r="D631" s="14">
        <v>5.5492990000000004</v>
      </c>
      <c r="E631" s="14">
        <v>5.9215710000000001</v>
      </c>
      <c r="F631" s="14">
        <v>4.5651359999999999</v>
      </c>
      <c r="G631" s="14">
        <v>3.730375</v>
      </c>
      <c r="H631" s="15">
        <v>5.1522800000000002</v>
      </c>
      <c r="I631" s="15">
        <v>3.432544</v>
      </c>
      <c r="J631" s="15">
        <v>12.857989999999999</v>
      </c>
      <c r="K631" s="15">
        <v>5.4380309999999996</v>
      </c>
      <c r="L631" s="16">
        <v>4.1435449999999996</v>
      </c>
      <c r="M631" s="16">
        <v>7.3379029999999998</v>
      </c>
      <c r="N631" s="16">
        <v>7.643688</v>
      </c>
      <c r="O631" s="16">
        <v>3.9756719999999999</v>
      </c>
      <c r="P631" s="17">
        <v>8.3138260000000006</v>
      </c>
      <c r="Q631" s="17">
        <v>8.2603190000000009</v>
      </c>
      <c r="R631" s="17">
        <v>4.7491899999999996</v>
      </c>
      <c r="S631" s="17">
        <v>10.6416</v>
      </c>
      <c r="AP631" s="35"/>
      <c r="AQ631" s="35"/>
      <c r="AR631" s="35"/>
      <c r="AS631" s="35"/>
    </row>
    <row r="632" spans="2:45" x14ac:dyDescent="0.2">
      <c r="B632" s="2">
        <v>43479.939293981479</v>
      </c>
      <c r="C632" s="5">
        <f t="shared" si="66"/>
        <v>4.4999998199999993</v>
      </c>
      <c r="D632" s="14">
        <v>5.5492990000000004</v>
      </c>
      <c r="E632" s="14">
        <v>5.9248609999999999</v>
      </c>
      <c r="F632" s="14">
        <v>4.5651359999999999</v>
      </c>
      <c r="G632" s="14">
        <v>3.730375</v>
      </c>
      <c r="H632" s="15">
        <v>5.1575730000000002</v>
      </c>
      <c r="I632" s="15">
        <v>3.432544</v>
      </c>
      <c r="J632" s="15">
        <v>12.857989999999999</v>
      </c>
      <c r="K632" s="15">
        <v>5.4380309999999996</v>
      </c>
      <c r="L632" s="16">
        <v>4.1468350000000003</v>
      </c>
      <c r="M632" s="16">
        <v>7.3425669999999998</v>
      </c>
      <c r="N632" s="16">
        <v>7.643688</v>
      </c>
      <c r="O632" s="16">
        <v>3.9756719999999999</v>
      </c>
      <c r="P632" s="17">
        <v>8.3138260000000006</v>
      </c>
      <c r="Q632" s="17">
        <v>8.2751959999999993</v>
      </c>
      <c r="R632" s="17">
        <v>4.749333</v>
      </c>
      <c r="S632" s="17">
        <v>10.64189</v>
      </c>
      <c r="AP632" s="35"/>
      <c r="AQ632" s="35"/>
      <c r="AR632" s="35"/>
      <c r="AS632" s="35"/>
    </row>
    <row r="633" spans="2:45" x14ac:dyDescent="0.2">
      <c r="B633" s="2">
        <v>43479.942766203705</v>
      </c>
      <c r="C633" s="5">
        <f t="shared" si="66"/>
        <v>4.5833331499999996</v>
      </c>
      <c r="D633" s="14">
        <v>5.5492990000000004</v>
      </c>
      <c r="E633" s="14">
        <v>5.9281519999999999</v>
      </c>
      <c r="F633" s="14">
        <v>4.5651359999999999</v>
      </c>
      <c r="G633" s="14">
        <v>3.730375</v>
      </c>
      <c r="H633" s="15">
        <v>5.1628660000000002</v>
      </c>
      <c r="I633" s="15">
        <v>3.432544</v>
      </c>
      <c r="J633" s="15">
        <v>12.857989999999999</v>
      </c>
      <c r="K633" s="15">
        <v>5.4380309999999996</v>
      </c>
      <c r="L633" s="16">
        <v>4.1501250000000001</v>
      </c>
      <c r="M633" s="16">
        <v>7.342676</v>
      </c>
      <c r="N633" s="16">
        <v>7.643688</v>
      </c>
      <c r="O633" s="16">
        <v>3.9756719999999999</v>
      </c>
      <c r="P633" s="17">
        <v>8.3138260000000006</v>
      </c>
      <c r="Q633" s="17">
        <v>8.2900729999999996</v>
      </c>
      <c r="R633" s="17">
        <v>4.7494759999999996</v>
      </c>
      <c r="S633" s="17">
        <v>10.64218</v>
      </c>
      <c r="AP633" s="35"/>
      <c r="AQ633" s="35"/>
      <c r="AR633" s="35"/>
      <c r="AS633" s="35"/>
    </row>
    <row r="634" spans="2:45" x14ac:dyDescent="0.2">
      <c r="B634" s="2">
        <v>43479.946238425924</v>
      </c>
      <c r="C634" s="5">
        <f t="shared" si="66"/>
        <v>4.66666648</v>
      </c>
      <c r="D634" s="14">
        <v>5.5492990000000004</v>
      </c>
      <c r="E634" s="14">
        <v>5.9314419999999997</v>
      </c>
      <c r="F634" s="14">
        <v>4.5651359999999999</v>
      </c>
      <c r="G634" s="14">
        <v>3.730375</v>
      </c>
      <c r="H634" s="15">
        <v>5.1681590000000002</v>
      </c>
      <c r="I634" s="15">
        <v>3.432544</v>
      </c>
      <c r="J634" s="15">
        <v>12.857989999999999</v>
      </c>
      <c r="K634" s="15">
        <v>5.4380309999999996</v>
      </c>
      <c r="L634" s="16">
        <v>4.1534149999999999</v>
      </c>
      <c r="M634" s="16">
        <v>7.3442360000000004</v>
      </c>
      <c r="N634" s="16">
        <v>7.643688</v>
      </c>
      <c r="O634" s="16">
        <v>3.9756719999999999</v>
      </c>
      <c r="P634" s="17">
        <v>8.3138260000000006</v>
      </c>
      <c r="Q634" s="17">
        <v>8.3049510000000009</v>
      </c>
      <c r="R634" s="17">
        <v>4.749619</v>
      </c>
      <c r="S634" s="17">
        <v>10.64246</v>
      </c>
      <c r="AP634" s="35"/>
      <c r="AQ634" s="35"/>
      <c r="AR634" s="35"/>
      <c r="AS634" s="35"/>
    </row>
    <row r="635" spans="2:45" x14ac:dyDescent="0.2">
      <c r="B635" s="2">
        <v>43479.94971064815</v>
      </c>
      <c r="C635" s="5">
        <f t="shared" si="66"/>
        <v>4.7499998100000003</v>
      </c>
      <c r="D635" s="14">
        <v>5.5492990000000004</v>
      </c>
      <c r="E635" s="14">
        <v>5.9347320000000003</v>
      </c>
      <c r="F635" s="14">
        <v>4.5651359999999999</v>
      </c>
      <c r="G635" s="14">
        <v>3.730375</v>
      </c>
      <c r="H635" s="15">
        <v>5.173451</v>
      </c>
      <c r="I635" s="15">
        <v>3.432544</v>
      </c>
      <c r="J635" s="15">
        <v>12.857989999999999</v>
      </c>
      <c r="K635" s="15">
        <v>5.4380309999999996</v>
      </c>
      <c r="L635" s="16">
        <v>4.1567049999999997</v>
      </c>
      <c r="M635" s="16">
        <v>7.3465249999999997</v>
      </c>
      <c r="N635" s="16">
        <v>7.643688</v>
      </c>
      <c r="O635" s="16">
        <v>3.9756719999999999</v>
      </c>
      <c r="P635" s="17">
        <v>8.3138260000000006</v>
      </c>
      <c r="Q635" s="17">
        <v>8.3198279999999993</v>
      </c>
      <c r="R635" s="17">
        <v>4.7497629999999997</v>
      </c>
      <c r="S635" s="17">
        <v>10.642749999999999</v>
      </c>
      <c r="AP635" s="35"/>
      <c r="AQ635" s="35"/>
      <c r="AR635" s="35"/>
      <c r="AS635" s="35"/>
    </row>
    <row r="636" spans="2:45" x14ac:dyDescent="0.2">
      <c r="B636" s="2">
        <v>43479.953182870369</v>
      </c>
      <c r="C636" s="5">
        <f t="shared" si="66"/>
        <v>4.8333331400000006</v>
      </c>
      <c r="D636" s="14">
        <v>5.5492990000000004</v>
      </c>
      <c r="E636" s="14">
        <v>5.9380220000000001</v>
      </c>
      <c r="F636" s="14">
        <v>4.5651359999999999</v>
      </c>
      <c r="G636" s="14">
        <v>3.730375</v>
      </c>
      <c r="H636" s="15">
        <v>5.1751189999999996</v>
      </c>
      <c r="I636" s="15">
        <v>3.432544</v>
      </c>
      <c r="J636" s="15">
        <v>12.857989999999999</v>
      </c>
      <c r="K636" s="15">
        <v>5.4380309999999996</v>
      </c>
      <c r="L636" s="16">
        <v>4.1599959999999996</v>
      </c>
      <c r="M636" s="16">
        <v>7.348814</v>
      </c>
      <c r="N636" s="16">
        <v>7.643688</v>
      </c>
      <c r="O636" s="16">
        <v>3.9756719999999999</v>
      </c>
      <c r="P636" s="17">
        <v>8.3138260000000006</v>
      </c>
      <c r="Q636" s="17">
        <v>8.3347049999999996</v>
      </c>
      <c r="R636" s="17">
        <v>4.7498800000000001</v>
      </c>
      <c r="S636" s="17">
        <v>10.64303</v>
      </c>
      <c r="AP636" s="35"/>
      <c r="AQ636" s="35"/>
      <c r="AR636" s="35"/>
      <c r="AS636" s="35"/>
    </row>
    <row r="637" spans="2:45" x14ac:dyDescent="0.2">
      <c r="B637" s="2">
        <v>43479.956655092596</v>
      </c>
      <c r="C637" s="5">
        <f t="shared" si="66"/>
        <v>4.9166664700000009</v>
      </c>
      <c r="D637" s="14">
        <v>5.5492990000000004</v>
      </c>
      <c r="E637" s="14">
        <v>5.9413119999999999</v>
      </c>
      <c r="F637" s="14">
        <v>4.5651359999999999</v>
      </c>
      <c r="G637" s="14">
        <v>3.730375</v>
      </c>
      <c r="H637" s="15">
        <v>5.1751189999999996</v>
      </c>
      <c r="I637" s="15">
        <v>3.432544</v>
      </c>
      <c r="J637" s="15">
        <v>12.857989999999999</v>
      </c>
      <c r="K637" s="15">
        <v>5.4380309999999996</v>
      </c>
      <c r="L637" s="16">
        <v>4.1632860000000003</v>
      </c>
      <c r="M637" s="16">
        <v>7.3511030000000002</v>
      </c>
      <c r="N637" s="16">
        <v>7.643688</v>
      </c>
      <c r="O637" s="16">
        <v>3.9756719999999999</v>
      </c>
      <c r="P637" s="17">
        <v>8.3138260000000006</v>
      </c>
      <c r="Q637" s="17">
        <v>8.3495830000000009</v>
      </c>
      <c r="R637" s="17">
        <v>4.7502129999999996</v>
      </c>
      <c r="S637" s="17">
        <v>10.643319999999999</v>
      </c>
      <c r="AP637" s="35"/>
      <c r="AQ637" s="35"/>
      <c r="AR637" s="35"/>
      <c r="AS637" s="35"/>
    </row>
    <row r="638" spans="2:45" x14ac:dyDescent="0.2">
      <c r="B638" s="2">
        <v>43479.960127314815</v>
      </c>
      <c r="C638" s="5">
        <f t="shared" si="66"/>
        <v>4.9999998000000012</v>
      </c>
      <c r="D638" s="14">
        <v>5.5492990000000004</v>
      </c>
      <c r="E638" s="14">
        <v>5.9446019999999997</v>
      </c>
      <c r="F638" s="14">
        <v>4.5651359999999999</v>
      </c>
      <c r="G638" s="14">
        <v>3.730375</v>
      </c>
      <c r="H638" s="15">
        <v>5.1806859999999997</v>
      </c>
      <c r="I638" s="15">
        <v>3.432544</v>
      </c>
      <c r="J638" s="15">
        <v>12.857989999999999</v>
      </c>
      <c r="K638" s="15">
        <v>5.4380309999999996</v>
      </c>
      <c r="L638" s="16">
        <v>4.1665760000000001</v>
      </c>
      <c r="M638" s="16">
        <v>7.3533920000000004</v>
      </c>
      <c r="N638" s="16">
        <v>7.643688</v>
      </c>
      <c r="O638" s="16">
        <v>3.9756719999999999</v>
      </c>
      <c r="P638" s="17">
        <v>8.3138260000000006</v>
      </c>
      <c r="Q638" s="17">
        <v>8.3644599999999993</v>
      </c>
      <c r="R638" s="17">
        <v>4.750928</v>
      </c>
      <c r="S638" s="17">
        <v>10.643610000000001</v>
      </c>
      <c r="V638" s="25">
        <v>5</v>
      </c>
      <c r="W638">
        <f>AVERAGE(D627:D638)</f>
        <v>5.5492989999999986</v>
      </c>
      <c r="X638">
        <f t="shared" ref="X638:AL638" si="71">AVERAGE(E627:E638)</f>
        <v>5.9265064999999995</v>
      </c>
      <c r="Y638">
        <f t="shared" si="71"/>
        <v>4.5651360000000007</v>
      </c>
      <c r="Z638">
        <f t="shared" si="71"/>
        <v>3.7303750000000004</v>
      </c>
      <c r="AA638">
        <f t="shared" si="71"/>
        <v>5.1584535833333343</v>
      </c>
      <c r="AB638">
        <f t="shared" si="71"/>
        <v>3.432544</v>
      </c>
      <c r="AC638">
        <f t="shared" si="71"/>
        <v>12.857989999999999</v>
      </c>
      <c r="AD638">
        <f t="shared" si="71"/>
        <v>5.4380310000000014</v>
      </c>
      <c r="AE638">
        <f t="shared" si="71"/>
        <v>4.148479916666667</v>
      </c>
      <c r="AF638">
        <f t="shared" si="71"/>
        <v>7.3431189166666675</v>
      </c>
      <c r="AG638">
        <f t="shared" si="71"/>
        <v>7.6436879999999983</v>
      </c>
      <c r="AH638">
        <f t="shared" si="71"/>
        <v>3.9756720000000008</v>
      </c>
      <c r="AI638">
        <f t="shared" si="71"/>
        <v>8.3138260000000024</v>
      </c>
      <c r="AJ638">
        <f t="shared" si="71"/>
        <v>8.2826346666666666</v>
      </c>
      <c r="AK638">
        <f t="shared" si="71"/>
        <v>4.7494776666666665</v>
      </c>
      <c r="AL638">
        <f t="shared" si="71"/>
        <v>10.642033333333332</v>
      </c>
      <c r="AO638" s="25">
        <v>5</v>
      </c>
      <c r="AP638" s="35">
        <f>AVERAGE(W638:Z638)</f>
        <v>4.9428291249999994</v>
      </c>
      <c r="AQ638" s="35">
        <f>AVERAGE(AA638:AD638)</f>
        <v>6.7217546458333342</v>
      </c>
      <c r="AR638" s="35">
        <f>AVERAGE(AE638:AH638)</f>
        <v>5.7777397083333328</v>
      </c>
      <c r="AS638" s="35">
        <f>AVERAGE(AI638:AL638)</f>
        <v>7.9969929166666667</v>
      </c>
    </row>
    <row r="639" spans="2:45" x14ac:dyDescent="0.2">
      <c r="B639" s="2">
        <v>43479.963599537034</v>
      </c>
      <c r="C639" s="5">
        <f t="shared" si="66"/>
        <v>5.0833331300000015</v>
      </c>
      <c r="D639" s="14">
        <v>5.5492990000000004</v>
      </c>
      <c r="E639" s="14">
        <v>5.9478929999999997</v>
      </c>
      <c r="F639" s="14">
        <v>4.5651359999999999</v>
      </c>
      <c r="G639" s="14">
        <v>3.730375</v>
      </c>
      <c r="H639" s="15">
        <v>5.1991399999999999</v>
      </c>
      <c r="I639" s="15">
        <v>3.432544</v>
      </c>
      <c r="J639" s="15">
        <v>12.857989999999999</v>
      </c>
      <c r="K639" s="15">
        <v>5.4380309999999996</v>
      </c>
      <c r="L639" s="16">
        <v>4.1698659999999999</v>
      </c>
      <c r="M639" s="16">
        <v>7.3556800000000004</v>
      </c>
      <c r="N639" s="16">
        <v>7.643688</v>
      </c>
      <c r="O639" s="16">
        <v>3.9756719999999999</v>
      </c>
      <c r="P639" s="17">
        <v>8.3138260000000006</v>
      </c>
      <c r="Q639" s="17">
        <v>8.3793369999999996</v>
      </c>
      <c r="R639" s="17">
        <v>4.7516429999999996</v>
      </c>
      <c r="S639" s="17">
        <v>10.643890000000001</v>
      </c>
      <c r="AP639" s="35"/>
      <c r="AQ639" s="35"/>
      <c r="AR639" s="35"/>
      <c r="AS639" s="35"/>
    </row>
    <row r="640" spans="2:45" x14ac:dyDescent="0.2">
      <c r="B640" s="2">
        <v>43479.96707175926</v>
      </c>
      <c r="C640" s="5">
        <f t="shared" si="66"/>
        <v>5.1666664600000018</v>
      </c>
      <c r="D640" s="14">
        <v>5.5492990000000004</v>
      </c>
      <c r="E640" s="14">
        <v>5.9511830000000003</v>
      </c>
      <c r="F640" s="14">
        <v>4.5651359999999999</v>
      </c>
      <c r="G640" s="14">
        <v>3.730375</v>
      </c>
      <c r="H640" s="15">
        <v>5.2175929999999999</v>
      </c>
      <c r="I640" s="15">
        <v>3.432544</v>
      </c>
      <c r="J640" s="15">
        <v>12.857989999999999</v>
      </c>
      <c r="K640" s="15">
        <v>5.4380309999999996</v>
      </c>
      <c r="L640" s="16">
        <v>4.1731559999999996</v>
      </c>
      <c r="M640" s="16">
        <v>7.3579689999999998</v>
      </c>
      <c r="N640" s="16">
        <v>7.643688</v>
      </c>
      <c r="O640" s="16">
        <v>3.9756719999999999</v>
      </c>
      <c r="P640" s="17">
        <v>8.3138260000000006</v>
      </c>
      <c r="Q640" s="17">
        <v>8.3942150000000009</v>
      </c>
      <c r="R640" s="17">
        <v>4.7523580000000001</v>
      </c>
      <c r="S640" s="17">
        <v>10.64418</v>
      </c>
      <c r="AP640" s="35"/>
      <c r="AQ640" s="35"/>
      <c r="AR640" s="35"/>
      <c r="AS640" s="35"/>
    </row>
    <row r="641" spans="2:45" x14ac:dyDescent="0.2">
      <c r="B641" s="2">
        <v>43479.970543981479</v>
      </c>
      <c r="C641" s="5">
        <f t="shared" si="66"/>
        <v>5.2499997900000022</v>
      </c>
      <c r="D641" s="14">
        <v>5.5492990000000004</v>
      </c>
      <c r="E641" s="14">
        <v>5.9544730000000001</v>
      </c>
      <c r="F641" s="14">
        <v>4.5651359999999999</v>
      </c>
      <c r="G641" s="14">
        <v>3.730375</v>
      </c>
      <c r="H641" s="15">
        <v>5.2360470000000001</v>
      </c>
      <c r="I641" s="15">
        <v>3.432544</v>
      </c>
      <c r="J641" s="15">
        <v>12.857989999999999</v>
      </c>
      <c r="K641" s="15">
        <v>5.4380309999999996</v>
      </c>
      <c r="L641" s="16">
        <v>4.1764460000000003</v>
      </c>
      <c r="M641" s="16">
        <v>7.360258</v>
      </c>
      <c r="N641" s="16">
        <v>7.643688</v>
      </c>
      <c r="O641" s="16">
        <v>3.9756719999999999</v>
      </c>
      <c r="P641" s="17">
        <v>8.3138260000000006</v>
      </c>
      <c r="Q641" s="17">
        <v>8.4090919999999993</v>
      </c>
      <c r="R641" s="17">
        <v>4.7530739999999998</v>
      </c>
      <c r="S641" s="17">
        <v>10.64447</v>
      </c>
      <c r="AP641" s="35"/>
      <c r="AQ641" s="35"/>
      <c r="AR641" s="35"/>
      <c r="AS641" s="35"/>
    </row>
    <row r="642" spans="2:45" x14ac:dyDescent="0.2">
      <c r="B642" s="2">
        <v>43479.974016203705</v>
      </c>
      <c r="C642" s="5">
        <f t="shared" si="66"/>
        <v>5.3333331200000025</v>
      </c>
      <c r="D642" s="14">
        <v>5.5492990000000004</v>
      </c>
      <c r="E642" s="14">
        <v>5.9577629999999999</v>
      </c>
      <c r="F642" s="14">
        <v>4.5651359999999999</v>
      </c>
      <c r="G642" s="14">
        <v>3.730375</v>
      </c>
      <c r="H642" s="15">
        <v>5.2545000000000002</v>
      </c>
      <c r="I642" s="15">
        <v>3.432544</v>
      </c>
      <c r="J642" s="15">
        <v>12.857989999999999</v>
      </c>
      <c r="K642" s="15">
        <v>5.4380309999999996</v>
      </c>
      <c r="L642" s="16">
        <v>4.1797370000000003</v>
      </c>
      <c r="M642" s="16">
        <v>7.3609559999999998</v>
      </c>
      <c r="N642" s="16">
        <v>7.643688</v>
      </c>
      <c r="O642" s="16">
        <v>3.9756719999999999</v>
      </c>
      <c r="P642" s="17">
        <v>8.3138260000000006</v>
      </c>
      <c r="Q642" s="17">
        <v>8.4239689999999996</v>
      </c>
      <c r="R642" s="17">
        <v>4.7537890000000003</v>
      </c>
      <c r="S642" s="17">
        <v>10.64475</v>
      </c>
      <c r="AP642" s="35"/>
      <c r="AQ642" s="35"/>
      <c r="AR642" s="35"/>
      <c r="AS642" s="35"/>
    </row>
    <row r="643" spans="2:45" x14ac:dyDescent="0.2">
      <c r="B643" s="2">
        <v>43479.977488425924</v>
      </c>
      <c r="C643" s="5">
        <f t="shared" si="66"/>
        <v>5.4166664500000028</v>
      </c>
      <c r="D643" s="14">
        <v>5.5492990000000004</v>
      </c>
      <c r="E643" s="14">
        <v>5.9610529999999997</v>
      </c>
      <c r="F643" s="14">
        <v>4.5651359999999999</v>
      </c>
      <c r="G643" s="14">
        <v>3.730375</v>
      </c>
      <c r="H643" s="15">
        <v>5.2729540000000004</v>
      </c>
      <c r="I643" s="15">
        <v>3.432544</v>
      </c>
      <c r="J643" s="15">
        <v>12.857989999999999</v>
      </c>
      <c r="K643" s="15">
        <v>5.4390289999999997</v>
      </c>
      <c r="L643" s="16">
        <v>4.1830270000000001</v>
      </c>
      <c r="M643" s="16">
        <v>7.3609559999999998</v>
      </c>
      <c r="N643" s="16">
        <v>7.643688</v>
      </c>
      <c r="O643" s="16">
        <v>3.9756719999999999</v>
      </c>
      <c r="P643" s="17">
        <v>8.3138260000000006</v>
      </c>
      <c r="Q643" s="17">
        <v>8.4388470000000009</v>
      </c>
      <c r="R643" s="17">
        <v>4.7545039999999998</v>
      </c>
      <c r="S643" s="17">
        <v>10.64504</v>
      </c>
      <c r="AP643" s="35"/>
      <c r="AQ643" s="35"/>
      <c r="AR643" s="35"/>
      <c r="AS643" s="35"/>
    </row>
    <row r="644" spans="2:45" x14ac:dyDescent="0.2">
      <c r="B644" s="2">
        <v>43479.98096064815</v>
      </c>
      <c r="C644" s="5">
        <f t="shared" ref="C644:C707" si="72">C643+0.08333333</f>
        <v>5.4999997800000031</v>
      </c>
      <c r="D644" s="14">
        <v>5.5492990000000004</v>
      </c>
      <c r="E644" s="14">
        <v>5.9643439999999996</v>
      </c>
      <c r="F644" s="14">
        <v>4.5651359999999999</v>
      </c>
      <c r="G644" s="14">
        <v>3.730375</v>
      </c>
      <c r="H644" s="15">
        <v>5.2914079999999997</v>
      </c>
      <c r="I644" s="15">
        <v>3.432544</v>
      </c>
      <c r="J644" s="15">
        <v>12.857989999999999</v>
      </c>
      <c r="K644" s="15">
        <v>5.4411750000000003</v>
      </c>
      <c r="L644" s="16">
        <v>4.1863169999999998</v>
      </c>
      <c r="M644" s="16">
        <v>7.3609559999999998</v>
      </c>
      <c r="N644" s="16">
        <v>7.643688</v>
      </c>
      <c r="O644" s="16">
        <v>3.9807570000000001</v>
      </c>
      <c r="P644" s="17">
        <v>8.3138260000000006</v>
      </c>
      <c r="Q644" s="17">
        <v>8.4537239999999994</v>
      </c>
      <c r="R644" s="17">
        <v>4.7552190000000003</v>
      </c>
      <c r="S644" s="17">
        <v>10.64532</v>
      </c>
      <c r="AP644" s="35"/>
      <c r="AQ644" s="35"/>
      <c r="AR644" s="35"/>
      <c r="AS644" s="35"/>
    </row>
    <row r="645" spans="2:45" x14ac:dyDescent="0.2">
      <c r="B645" s="2">
        <v>43479.984432870369</v>
      </c>
      <c r="C645" s="5">
        <f t="shared" si="72"/>
        <v>5.5833331100000034</v>
      </c>
      <c r="D645" s="14">
        <v>5.5492990000000004</v>
      </c>
      <c r="E645" s="14">
        <v>5.9676340000000003</v>
      </c>
      <c r="F645" s="14">
        <v>4.5651359999999999</v>
      </c>
      <c r="G645" s="14">
        <v>3.730375</v>
      </c>
      <c r="H645" s="15">
        <v>5.3098609999999997</v>
      </c>
      <c r="I645" s="15">
        <v>3.432544</v>
      </c>
      <c r="J645" s="15">
        <v>12.857989999999999</v>
      </c>
      <c r="K645" s="15">
        <v>5.4433199999999999</v>
      </c>
      <c r="L645" s="16">
        <v>4.1896069999999996</v>
      </c>
      <c r="M645" s="16">
        <v>7.3609559999999998</v>
      </c>
      <c r="N645" s="16">
        <v>7.643688</v>
      </c>
      <c r="O645" s="16">
        <v>3.987552</v>
      </c>
      <c r="P645" s="17">
        <v>8.3138260000000006</v>
      </c>
      <c r="Q645" s="17">
        <v>8.4686009999999996</v>
      </c>
      <c r="R645" s="17">
        <v>4.755935</v>
      </c>
      <c r="S645" s="17">
        <v>10.64561</v>
      </c>
      <c r="AP645" s="35"/>
      <c r="AQ645" s="35"/>
      <c r="AR645" s="35"/>
      <c r="AS645" s="35"/>
    </row>
    <row r="646" spans="2:45" x14ac:dyDescent="0.2">
      <c r="B646" s="2">
        <v>43479.987905092596</v>
      </c>
      <c r="C646" s="5">
        <f t="shared" si="72"/>
        <v>5.6666664400000037</v>
      </c>
      <c r="D646" s="14">
        <v>5.5492990000000004</v>
      </c>
      <c r="E646" s="14">
        <v>5.9709240000000001</v>
      </c>
      <c r="F646" s="14">
        <v>4.5651359999999999</v>
      </c>
      <c r="G646" s="14">
        <v>3.730375</v>
      </c>
      <c r="H646" s="15">
        <v>5.3283149999999999</v>
      </c>
      <c r="I646" s="15">
        <v>3.432544</v>
      </c>
      <c r="J646" s="15">
        <v>12.857989999999999</v>
      </c>
      <c r="K646" s="15">
        <v>5.4454659999999997</v>
      </c>
      <c r="L646" s="16">
        <v>4.1928970000000003</v>
      </c>
      <c r="M646" s="16">
        <v>7.3609559999999998</v>
      </c>
      <c r="N646" s="16">
        <v>7.643688</v>
      </c>
      <c r="O646" s="16">
        <v>3.9943469999999999</v>
      </c>
      <c r="P646" s="17">
        <v>8.3138260000000006</v>
      </c>
      <c r="Q646" s="17">
        <v>8.4834790000000009</v>
      </c>
      <c r="R646" s="17">
        <v>4.7566499999999996</v>
      </c>
      <c r="S646" s="17">
        <v>10.645849999999999</v>
      </c>
      <c r="AP646" s="35"/>
      <c r="AQ646" s="35"/>
      <c r="AR646" s="35"/>
      <c r="AS646" s="35"/>
    </row>
    <row r="647" spans="2:45" x14ac:dyDescent="0.2">
      <c r="B647" s="2">
        <v>43479.991377314815</v>
      </c>
      <c r="C647" s="5">
        <f t="shared" si="72"/>
        <v>5.7499997700000041</v>
      </c>
      <c r="D647" s="14">
        <v>5.5492990000000004</v>
      </c>
      <c r="E647" s="14">
        <v>5.9742139999999999</v>
      </c>
      <c r="F647" s="14">
        <v>4.5651359999999999</v>
      </c>
      <c r="G647" s="14">
        <v>3.730375</v>
      </c>
      <c r="H647" s="15">
        <v>5.346768</v>
      </c>
      <c r="I647" s="15">
        <v>3.432544</v>
      </c>
      <c r="J647" s="15">
        <v>12.857989999999999</v>
      </c>
      <c r="K647" s="15">
        <v>5.4476120000000003</v>
      </c>
      <c r="L647" s="16">
        <v>4.1961870000000001</v>
      </c>
      <c r="M647" s="16">
        <v>7.3609559999999998</v>
      </c>
      <c r="N647" s="16">
        <v>7.643688</v>
      </c>
      <c r="O647" s="16">
        <v>4.0011539999999997</v>
      </c>
      <c r="P647" s="17">
        <v>8.3138260000000006</v>
      </c>
      <c r="Q647" s="17">
        <v>8.4983559999999994</v>
      </c>
      <c r="R647" s="17">
        <v>4.7573650000000001</v>
      </c>
      <c r="S647" s="17">
        <v>10.645849999999999</v>
      </c>
      <c r="AP647" s="35"/>
      <c r="AQ647" s="35"/>
      <c r="AR647" s="35"/>
      <c r="AS647" s="35"/>
    </row>
    <row r="648" spans="2:45" x14ac:dyDescent="0.2">
      <c r="B648" s="2">
        <v>43479.994849537034</v>
      </c>
      <c r="C648" s="5">
        <f t="shared" si="72"/>
        <v>5.8333331000000044</v>
      </c>
      <c r="D648" s="14">
        <v>5.5492990000000004</v>
      </c>
      <c r="E648" s="14">
        <v>5.974488</v>
      </c>
      <c r="F648" s="14">
        <v>4.5651359999999999</v>
      </c>
      <c r="G648" s="14">
        <v>3.730375</v>
      </c>
      <c r="H648" s="15">
        <v>5.3652220000000002</v>
      </c>
      <c r="I648" s="15">
        <v>3.432544</v>
      </c>
      <c r="J648" s="15">
        <v>12.857989999999999</v>
      </c>
      <c r="K648" s="15">
        <v>5.4497580000000001</v>
      </c>
      <c r="L648" s="16">
        <v>4.199478</v>
      </c>
      <c r="M648" s="16">
        <v>7.3609559999999998</v>
      </c>
      <c r="N648" s="16">
        <v>7.643688</v>
      </c>
      <c r="O648" s="16">
        <v>4.0080200000000001</v>
      </c>
      <c r="P648" s="17">
        <v>8.3138260000000006</v>
      </c>
      <c r="Q648" s="17">
        <v>8.5132329999999996</v>
      </c>
      <c r="R648" s="17">
        <v>4.7580799999999996</v>
      </c>
      <c r="S648" s="17">
        <v>10.645849999999999</v>
      </c>
      <c r="AP648" s="35"/>
      <c r="AQ648" s="35"/>
      <c r="AR648" s="35"/>
      <c r="AS648" s="35"/>
    </row>
    <row r="649" spans="2:45" x14ac:dyDescent="0.2">
      <c r="B649" s="2">
        <v>43479.99832175926</v>
      </c>
      <c r="C649" s="5">
        <f t="shared" si="72"/>
        <v>5.9166664300000047</v>
      </c>
      <c r="D649" s="14">
        <v>5.5492990000000004</v>
      </c>
      <c r="E649" s="14">
        <v>5.9751519999999996</v>
      </c>
      <c r="F649" s="14">
        <v>4.5651359999999999</v>
      </c>
      <c r="G649" s="14">
        <v>3.730375</v>
      </c>
      <c r="H649" s="15">
        <v>5.3836760000000004</v>
      </c>
      <c r="I649" s="15">
        <v>3.432544</v>
      </c>
      <c r="J649" s="15">
        <v>12.857989999999999</v>
      </c>
      <c r="K649" s="15">
        <v>5.4519029999999997</v>
      </c>
      <c r="L649" s="16">
        <v>4.2027679999999998</v>
      </c>
      <c r="M649" s="16">
        <v>7.3609559999999998</v>
      </c>
      <c r="N649" s="16">
        <v>7.643688</v>
      </c>
      <c r="O649" s="16">
        <v>4.0148869999999999</v>
      </c>
      <c r="P649" s="17">
        <v>8.3138260000000006</v>
      </c>
      <c r="Q649" s="17">
        <v>8.5281110000000009</v>
      </c>
      <c r="R649" s="17">
        <v>4.7587960000000002</v>
      </c>
      <c r="S649" s="17">
        <v>10.645849999999999</v>
      </c>
      <c r="AP649" s="35"/>
      <c r="AQ649" s="35"/>
      <c r="AR649" s="35"/>
      <c r="AS649" s="35"/>
    </row>
    <row r="650" spans="2:45" x14ac:dyDescent="0.2">
      <c r="B650" s="2">
        <v>43480.001793981479</v>
      </c>
      <c r="C650" s="5">
        <f t="shared" si="72"/>
        <v>5.999999760000005</v>
      </c>
      <c r="D650" s="14">
        <v>5.5492990000000004</v>
      </c>
      <c r="E650" s="14">
        <v>5.9768689999999998</v>
      </c>
      <c r="F650" s="14">
        <v>4.5651359999999999</v>
      </c>
      <c r="G650" s="14">
        <v>3.730375</v>
      </c>
      <c r="H650" s="15">
        <v>5.4021290000000004</v>
      </c>
      <c r="I650" s="15">
        <v>3.432544</v>
      </c>
      <c r="J650" s="15">
        <v>12.857989999999999</v>
      </c>
      <c r="K650" s="15">
        <v>5.4540490000000004</v>
      </c>
      <c r="L650" s="16">
        <v>4.2060579999999996</v>
      </c>
      <c r="M650" s="16">
        <v>7.3609559999999998</v>
      </c>
      <c r="N650" s="16">
        <v>7.643688</v>
      </c>
      <c r="O650" s="16">
        <v>4.0159969999999996</v>
      </c>
      <c r="P650" s="17">
        <v>8.3138260000000006</v>
      </c>
      <c r="Q650" s="17">
        <v>8.5429879999999994</v>
      </c>
      <c r="R650" s="17">
        <v>4.7595109999999998</v>
      </c>
      <c r="S650" s="17">
        <v>10.645849999999999</v>
      </c>
      <c r="V650" s="25">
        <v>6</v>
      </c>
      <c r="W650">
        <f>AVERAGE(D639:D650)</f>
        <v>5.5492989999999986</v>
      </c>
      <c r="X650">
        <f t="shared" ref="X650:AL650" si="73">AVERAGE(E639:E650)</f>
        <v>5.9646658333333322</v>
      </c>
      <c r="Y650">
        <f t="shared" si="73"/>
        <v>4.5651360000000007</v>
      </c>
      <c r="Z650">
        <f t="shared" si="73"/>
        <v>3.7303750000000004</v>
      </c>
      <c r="AA650">
        <f t="shared" si="73"/>
        <v>5.300634416666667</v>
      </c>
      <c r="AB650">
        <f t="shared" si="73"/>
        <v>3.432544</v>
      </c>
      <c r="AC650">
        <f t="shared" si="73"/>
        <v>12.857989999999999</v>
      </c>
      <c r="AD650">
        <f t="shared" si="73"/>
        <v>5.4437030000000002</v>
      </c>
      <c r="AE650">
        <f t="shared" si="73"/>
        <v>4.1879619999999997</v>
      </c>
      <c r="AF650">
        <f t="shared" si="73"/>
        <v>7.3602092500000005</v>
      </c>
      <c r="AG650">
        <f t="shared" si="73"/>
        <v>7.6436879999999983</v>
      </c>
      <c r="AH650">
        <f t="shared" si="73"/>
        <v>3.9900895000000003</v>
      </c>
      <c r="AI650">
        <f t="shared" si="73"/>
        <v>8.3138260000000024</v>
      </c>
      <c r="AJ650">
        <f t="shared" si="73"/>
        <v>8.4611626666666666</v>
      </c>
      <c r="AK650">
        <f t="shared" si="73"/>
        <v>4.7555769999999997</v>
      </c>
      <c r="AL650">
        <f t="shared" si="73"/>
        <v>10.645209166666666</v>
      </c>
      <c r="AO650" s="25">
        <v>6</v>
      </c>
      <c r="AP650" s="35">
        <f>AVERAGE(W650:Z650)</f>
        <v>4.9523689583333326</v>
      </c>
      <c r="AQ650" s="35">
        <f>AVERAGE(AA650:AD650)</f>
        <v>6.758717854166667</v>
      </c>
      <c r="AR650" s="35">
        <f>AVERAGE(AE650:AH650)</f>
        <v>5.7954871874999991</v>
      </c>
      <c r="AS650" s="35">
        <f>AVERAGE(AI650:AL650)</f>
        <v>8.0439437083333338</v>
      </c>
    </row>
    <row r="651" spans="2:45" x14ac:dyDescent="0.2">
      <c r="B651" s="2">
        <v>43480.005266203705</v>
      </c>
      <c r="C651" s="5">
        <f t="shared" si="72"/>
        <v>6.0833330900000053</v>
      </c>
      <c r="D651" s="14">
        <v>5.5492990000000004</v>
      </c>
      <c r="E651" s="14">
        <v>5.9785849999999998</v>
      </c>
      <c r="F651" s="14">
        <v>4.5651359999999999</v>
      </c>
      <c r="G651" s="14">
        <v>3.730375</v>
      </c>
      <c r="H651" s="15">
        <v>5.4205829999999997</v>
      </c>
      <c r="I651" s="15">
        <v>3.432544</v>
      </c>
      <c r="J651" s="15">
        <v>12.857989999999999</v>
      </c>
      <c r="K651" s="15">
        <v>5.4559759999999997</v>
      </c>
      <c r="L651" s="16">
        <v>4.2093480000000003</v>
      </c>
      <c r="M651" s="16">
        <v>7.3609559999999998</v>
      </c>
      <c r="N651" s="16">
        <v>7.643688</v>
      </c>
      <c r="O651" s="16">
        <v>4.0159969999999996</v>
      </c>
      <c r="P651" s="17">
        <v>8.3138260000000006</v>
      </c>
      <c r="Q651" s="17">
        <v>8.5578649999999996</v>
      </c>
      <c r="R651" s="17">
        <v>4.7602260000000003</v>
      </c>
      <c r="S651" s="17">
        <v>10.645849999999999</v>
      </c>
      <c r="AP651" s="35"/>
      <c r="AQ651" s="35"/>
      <c r="AR651" s="35"/>
      <c r="AS651" s="35"/>
    </row>
    <row r="652" spans="2:45" x14ac:dyDescent="0.2">
      <c r="B652" s="2">
        <v>43480.008738425924</v>
      </c>
      <c r="C652" s="5">
        <f t="shared" si="72"/>
        <v>6.1666664200000056</v>
      </c>
      <c r="D652" s="14">
        <v>5.5492990000000004</v>
      </c>
      <c r="E652" s="14">
        <v>5.980302</v>
      </c>
      <c r="F652" s="14">
        <v>4.5651359999999999</v>
      </c>
      <c r="G652" s="14">
        <v>3.730375</v>
      </c>
      <c r="H652" s="15">
        <v>5.4390359999999998</v>
      </c>
      <c r="I652" s="15">
        <v>3.432544</v>
      </c>
      <c r="J652" s="15">
        <v>12.857989999999999</v>
      </c>
      <c r="K652" s="15">
        <v>5.4559759999999997</v>
      </c>
      <c r="L652" s="16">
        <v>4.2126380000000001</v>
      </c>
      <c r="M652" s="16">
        <v>7.3609559999999998</v>
      </c>
      <c r="N652" s="16">
        <v>7.643688</v>
      </c>
      <c r="O652" s="16">
        <v>4.0159969999999996</v>
      </c>
      <c r="P652" s="17">
        <v>8.3138260000000006</v>
      </c>
      <c r="Q652" s="17">
        <v>8.5727419999999999</v>
      </c>
      <c r="R652" s="17">
        <v>4.760942</v>
      </c>
      <c r="S652" s="17">
        <v>10.645849999999999</v>
      </c>
      <c r="AP652" s="35"/>
      <c r="AQ652" s="35"/>
      <c r="AR652" s="35"/>
      <c r="AS652" s="35"/>
    </row>
    <row r="653" spans="2:45" x14ac:dyDescent="0.2">
      <c r="B653" s="2">
        <v>43480.01221064815</v>
      </c>
      <c r="C653" s="5">
        <f t="shared" si="72"/>
        <v>6.249999750000006</v>
      </c>
      <c r="D653" s="14">
        <v>5.5492990000000004</v>
      </c>
      <c r="E653" s="14">
        <v>5.9820180000000001</v>
      </c>
      <c r="F653" s="14">
        <v>4.5651359999999999</v>
      </c>
      <c r="G653" s="14">
        <v>3.730375</v>
      </c>
      <c r="H653" s="15">
        <v>5.45749</v>
      </c>
      <c r="I653" s="15">
        <v>3.432544</v>
      </c>
      <c r="J653" s="15">
        <v>12.857989999999999</v>
      </c>
      <c r="K653" s="15">
        <v>5.4667630000000003</v>
      </c>
      <c r="L653" s="16">
        <v>4.215929</v>
      </c>
      <c r="M653" s="16">
        <v>7.3609559999999998</v>
      </c>
      <c r="N653" s="16">
        <v>7.643688</v>
      </c>
      <c r="O653" s="16">
        <v>4.0199049999999996</v>
      </c>
      <c r="P653" s="17">
        <v>8.3138260000000006</v>
      </c>
      <c r="Q653" s="17">
        <v>8.5876199999999994</v>
      </c>
      <c r="R653" s="17">
        <v>4.7616569999999996</v>
      </c>
      <c r="S653" s="17">
        <v>10.645849999999999</v>
      </c>
      <c r="AP653" s="35"/>
      <c r="AQ653" s="35"/>
      <c r="AR653" s="35"/>
      <c r="AS653" s="35"/>
    </row>
    <row r="654" spans="2:45" x14ac:dyDescent="0.2">
      <c r="B654" s="2">
        <v>43480.015682870369</v>
      </c>
      <c r="C654" s="5">
        <f t="shared" si="72"/>
        <v>6.3333330800000063</v>
      </c>
      <c r="D654" s="14">
        <v>5.5492990000000004</v>
      </c>
      <c r="E654" s="14">
        <v>5.9837350000000002</v>
      </c>
      <c r="F654" s="14">
        <v>4.5651359999999999</v>
      </c>
      <c r="G654" s="14">
        <v>3.730375</v>
      </c>
      <c r="H654" s="15">
        <v>5.4759440000000001</v>
      </c>
      <c r="I654" s="15">
        <v>3.432544</v>
      </c>
      <c r="J654" s="15">
        <v>12.857989999999999</v>
      </c>
      <c r="K654" s="15">
        <v>5.4816399999999996</v>
      </c>
      <c r="L654" s="16">
        <v>4.2192189999999998</v>
      </c>
      <c r="M654" s="16">
        <v>7.3609559999999998</v>
      </c>
      <c r="N654" s="16">
        <v>7.643688</v>
      </c>
      <c r="O654" s="16">
        <v>4.0251979999999996</v>
      </c>
      <c r="P654" s="17">
        <v>8.3138260000000006</v>
      </c>
      <c r="Q654" s="17">
        <v>8.6024969999999996</v>
      </c>
      <c r="R654" s="17">
        <v>4.762372</v>
      </c>
      <c r="S654" s="17">
        <v>10.645849999999999</v>
      </c>
      <c r="AP654" s="35"/>
      <c r="AQ654" s="35"/>
      <c r="AR654" s="35"/>
      <c r="AS654" s="35"/>
    </row>
    <row r="655" spans="2:45" x14ac:dyDescent="0.2">
      <c r="B655" s="2">
        <v>43480.019155092596</v>
      </c>
      <c r="C655" s="5">
        <f t="shared" si="72"/>
        <v>6.4166664100000066</v>
      </c>
      <c r="D655" s="14">
        <v>5.5492990000000004</v>
      </c>
      <c r="E655" s="14">
        <v>5.9854520000000004</v>
      </c>
      <c r="F655" s="14">
        <v>4.5651359999999999</v>
      </c>
      <c r="G655" s="14">
        <v>3.730375</v>
      </c>
      <c r="H655" s="15">
        <v>5.493074</v>
      </c>
      <c r="I655" s="15">
        <v>3.432544</v>
      </c>
      <c r="J655" s="15">
        <v>12.857989999999999</v>
      </c>
      <c r="K655" s="15">
        <v>5.4965169999999999</v>
      </c>
      <c r="L655" s="16">
        <v>4.2225089999999996</v>
      </c>
      <c r="M655" s="16">
        <v>7.3609559999999998</v>
      </c>
      <c r="N655" s="16">
        <v>7.643688</v>
      </c>
      <c r="O655" s="16">
        <v>4.0304909999999996</v>
      </c>
      <c r="P655" s="17">
        <v>8.3138260000000006</v>
      </c>
      <c r="Q655" s="17">
        <v>8.6173739999999999</v>
      </c>
      <c r="R655" s="17">
        <v>4.7630869999999996</v>
      </c>
      <c r="S655" s="17">
        <v>10.645849999999999</v>
      </c>
      <c r="AP655" s="35"/>
      <c r="AQ655" s="35"/>
      <c r="AR655" s="35"/>
      <c r="AS655" s="35"/>
    </row>
    <row r="656" spans="2:45" x14ac:dyDescent="0.2">
      <c r="B656" s="2">
        <v>43480.022627314815</v>
      </c>
      <c r="C656" s="5">
        <f t="shared" si="72"/>
        <v>6.4999997400000069</v>
      </c>
      <c r="D656" s="14">
        <v>5.5498139999999996</v>
      </c>
      <c r="E656" s="14">
        <v>5.9871679999999996</v>
      </c>
      <c r="F656" s="14">
        <v>4.5651359999999999</v>
      </c>
      <c r="G656" s="14">
        <v>3.730375</v>
      </c>
      <c r="H656" s="15">
        <v>5.4933459999999998</v>
      </c>
      <c r="I656" s="15">
        <v>3.432544</v>
      </c>
      <c r="J656" s="15">
        <v>12.857989999999999</v>
      </c>
      <c r="K656" s="15">
        <v>5.5113950000000003</v>
      </c>
      <c r="L656" s="16">
        <v>4.2257990000000003</v>
      </c>
      <c r="M656" s="16">
        <v>7.3609559999999998</v>
      </c>
      <c r="N656" s="16">
        <v>7.643688</v>
      </c>
      <c r="O656" s="16">
        <v>4.0357839999999996</v>
      </c>
      <c r="P656" s="17">
        <v>8.3138260000000006</v>
      </c>
      <c r="Q656" s="17">
        <v>8.6322519999999994</v>
      </c>
      <c r="R656" s="17">
        <v>4.7638030000000002</v>
      </c>
      <c r="S656" s="17">
        <v>10.650449999999999</v>
      </c>
      <c r="AP656" s="35"/>
      <c r="AQ656" s="35"/>
      <c r="AR656" s="35"/>
      <c r="AS656" s="35"/>
    </row>
    <row r="657" spans="2:45" x14ac:dyDescent="0.2">
      <c r="B657" s="2">
        <v>43480.026099537034</v>
      </c>
      <c r="C657" s="5">
        <f t="shared" si="72"/>
        <v>6.5833330700000072</v>
      </c>
      <c r="D657" s="14">
        <v>5.5541049999999998</v>
      </c>
      <c r="E657" s="14">
        <v>5.9889640000000002</v>
      </c>
      <c r="F657" s="14">
        <v>4.5651359999999999</v>
      </c>
      <c r="G657" s="14">
        <v>3.730375</v>
      </c>
      <c r="H657" s="15">
        <v>5.4943479999999996</v>
      </c>
      <c r="I657" s="15">
        <v>3.432544</v>
      </c>
      <c r="J657" s="15">
        <v>12.859159999999999</v>
      </c>
      <c r="K657" s="15">
        <v>5.5262719999999996</v>
      </c>
      <c r="L657" s="16">
        <v>4.2290890000000001</v>
      </c>
      <c r="M657" s="16">
        <v>7.3615719999999998</v>
      </c>
      <c r="N657" s="16">
        <v>7.643688</v>
      </c>
      <c r="O657" s="16">
        <v>4.0410769999999996</v>
      </c>
      <c r="P657" s="17">
        <v>8.3138260000000006</v>
      </c>
      <c r="Q657" s="17">
        <v>8.6471289999999996</v>
      </c>
      <c r="R657" s="17">
        <v>4.7645179999999998</v>
      </c>
      <c r="S657" s="17">
        <v>10.656739999999999</v>
      </c>
      <c r="AP657" s="35"/>
      <c r="AQ657" s="35"/>
      <c r="AR657" s="35"/>
      <c r="AS657" s="35"/>
    </row>
    <row r="658" spans="2:45" x14ac:dyDescent="0.2">
      <c r="B658" s="2">
        <v>43480.02957175926</v>
      </c>
      <c r="C658" s="5">
        <f t="shared" si="72"/>
        <v>6.6666664000000075</v>
      </c>
      <c r="D658" s="14">
        <v>5.5583109999999998</v>
      </c>
      <c r="E658" s="14">
        <v>5.9889939999999999</v>
      </c>
      <c r="F658" s="14">
        <v>4.5651359999999999</v>
      </c>
      <c r="G658" s="14">
        <v>3.730375</v>
      </c>
      <c r="H658" s="15">
        <v>5.495349</v>
      </c>
      <c r="I658" s="15">
        <v>3.432544</v>
      </c>
      <c r="J658" s="15">
        <v>12.862880000000001</v>
      </c>
      <c r="K658" s="15">
        <v>5.5411489999999999</v>
      </c>
      <c r="L658" s="16">
        <v>4.2323789999999999</v>
      </c>
      <c r="M658" s="16">
        <v>7.362717</v>
      </c>
      <c r="N658" s="16">
        <v>7.643688</v>
      </c>
      <c r="O658" s="16">
        <v>4.0463699999999996</v>
      </c>
      <c r="P658" s="17">
        <v>8.3138260000000006</v>
      </c>
      <c r="Q658" s="17">
        <v>8.6620059999999999</v>
      </c>
      <c r="R658" s="17">
        <v>4.7652330000000003</v>
      </c>
      <c r="S658" s="17">
        <v>10.663040000000001</v>
      </c>
      <c r="AP658" s="35"/>
      <c r="AQ658" s="35"/>
      <c r="AR658" s="35"/>
      <c r="AS658" s="35"/>
    </row>
    <row r="659" spans="2:45" x14ac:dyDescent="0.2">
      <c r="B659" s="2">
        <v>43480.033043981479</v>
      </c>
      <c r="C659" s="5">
        <f t="shared" si="72"/>
        <v>6.7499997300000079</v>
      </c>
      <c r="D659" s="14">
        <v>5.5583109999999998</v>
      </c>
      <c r="E659" s="14">
        <v>5.9889939999999999</v>
      </c>
      <c r="F659" s="14">
        <v>4.5651359999999999</v>
      </c>
      <c r="G659" s="14">
        <v>3.730375</v>
      </c>
      <c r="H659" s="15">
        <v>5.4963499999999996</v>
      </c>
      <c r="I659" s="15">
        <v>3.432544</v>
      </c>
      <c r="J659" s="15">
        <v>12.8666</v>
      </c>
      <c r="K659" s="15">
        <v>5.5560260000000001</v>
      </c>
      <c r="L659" s="16">
        <v>4.2356699999999998</v>
      </c>
      <c r="M659" s="16">
        <v>7.363861</v>
      </c>
      <c r="N659" s="16">
        <v>7.643688</v>
      </c>
      <c r="O659" s="16">
        <v>4.0516620000000003</v>
      </c>
      <c r="P659" s="17">
        <v>8.3138260000000006</v>
      </c>
      <c r="Q659" s="17">
        <v>8.6768839999999994</v>
      </c>
      <c r="R659" s="17">
        <v>4.7659479999999999</v>
      </c>
      <c r="S659" s="17">
        <v>10.66933</v>
      </c>
      <c r="AP659" s="35"/>
      <c r="AQ659" s="35"/>
      <c r="AR659" s="35"/>
      <c r="AS659" s="35"/>
    </row>
    <row r="660" spans="2:45" x14ac:dyDescent="0.2">
      <c r="B660" s="2">
        <v>43480.036516203705</v>
      </c>
      <c r="C660" s="5">
        <f t="shared" si="72"/>
        <v>6.8333330600000082</v>
      </c>
      <c r="D660" s="14">
        <v>5.5583109999999998</v>
      </c>
      <c r="E660" s="14">
        <v>5.9889939999999999</v>
      </c>
      <c r="F660" s="14">
        <v>4.5651359999999999</v>
      </c>
      <c r="G660" s="14">
        <v>3.730375</v>
      </c>
      <c r="H660" s="15">
        <v>5.4973520000000002</v>
      </c>
      <c r="I660" s="15">
        <v>3.432544</v>
      </c>
      <c r="J660" s="15">
        <v>12.87031</v>
      </c>
      <c r="K660" s="15">
        <v>5.5709039999999996</v>
      </c>
      <c r="L660" s="16">
        <v>4.2389599999999996</v>
      </c>
      <c r="M660" s="16">
        <v>7.365005</v>
      </c>
      <c r="N660" s="16">
        <v>7.643688</v>
      </c>
      <c r="O660" s="16">
        <v>4.0569550000000003</v>
      </c>
      <c r="P660" s="17">
        <v>8.3138260000000006</v>
      </c>
      <c r="Q660" s="17">
        <v>8.6884879999999995</v>
      </c>
      <c r="R660" s="17">
        <v>4.7666639999999996</v>
      </c>
      <c r="S660" s="17">
        <v>10.67563</v>
      </c>
      <c r="AP660" s="35"/>
      <c r="AQ660" s="35"/>
      <c r="AR660" s="35"/>
      <c r="AS660" s="35"/>
    </row>
    <row r="661" spans="2:45" x14ac:dyDescent="0.2">
      <c r="B661" s="2">
        <v>43480.039988425924</v>
      </c>
      <c r="C661" s="5">
        <f t="shared" si="72"/>
        <v>6.9166663900000085</v>
      </c>
      <c r="D661" s="14">
        <v>5.5583109999999998</v>
      </c>
      <c r="E661" s="14">
        <v>5.9889939999999999</v>
      </c>
      <c r="F661" s="14">
        <v>4.5651359999999999</v>
      </c>
      <c r="G661" s="14">
        <v>3.730375</v>
      </c>
      <c r="H661" s="15">
        <v>5.4983529999999998</v>
      </c>
      <c r="I661" s="15">
        <v>3.432544</v>
      </c>
      <c r="J661" s="15">
        <v>12.874029999999999</v>
      </c>
      <c r="K661" s="15">
        <v>5.5857809999999999</v>
      </c>
      <c r="L661" s="16">
        <v>4.2422500000000003</v>
      </c>
      <c r="M661" s="16">
        <v>7.3661500000000002</v>
      </c>
      <c r="N661" s="16">
        <v>7.643688</v>
      </c>
      <c r="O661" s="16">
        <v>4.0622480000000003</v>
      </c>
      <c r="P661" s="17">
        <v>8.3138260000000006</v>
      </c>
      <c r="Q661" s="17">
        <v>8.6884879999999995</v>
      </c>
      <c r="R661" s="17">
        <v>4.767379</v>
      </c>
      <c r="S661" s="17">
        <v>10.68192</v>
      </c>
      <c r="AP661" s="35"/>
      <c r="AQ661" s="35"/>
      <c r="AR661" s="35"/>
      <c r="AS661" s="35"/>
    </row>
    <row r="662" spans="2:45" x14ac:dyDescent="0.2">
      <c r="B662" s="2">
        <v>43480.04346064815</v>
      </c>
      <c r="C662" s="5">
        <f t="shared" si="72"/>
        <v>6.9999997200000088</v>
      </c>
      <c r="D662" s="14">
        <v>5.5588150000000001</v>
      </c>
      <c r="E662" s="14">
        <v>5.9889939999999999</v>
      </c>
      <c r="F662" s="14">
        <v>4.5651359999999999</v>
      </c>
      <c r="G662" s="14">
        <v>3.730375</v>
      </c>
      <c r="H662" s="15">
        <v>5.4993540000000003</v>
      </c>
      <c r="I662" s="15">
        <v>3.432544</v>
      </c>
      <c r="J662" s="15">
        <v>12.877750000000001</v>
      </c>
      <c r="K662" s="15">
        <v>5.6006580000000001</v>
      </c>
      <c r="L662" s="16">
        <v>4.2455400000000001</v>
      </c>
      <c r="M662" s="16">
        <v>7.3672940000000002</v>
      </c>
      <c r="N662" s="16">
        <v>7.643688</v>
      </c>
      <c r="O662" s="16">
        <v>4.0675410000000003</v>
      </c>
      <c r="P662" s="17">
        <v>8.3138260000000006</v>
      </c>
      <c r="Q662" s="17">
        <v>8.6884879999999995</v>
      </c>
      <c r="R662" s="17">
        <v>4.7680939999999996</v>
      </c>
      <c r="S662" s="17">
        <v>10.68821</v>
      </c>
      <c r="V662" s="25">
        <v>7</v>
      </c>
      <c r="W662">
        <f>AVERAGE(D651:D662)</f>
        <v>5.5535394166666672</v>
      </c>
      <c r="X662">
        <f t="shared" ref="X662:AL662" si="74">AVERAGE(E651:E662)</f>
        <v>5.985932833333333</v>
      </c>
      <c r="Y662">
        <f t="shared" si="74"/>
        <v>4.5651360000000007</v>
      </c>
      <c r="Z662">
        <f t="shared" si="74"/>
        <v>3.7303750000000004</v>
      </c>
      <c r="AA662">
        <f t="shared" si="74"/>
        <v>5.4800482500000003</v>
      </c>
      <c r="AB662">
        <f t="shared" si="74"/>
        <v>3.432544</v>
      </c>
      <c r="AC662">
        <f t="shared" si="74"/>
        <v>12.863222499999999</v>
      </c>
      <c r="AD662">
        <f t="shared" si="74"/>
        <v>5.5207547499999992</v>
      </c>
      <c r="AE662">
        <f t="shared" si="74"/>
        <v>4.2274441666666664</v>
      </c>
      <c r="AF662">
        <f t="shared" si="74"/>
        <v>7.3626945833333339</v>
      </c>
      <c r="AG662">
        <f t="shared" si="74"/>
        <v>7.6436879999999983</v>
      </c>
      <c r="AH662">
        <f t="shared" si="74"/>
        <v>4.0391020833333338</v>
      </c>
      <c r="AI662">
        <f t="shared" si="74"/>
        <v>8.3138260000000024</v>
      </c>
      <c r="AJ662">
        <f t="shared" si="74"/>
        <v>8.6351527500000014</v>
      </c>
      <c r="AK662">
        <f t="shared" si="74"/>
        <v>4.7641602499999998</v>
      </c>
      <c r="AL662">
        <f t="shared" si="74"/>
        <v>10.6595475</v>
      </c>
      <c r="AO662" s="25">
        <v>7</v>
      </c>
      <c r="AP662" s="35">
        <f>AVERAGE(W662:Z662)</f>
        <v>4.9587458125000001</v>
      </c>
      <c r="AQ662" s="35">
        <f>AVERAGE(AA662:AD662)</f>
        <v>6.8241423749999992</v>
      </c>
      <c r="AR662" s="35">
        <f>AVERAGE(AE662:AH662)</f>
        <v>5.8182322083333329</v>
      </c>
      <c r="AS662" s="35">
        <f>AVERAGE(AI662:AL662)</f>
        <v>8.0931716250000001</v>
      </c>
    </row>
    <row r="663" spans="2:45" x14ac:dyDescent="0.2">
      <c r="B663" s="2">
        <v>43480.046932870369</v>
      </c>
      <c r="C663" s="5">
        <f t="shared" si="72"/>
        <v>7.0833330500000091</v>
      </c>
      <c r="D663" s="14">
        <v>5.5593870000000001</v>
      </c>
      <c r="E663" s="14">
        <v>5.9889939999999999</v>
      </c>
      <c r="F663" s="14">
        <v>4.5651359999999999</v>
      </c>
      <c r="G663" s="14">
        <v>3.730375</v>
      </c>
      <c r="H663" s="15">
        <v>5.500356</v>
      </c>
      <c r="I663" s="15">
        <v>3.432544</v>
      </c>
      <c r="J663" s="15">
        <v>12.88147</v>
      </c>
      <c r="K663" s="15">
        <v>5.6155359999999996</v>
      </c>
      <c r="L663" s="16">
        <v>4.2488299999999999</v>
      </c>
      <c r="M663" s="16">
        <v>7.3684390000000004</v>
      </c>
      <c r="N663" s="16">
        <v>7.643688</v>
      </c>
      <c r="O663" s="16">
        <v>4.0728340000000003</v>
      </c>
      <c r="P663" s="17">
        <v>8.3138260000000006</v>
      </c>
      <c r="Q663" s="17">
        <v>8.6884879999999995</v>
      </c>
      <c r="R663" s="17">
        <v>4.7685839999999997</v>
      </c>
      <c r="S663" s="17">
        <v>10.694509999999999</v>
      </c>
      <c r="AP663" s="35"/>
      <c r="AQ663" s="35"/>
      <c r="AR663" s="35"/>
      <c r="AS663" s="35"/>
    </row>
    <row r="664" spans="2:45" x14ac:dyDescent="0.2">
      <c r="B664" s="2">
        <v>43480.050405092596</v>
      </c>
      <c r="C664" s="5">
        <f t="shared" si="72"/>
        <v>7.1666663800000094</v>
      </c>
      <c r="D664" s="14">
        <v>5.5599590000000001</v>
      </c>
      <c r="E664" s="14">
        <v>5.9889939999999999</v>
      </c>
      <c r="F664" s="14">
        <v>4.5651359999999999</v>
      </c>
      <c r="G664" s="14">
        <v>3.730375</v>
      </c>
      <c r="H664" s="15">
        <v>5.5013569999999996</v>
      </c>
      <c r="I664" s="15">
        <v>3.432544</v>
      </c>
      <c r="J664" s="15">
        <v>12.88519</v>
      </c>
      <c r="K664" s="15">
        <v>5.6304129999999999</v>
      </c>
      <c r="L664" s="16">
        <v>4.2521199999999997</v>
      </c>
      <c r="M664" s="16">
        <v>7.3695830000000004</v>
      </c>
      <c r="N664" s="16">
        <v>7.643688</v>
      </c>
      <c r="O664" s="16">
        <v>4.0781270000000003</v>
      </c>
      <c r="P664" s="17">
        <v>8.3138260000000006</v>
      </c>
      <c r="Q664" s="17">
        <v>8.6884879999999995</v>
      </c>
      <c r="R664" s="17">
        <v>4.7746639999999996</v>
      </c>
      <c r="S664" s="17">
        <v>10.700799999999999</v>
      </c>
      <c r="AP664" s="35"/>
      <c r="AQ664" s="35"/>
      <c r="AR664" s="35"/>
      <c r="AS664" s="35"/>
    </row>
    <row r="665" spans="2:45" x14ac:dyDescent="0.2">
      <c r="B665" s="2">
        <v>43480.053877314815</v>
      </c>
      <c r="C665" s="5">
        <f t="shared" si="72"/>
        <v>7.2499997100000098</v>
      </c>
      <c r="D665" s="14">
        <v>5.5605310000000001</v>
      </c>
      <c r="E665" s="14">
        <v>5.9889939999999999</v>
      </c>
      <c r="F665" s="14">
        <v>4.5651359999999999</v>
      </c>
      <c r="G665" s="14">
        <v>3.730375</v>
      </c>
      <c r="H665" s="15">
        <v>5.5023580000000001</v>
      </c>
      <c r="I665" s="15">
        <v>3.432544</v>
      </c>
      <c r="J665" s="15">
        <v>12.888909999999999</v>
      </c>
      <c r="K665" s="15">
        <v>5.6452900000000001</v>
      </c>
      <c r="L665" s="16">
        <v>4.2554109999999996</v>
      </c>
      <c r="M665" s="16">
        <v>7.3707279999999997</v>
      </c>
      <c r="N665" s="16">
        <v>7.643688</v>
      </c>
      <c r="O665" s="16">
        <v>4.0834200000000003</v>
      </c>
      <c r="P665" s="17">
        <v>8.3138260000000006</v>
      </c>
      <c r="Q665" s="17">
        <v>8.6884879999999995</v>
      </c>
      <c r="R665" s="17">
        <v>4.7889689999999998</v>
      </c>
      <c r="S665" s="17">
        <v>10.707100000000001</v>
      </c>
      <c r="AP665" s="35"/>
      <c r="AQ665" s="35"/>
      <c r="AR665" s="35"/>
      <c r="AS665" s="35"/>
    </row>
    <row r="666" spans="2:45" x14ac:dyDescent="0.2">
      <c r="B666" s="2">
        <v>43480.057349537034</v>
      </c>
      <c r="C666" s="5">
        <f t="shared" si="72"/>
        <v>7.3333330400000101</v>
      </c>
      <c r="D666" s="14">
        <v>5.5611030000000001</v>
      </c>
      <c r="E666" s="14">
        <v>5.9889939999999999</v>
      </c>
      <c r="F666" s="14">
        <v>4.5651359999999999</v>
      </c>
      <c r="G666" s="14">
        <v>3.730375</v>
      </c>
      <c r="H666" s="15">
        <v>5.5033599999999998</v>
      </c>
      <c r="I666" s="15">
        <v>3.432544</v>
      </c>
      <c r="J666" s="15">
        <v>12.89263</v>
      </c>
      <c r="K666" s="15">
        <v>5.6601679999999996</v>
      </c>
      <c r="L666" s="16">
        <v>4.2587010000000003</v>
      </c>
      <c r="M666" s="16">
        <v>7.3718719999999998</v>
      </c>
      <c r="N666" s="16">
        <v>7.643688</v>
      </c>
      <c r="O666" s="16">
        <v>4.0887130000000003</v>
      </c>
      <c r="P666" s="17">
        <v>8.3138260000000006</v>
      </c>
      <c r="Q666" s="17">
        <v>8.6884879999999995</v>
      </c>
      <c r="R666" s="17">
        <v>4.803274</v>
      </c>
      <c r="S666" s="17">
        <v>10.71339</v>
      </c>
      <c r="AP666" s="35"/>
      <c r="AQ666" s="35"/>
      <c r="AR666" s="35"/>
      <c r="AS666" s="35"/>
    </row>
    <row r="667" spans="2:45" x14ac:dyDescent="0.2">
      <c r="B667" s="2">
        <v>43480.06082175926</v>
      </c>
      <c r="C667" s="5">
        <f t="shared" si="72"/>
        <v>7.4166663700000104</v>
      </c>
      <c r="D667" s="14">
        <v>5.5616760000000003</v>
      </c>
      <c r="E667" s="14">
        <v>5.9889939999999999</v>
      </c>
      <c r="F667" s="14">
        <v>4.5651359999999999</v>
      </c>
      <c r="G667" s="14">
        <v>3.730375</v>
      </c>
      <c r="H667" s="15">
        <v>5.5043610000000003</v>
      </c>
      <c r="I667" s="15">
        <v>3.432544</v>
      </c>
      <c r="J667" s="15">
        <v>12.89471</v>
      </c>
      <c r="K667" s="15">
        <v>5.6750449999999999</v>
      </c>
      <c r="L667" s="16">
        <v>4.2619910000000001</v>
      </c>
      <c r="M667" s="16">
        <v>7.3730159999999998</v>
      </c>
      <c r="N667" s="16">
        <v>7.643688</v>
      </c>
      <c r="O667" s="16">
        <v>4.0940060000000003</v>
      </c>
      <c r="P667" s="17">
        <v>8.3138260000000006</v>
      </c>
      <c r="Q667" s="17">
        <v>8.6928370000000008</v>
      </c>
      <c r="R667" s="17">
        <v>4.8175790000000003</v>
      </c>
      <c r="S667" s="17">
        <v>10.71969</v>
      </c>
      <c r="AP667" s="35"/>
      <c r="AQ667" s="35"/>
      <c r="AR667" s="35"/>
      <c r="AS667" s="35"/>
    </row>
    <row r="668" spans="2:45" x14ac:dyDescent="0.2">
      <c r="B668" s="2">
        <v>43480.064293981479</v>
      </c>
      <c r="C668" s="5">
        <f t="shared" si="72"/>
        <v>7.4999997000000107</v>
      </c>
      <c r="D668" s="14">
        <v>5.5622480000000003</v>
      </c>
      <c r="E668" s="14">
        <v>5.9889939999999999</v>
      </c>
      <c r="F668" s="14">
        <v>4.5651359999999999</v>
      </c>
      <c r="G668" s="14">
        <v>3.730375</v>
      </c>
      <c r="H668" s="15">
        <v>5.505363</v>
      </c>
      <c r="I668" s="15">
        <v>3.432544</v>
      </c>
      <c r="J668" s="15">
        <v>12.89471</v>
      </c>
      <c r="K668" s="15">
        <v>5.6899220000000001</v>
      </c>
      <c r="L668" s="16">
        <v>4.2631540000000001</v>
      </c>
      <c r="M668" s="16">
        <v>7.374161</v>
      </c>
      <c r="N668" s="16">
        <v>7.643688</v>
      </c>
      <c r="O668" s="16">
        <v>4.0992980000000001</v>
      </c>
      <c r="P668" s="17">
        <v>8.3138260000000006</v>
      </c>
      <c r="Q668" s="17">
        <v>8.7200159999999993</v>
      </c>
      <c r="R668" s="17">
        <v>4.8318839999999996</v>
      </c>
      <c r="S668" s="17">
        <v>10.72598</v>
      </c>
      <c r="AP668" s="35"/>
      <c r="AQ668" s="35"/>
      <c r="AR668" s="35"/>
      <c r="AS668" s="35"/>
    </row>
    <row r="669" spans="2:45" x14ac:dyDescent="0.2">
      <c r="B669" s="2">
        <v>43480.067766203705</v>
      </c>
      <c r="C669" s="5">
        <f t="shared" si="72"/>
        <v>7.583333030000011</v>
      </c>
      <c r="D669" s="14">
        <v>5.5628200000000003</v>
      </c>
      <c r="E669" s="14">
        <v>5.9889939999999999</v>
      </c>
      <c r="F669" s="14">
        <v>4.5651359999999999</v>
      </c>
      <c r="G669" s="14">
        <v>3.730375</v>
      </c>
      <c r="H669" s="15">
        <v>5.5063639999999996</v>
      </c>
      <c r="I669" s="15">
        <v>3.432544</v>
      </c>
      <c r="J669" s="15">
        <v>12.89471</v>
      </c>
      <c r="K669" s="15">
        <v>5.7047999999999996</v>
      </c>
      <c r="L669" s="16">
        <v>4.2897990000000004</v>
      </c>
      <c r="M669" s="16">
        <v>7.375305</v>
      </c>
      <c r="N669" s="16">
        <v>7.643688</v>
      </c>
      <c r="O669" s="16">
        <v>4.1045910000000001</v>
      </c>
      <c r="P669" s="17">
        <v>8.3138260000000006</v>
      </c>
      <c r="Q669" s="17">
        <v>8.7471960000000006</v>
      </c>
      <c r="R669" s="17">
        <v>4.8461889999999999</v>
      </c>
      <c r="S669" s="17">
        <v>10.73227</v>
      </c>
      <c r="AP669" s="35"/>
      <c r="AQ669" s="35"/>
      <c r="AR669" s="35"/>
      <c r="AS669" s="35"/>
    </row>
    <row r="670" spans="2:45" x14ac:dyDescent="0.2">
      <c r="B670" s="2">
        <v>43480.071238425924</v>
      </c>
      <c r="C670" s="5">
        <f t="shared" si="72"/>
        <v>7.6666663600000113</v>
      </c>
      <c r="D670" s="14">
        <v>5.5633920000000003</v>
      </c>
      <c r="E670" s="14">
        <v>5.9889939999999999</v>
      </c>
      <c r="F670" s="14">
        <v>4.5651359999999999</v>
      </c>
      <c r="G670" s="14">
        <v>3.730375</v>
      </c>
      <c r="H670" s="15">
        <v>5.5073650000000001</v>
      </c>
      <c r="I670" s="15">
        <v>3.432544</v>
      </c>
      <c r="J670" s="15">
        <v>12.89471</v>
      </c>
      <c r="K670" s="15">
        <v>5.7196769999999999</v>
      </c>
      <c r="L670" s="16">
        <v>4.3212700000000002</v>
      </c>
      <c r="M670" s="16">
        <v>7.3764500000000002</v>
      </c>
      <c r="N670" s="16">
        <v>7.643688</v>
      </c>
      <c r="O670" s="16">
        <v>4.1098840000000001</v>
      </c>
      <c r="P670" s="17">
        <v>8.3138260000000006</v>
      </c>
      <c r="Q670" s="17">
        <v>8.7743760000000002</v>
      </c>
      <c r="R670" s="17">
        <v>4.8604950000000002</v>
      </c>
      <c r="S670" s="17">
        <v>10.738569999999999</v>
      </c>
      <c r="AP670" s="35"/>
      <c r="AQ670" s="35"/>
      <c r="AR670" s="35"/>
      <c r="AS670" s="35"/>
    </row>
    <row r="671" spans="2:45" x14ac:dyDescent="0.2">
      <c r="B671" s="2">
        <v>43480.07471064815</v>
      </c>
      <c r="C671" s="5">
        <f t="shared" si="72"/>
        <v>7.7499996900000117</v>
      </c>
      <c r="D671" s="14">
        <v>5.5639640000000004</v>
      </c>
      <c r="E671" s="14">
        <v>5.9889939999999999</v>
      </c>
      <c r="F671" s="14">
        <v>4.5651359999999999</v>
      </c>
      <c r="G671" s="14">
        <v>3.730375</v>
      </c>
      <c r="H671" s="15">
        <v>5.5083669999999998</v>
      </c>
      <c r="I671" s="15">
        <v>3.432544</v>
      </c>
      <c r="J671" s="15">
        <v>12.89471</v>
      </c>
      <c r="K671" s="15">
        <v>5.7345540000000002</v>
      </c>
      <c r="L671" s="16">
        <v>4.3527420000000001</v>
      </c>
      <c r="M671" s="16">
        <v>7.377211</v>
      </c>
      <c r="N671" s="16">
        <v>7.643688</v>
      </c>
      <c r="O671" s="16">
        <v>4.1151770000000001</v>
      </c>
      <c r="P671" s="17">
        <v>8.3138260000000006</v>
      </c>
      <c r="Q671" s="17">
        <v>8.8015559999999997</v>
      </c>
      <c r="R671" s="17">
        <v>4.8747999999999996</v>
      </c>
      <c r="S671" s="17">
        <v>10.744859999999999</v>
      </c>
      <c r="AP671" s="35"/>
      <c r="AQ671" s="35"/>
      <c r="AR671" s="35"/>
      <c r="AS671" s="35"/>
    </row>
    <row r="672" spans="2:45" x14ac:dyDescent="0.2">
      <c r="B672" s="2">
        <v>43480.078182870369</v>
      </c>
      <c r="C672" s="5">
        <f t="shared" si="72"/>
        <v>7.833333020000012</v>
      </c>
      <c r="D672" s="14">
        <v>5.5645369999999996</v>
      </c>
      <c r="E672" s="14">
        <v>5.9889939999999999</v>
      </c>
      <c r="F672" s="14">
        <v>4.5651359999999999</v>
      </c>
      <c r="G672" s="14">
        <v>3.730375</v>
      </c>
      <c r="H672" s="15">
        <v>5.5093680000000003</v>
      </c>
      <c r="I672" s="15">
        <v>3.432544</v>
      </c>
      <c r="J672" s="15">
        <v>12.89471</v>
      </c>
      <c r="K672" s="15">
        <v>5.7494319999999997</v>
      </c>
      <c r="L672" s="16">
        <v>4.3842129999999999</v>
      </c>
      <c r="M672" s="16">
        <v>7.377211</v>
      </c>
      <c r="N672" s="16">
        <v>7.643688</v>
      </c>
      <c r="O672" s="16">
        <v>4.1204700000000001</v>
      </c>
      <c r="P672" s="17">
        <v>8.3138260000000006</v>
      </c>
      <c r="Q672" s="17">
        <v>8.828735</v>
      </c>
      <c r="R672" s="17">
        <v>4.8891049999999998</v>
      </c>
      <c r="S672" s="17">
        <v>10.75116</v>
      </c>
      <c r="AP672" s="35"/>
      <c r="AQ672" s="35"/>
      <c r="AR672" s="35"/>
      <c r="AS672" s="35"/>
    </row>
    <row r="673" spans="2:45" x14ac:dyDescent="0.2">
      <c r="B673" s="2">
        <v>43480.081655092596</v>
      </c>
      <c r="C673" s="5">
        <f t="shared" si="72"/>
        <v>7.9166663500000123</v>
      </c>
      <c r="D673" s="14">
        <v>5.5651089999999996</v>
      </c>
      <c r="E673" s="14">
        <v>5.9889939999999999</v>
      </c>
      <c r="F673" s="14">
        <v>4.5651359999999999</v>
      </c>
      <c r="G673" s="14">
        <v>3.730375</v>
      </c>
      <c r="H673" s="15">
        <v>5.5103689999999999</v>
      </c>
      <c r="I673" s="15">
        <v>3.432544</v>
      </c>
      <c r="J673" s="15">
        <v>12.89471</v>
      </c>
      <c r="K673" s="15">
        <v>5.7643089999999999</v>
      </c>
      <c r="L673" s="16">
        <v>4.4156839999999997</v>
      </c>
      <c r="M673" s="16">
        <v>7.377211</v>
      </c>
      <c r="N673" s="16">
        <v>7.643688</v>
      </c>
      <c r="O673" s="16">
        <v>4.1257630000000001</v>
      </c>
      <c r="P673" s="17">
        <v>8.3138260000000006</v>
      </c>
      <c r="Q673" s="17">
        <v>8.8559149999999995</v>
      </c>
      <c r="R673" s="17">
        <v>4.90341</v>
      </c>
      <c r="S673" s="17">
        <v>10.75745</v>
      </c>
      <c r="AP673" s="35"/>
      <c r="AQ673" s="35"/>
      <c r="AR673" s="35"/>
      <c r="AS673" s="35"/>
    </row>
    <row r="674" spans="2:45" x14ac:dyDescent="0.2">
      <c r="B674" s="2">
        <v>43480.085127314815</v>
      </c>
      <c r="C674" s="5">
        <f t="shared" si="72"/>
        <v>7.9999996800000126</v>
      </c>
      <c r="D674" s="14">
        <v>5.5656809999999997</v>
      </c>
      <c r="E674" s="14">
        <v>5.9889939999999999</v>
      </c>
      <c r="F674" s="14">
        <v>4.5651359999999999</v>
      </c>
      <c r="G674" s="14">
        <v>3.730375</v>
      </c>
      <c r="H674" s="15">
        <v>5.5113709999999996</v>
      </c>
      <c r="I674" s="15">
        <v>3.432544</v>
      </c>
      <c r="J674" s="15">
        <v>12.89471</v>
      </c>
      <c r="K674" s="15">
        <v>5.7791860000000002</v>
      </c>
      <c r="L674" s="16">
        <v>4.4471550000000004</v>
      </c>
      <c r="M674" s="16">
        <v>7.377211</v>
      </c>
      <c r="N674" s="16">
        <v>7.643688</v>
      </c>
      <c r="O674" s="16">
        <v>4.1310560000000001</v>
      </c>
      <c r="P674" s="17">
        <v>8.3138260000000006</v>
      </c>
      <c r="Q674" s="17">
        <v>8.8830950000000009</v>
      </c>
      <c r="R674" s="17">
        <v>4.9177150000000003</v>
      </c>
      <c r="S674" s="17">
        <v>10.76375</v>
      </c>
      <c r="V674" s="25">
        <v>8</v>
      </c>
      <c r="W674">
        <f>AVERAGE(D663:D674)</f>
        <v>5.5625339166666663</v>
      </c>
      <c r="X674">
        <f t="shared" ref="X674:AL674" si="75">AVERAGE(E663:E674)</f>
        <v>5.988993999999999</v>
      </c>
      <c r="Y674">
        <f t="shared" si="75"/>
        <v>4.5651360000000007</v>
      </c>
      <c r="Z674">
        <f t="shared" si="75"/>
        <v>3.7303750000000004</v>
      </c>
      <c r="AA674">
        <f t="shared" si="75"/>
        <v>5.50586325</v>
      </c>
      <c r="AB674">
        <f t="shared" si="75"/>
        <v>3.432544</v>
      </c>
      <c r="AC674">
        <f t="shared" si="75"/>
        <v>12.892156666666667</v>
      </c>
      <c r="AD674">
        <f t="shared" si="75"/>
        <v>5.6973609999999999</v>
      </c>
      <c r="AE674">
        <f t="shared" si="75"/>
        <v>4.3125891666666671</v>
      </c>
      <c r="AF674">
        <f t="shared" si="75"/>
        <v>7.374033166666667</v>
      </c>
      <c r="AG674">
        <f t="shared" si="75"/>
        <v>7.6436879999999983</v>
      </c>
      <c r="AH674">
        <f t="shared" si="75"/>
        <v>4.1019449166666666</v>
      </c>
      <c r="AI674">
        <f t="shared" si="75"/>
        <v>8.3138260000000024</v>
      </c>
      <c r="AJ674">
        <f t="shared" si="75"/>
        <v>8.754806499999999</v>
      </c>
      <c r="AK674">
        <f t="shared" si="75"/>
        <v>4.8397223333333335</v>
      </c>
      <c r="AL674">
        <f t="shared" si="75"/>
        <v>10.729127499999999</v>
      </c>
      <c r="AO674" s="25">
        <v>8</v>
      </c>
      <c r="AP674" s="35">
        <f>AVERAGE(W674:Z674)</f>
        <v>4.9617597291666673</v>
      </c>
      <c r="AQ674" s="35">
        <f>AVERAGE(AA674:AD674)</f>
        <v>6.8819812291666675</v>
      </c>
      <c r="AR674" s="35">
        <f>AVERAGE(AE674:AH674)</f>
        <v>5.8580638125000002</v>
      </c>
      <c r="AS674" s="35">
        <f>AVERAGE(AI674:AL674)</f>
        <v>8.1593705833333328</v>
      </c>
    </row>
    <row r="675" spans="2:45" x14ac:dyDescent="0.2">
      <c r="B675" s="2">
        <v>43480.088599537034</v>
      </c>
      <c r="C675" s="5">
        <f t="shared" si="72"/>
        <v>8.0833330100000129</v>
      </c>
      <c r="D675" s="14">
        <v>5.5662529999999997</v>
      </c>
      <c r="E675" s="14">
        <v>5.9889939999999999</v>
      </c>
      <c r="F675" s="14">
        <v>4.5651359999999999</v>
      </c>
      <c r="G675" s="14">
        <v>3.730375</v>
      </c>
      <c r="H675" s="15">
        <v>5.512372</v>
      </c>
      <c r="I675" s="15">
        <v>3.432544</v>
      </c>
      <c r="J675" s="15">
        <v>12.89471</v>
      </c>
      <c r="K675" s="15">
        <v>5.7940639999999997</v>
      </c>
      <c r="L675" s="16">
        <v>4.4786270000000004</v>
      </c>
      <c r="M675" s="16">
        <v>7.377211</v>
      </c>
      <c r="N675" s="16">
        <v>7.643688</v>
      </c>
      <c r="O675" s="16">
        <v>4.1363490000000001</v>
      </c>
      <c r="P675" s="17">
        <v>8.3138260000000006</v>
      </c>
      <c r="Q675" s="17">
        <v>8.9102750000000004</v>
      </c>
      <c r="R675" s="17">
        <v>4.9320199999999996</v>
      </c>
      <c r="S675" s="17">
        <v>10.77004</v>
      </c>
      <c r="AP675" s="35"/>
      <c r="AQ675" s="35"/>
      <c r="AR675" s="35"/>
      <c r="AS675" s="35"/>
    </row>
    <row r="676" spans="2:45" x14ac:dyDescent="0.2">
      <c r="B676" s="2">
        <v>43480.09207175926</v>
      </c>
      <c r="C676" s="5">
        <f t="shared" si="72"/>
        <v>8.1666663400000132</v>
      </c>
      <c r="D676" s="14">
        <v>5.5668249999999997</v>
      </c>
      <c r="E676" s="14">
        <v>5.9889939999999999</v>
      </c>
      <c r="F676" s="14">
        <v>4.5651359999999999</v>
      </c>
      <c r="G676" s="14">
        <v>3.730375</v>
      </c>
      <c r="H676" s="15">
        <v>5.5133729999999996</v>
      </c>
      <c r="I676" s="15">
        <v>3.432544</v>
      </c>
      <c r="J676" s="15">
        <v>12.89471</v>
      </c>
      <c r="K676" s="15">
        <v>5.8024199999999997</v>
      </c>
      <c r="L676" s="16">
        <v>4.5100980000000002</v>
      </c>
      <c r="M676" s="16">
        <v>7.377211</v>
      </c>
      <c r="N676" s="16">
        <v>7.643688</v>
      </c>
      <c r="O676" s="16">
        <v>4.141642</v>
      </c>
      <c r="P676" s="17">
        <v>8.3138260000000006</v>
      </c>
      <c r="Q676" s="17">
        <v>8.9374540000000007</v>
      </c>
      <c r="R676" s="17">
        <v>4.9463249999999999</v>
      </c>
      <c r="S676" s="17">
        <v>10.77633</v>
      </c>
      <c r="AP676" s="35"/>
      <c r="AQ676" s="35"/>
      <c r="AR676" s="35"/>
      <c r="AS676" s="35"/>
    </row>
    <row r="677" spans="2:45" x14ac:dyDescent="0.2">
      <c r="B677" s="2">
        <v>43480.095543981479</v>
      </c>
      <c r="C677" s="5">
        <f t="shared" si="72"/>
        <v>8.2499996700000136</v>
      </c>
      <c r="D677" s="14">
        <v>5.5673979999999998</v>
      </c>
      <c r="E677" s="14">
        <v>5.9889939999999999</v>
      </c>
      <c r="F677" s="14">
        <v>4.5651359999999999</v>
      </c>
      <c r="G677" s="14">
        <v>3.730375</v>
      </c>
      <c r="H677" s="15">
        <v>5.5143750000000002</v>
      </c>
      <c r="I677" s="15">
        <v>3.432544</v>
      </c>
      <c r="J677" s="15">
        <v>12.89471</v>
      </c>
      <c r="K677" s="15">
        <v>5.8035139999999998</v>
      </c>
      <c r="L677" s="16">
        <v>4.541569</v>
      </c>
      <c r="M677" s="16">
        <v>7.377211</v>
      </c>
      <c r="N677" s="16">
        <v>7.643688</v>
      </c>
      <c r="O677" s="16">
        <v>4.146935</v>
      </c>
      <c r="P677" s="17">
        <v>8.3138260000000006</v>
      </c>
      <c r="Q677" s="17">
        <v>8.9646340000000002</v>
      </c>
      <c r="R677" s="17">
        <v>4.9606300000000001</v>
      </c>
      <c r="S677" s="17">
        <v>10.782629999999999</v>
      </c>
      <c r="AP677" s="35"/>
      <c r="AQ677" s="35"/>
      <c r="AR677" s="35"/>
      <c r="AS677" s="35"/>
    </row>
    <row r="678" spans="2:45" x14ac:dyDescent="0.2">
      <c r="B678" s="2">
        <v>43480.099016203705</v>
      </c>
      <c r="C678" s="5">
        <f t="shared" si="72"/>
        <v>8.3333330000000139</v>
      </c>
      <c r="D678" s="14">
        <v>5.5679699999999999</v>
      </c>
      <c r="E678" s="14">
        <v>5.9889939999999999</v>
      </c>
      <c r="F678" s="14">
        <v>4.5651359999999999</v>
      </c>
      <c r="G678" s="14">
        <v>3.730375</v>
      </c>
      <c r="H678" s="15">
        <v>5.5153759999999998</v>
      </c>
      <c r="I678" s="15">
        <v>3.432544</v>
      </c>
      <c r="J678" s="15">
        <v>12.89471</v>
      </c>
      <c r="K678" s="15">
        <v>5.8050870000000003</v>
      </c>
      <c r="L678" s="16">
        <v>4.5730399999999998</v>
      </c>
      <c r="M678" s="16">
        <v>7.377211</v>
      </c>
      <c r="N678" s="16">
        <v>7.643688</v>
      </c>
      <c r="O678" s="16">
        <v>4.1522269999999999</v>
      </c>
      <c r="P678" s="17">
        <v>8.3138260000000006</v>
      </c>
      <c r="Q678" s="17">
        <v>8.9918139999999998</v>
      </c>
      <c r="R678" s="17">
        <v>4.9749359999999996</v>
      </c>
      <c r="S678" s="17">
        <v>10.788919999999999</v>
      </c>
      <c r="AP678" s="35"/>
      <c r="AQ678" s="35"/>
      <c r="AR678" s="35"/>
      <c r="AS678" s="35"/>
    </row>
    <row r="679" spans="2:45" x14ac:dyDescent="0.2">
      <c r="B679" s="2">
        <v>43480.102488425924</v>
      </c>
      <c r="C679" s="5">
        <f t="shared" si="72"/>
        <v>8.4166663300000142</v>
      </c>
      <c r="D679" s="14">
        <v>5.5685419999999999</v>
      </c>
      <c r="E679" s="14">
        <v>5.9889939999999999</v>
      </c>
      <c r="F679" s="14">
        <v>4.5651359999999999</v>
      </c>
      <c r="G679" s="14">
        <v>3.730375</v>
      </c>
      <c r="H679" s="15">
        <v>5.5163770000000003</v>
      </c>
      <c r="I679" s="15">
        <v>3.432544</v>
      </c>
      <c r="J679" s="15">
        <v>12.89471</v>
      </c>
      <c r="K679" s="15">
        <v>5.8066610000000001</v>
      </c>
      <c r="L679" s="16">
        <v>4.6045119999999997</v>
      </c>
      <c r="M679" s="16">
        <v>7.377211</v>
      </c>
      <c r="N679" s="16">
        <v>7.643688</v>
      </c>
      <c r="O679" s="16">
        <v>4.1575199999999999</v>
      </c>
      <c r="P679" s="17">
        <v>8.3138260000000006</v>
      </c>
      <c r="Q679" s="17">
        <v>9.018993</v>
      </c>
      <c r="R679" s="17">
        <v>4.9892409999999998</v>
      </c>
      <c r="S679" s="17">
        <v>10.79522</v>
      </c>
      <c r="AP679" s="35"/>
      <c r="AQ679" s="35"/>
      <c r="AR679" s="35"/>
      <c r="AS679" s="35"/>
    </row>
    <row r="680" spans="2:45" x14ac:dyDescent="0.2">
      <c r="B680" s="2">
        <v>43480.10596064815</v>
      </c>
      <c r="C680" s="5">
        <f t="shared" si="72"/>
        <v>8.4999996600000145</v>
      </c>
      <c r="D680" s="14">
        <v>5.5691139999999999</v>
      </c>
      <c r="E680" s="14">
        <v>5.9889939999999999</v>
      </c>
      <c r="F680" s="14">
        <v>4.5651359999999999</v>
      </c>
      <c r="G680" s="14">
        <v>3.730375</v>
      </c>
      <c r="H680" s="15">
        <v>5.517379</v>
      </c>
      <c r="I680" s="15">
        <v>3.432544</v>
      </c>
      <c r="J680" s="15">
        <v>12.89471</v>
      </c>
      <c r="K680" s="15">
        <v>5.8082339999999997</v>
      </c>
      <c r="L680" s="16">
        <v>4.6359830000000004</v>
      </c>
      <c r="M680" s="16">
        <v>7.377211</v>
      </c>
      <c r="N680" s="16">
        <v>7.643688</v>
      </c>
      <c r="O680" s="16">
        <v>4.1628129999999999</v>
      </c>
      <c r="P680" s="17">
        <v>8.3138260000000006</v>
      </c>
      <c r="Q680" s="17">
        <v>9.0461729999999996</v>
      </c>
      <c r="R680" s="17">
        <v>5.003546</v>
      </c>
      <c r="S680" s="17">
        <v>10.80151</v>
      </c>
      <c r="AP680" s="35"/>
      <c r="AQ680" s="35"/>
      <c r="AR680" s="35"/>
      <c r="AS680" s="35"/>
    </row>
    <row r="681" spans="2:45" x14ac:dyDescent="0.2">
      <c r="B681" s="2">
        <v>43480.109432870369</v>
      </c>
      <c r="C681" s="5">
        <f t="shared" si="72"/>
        <v>8.5833329900000148</v>
      </c>
      <c r="D681" s="14">
        <v>5.5696859999999999</v>
      </c>
      <c r="E681" s="14">
        <v>5.9889939999999999</v>
      </c>
      <c r="F681" s="14">
        <v>4.5651359999999999</v>
      </c>
      <c r="G681" s="14">
        <v>3.730375</v>
      </c>
      <c r="H681" s="15">
        <v>5.5183799999999996</v>
      </c>
      <c r="I681" s="15">
        <v>3.4325640000000002</v>
      </c>
      <c r="J681" s="15">
        <v>12.89471</v>
      </c>
      <c r="K681" s="15">
        <v>5.8098080000000003</v>
      </c>
      <c r="L681" s="16">
        <v>4.6674540000000002</v>
      </c>
      <c r="M681" s="16">
        <v>7.377211</v>
      </c>
      <c r="N681" s="16">
        <v>7.643688</v>
      </c>
      <c r="O681" s="16">
        <v>4.1681059999999999</v>
      </c>
      <c r="P681" s="17">
        <v>8.3138260000000006</v>
      </c>
      <c r="Q681" s="17">
        <v>9.0733529999999991</v>
      </c>
      <c r="R681" s="17">
        <v>5.0178510000000003</v>
      </c>
      <c r="S681" s="17">
        <v>10.80781</v>
      </c>
      <c r="AP681" s="35"/>
      <c r="AQ681" s="35"/>
      <c r="AR681" s="35"/>
      <c r="AS681" s="35"/>
    </row>
    <row r="682" spans="2:45" x14ac:dyDescent="0.2">
      <c r="B682" s="2">
        <v>43480.112905092596</v>
      </c>
      <c r="C682" s="5">
        <f t="shared" si="72"/>
        <v>8.6666663200000151</v>
      </c>
      <c r="D682" s="14">
        <v>5.5702590000000001</v>
      </c>
      <c r="E682" s="14">
        <v>5.9889939999999999</v>
      </c>
      <c r="F682" s="14">
        <v>4.5651359999999999</v>
      </c>
      <c r="G682" s="14">
        <v>3.7356850000000001</v>
      </c>
      <c r="H682" s="15">
        <v>5.5193820000000002</v>
      </c>
      <c r="I682" s="15">
        <v>3.4327070000000002</v>
      </c>
      <c r="J682" s="15">
        <v>12.897640000000001</v>
      </c>
      <c r="K682" s="15">
        <v>5.8113809999999999</v>
      </c>
      <c r="L682" s="16">
        <v>4.698925</v>
      </c>
      <c r="M682" s="16">
        <v>7.377211</v>
      </c>
      <c r="N682" s="16">
        <v>7.643688</v>
      </c>
      <c r="O682" s="16">
        <v>4.1733989999999999</v>
      </c>
      <c r="P682" s="17">
        <v>8.3138260000000006</v>
      </c>
      <c r="Q682" s="17">
        <v>9.1005330000000004</v>
      </c>
      <c r="R682" s="17">
        <v>5.0321559999999996</v>
      </c>
      <c r="S682" s="17">
        <v>10.8141</v>
      </c>
      <c r="AP682" s="35"/>
      <c r="AQ682" s="35"/>
      <c r="AR682" s="35"/>
      <c r="AS682" s="35"/>
    </row>
    <row r="683" spans="2:45" x14ac:dyDescent="0.2">
      <c r="B683" s="2">
        <v>43480.116377314815</v>
      </c>
      <c r="C683" s="5">
        <f t="shared" si="72"/>
        <v>8.7499996500000154</v>
      </c>
      <c r="D683" s="14">
        <v>5.5708310000000001</v>
      </c>
      <c r="E683" s="14">
        <v>5.9889939999999999</v>
      </c>
      <c r="F683" s="14">
        <v>4.5651359999999999</v>
      </c>
      <c r="G683" s="14">
        <v>3.7398669999999998</v>
      </c>
      <c r="H683" s="15">
        <v>5.5203829999999998</v>
      </c>
      <c r="I683" s="15">
        <v>3.4328500000000002</v>
      </c>
      <c r="J683" s="15">
        <v>12.900790000000001</v>
      </c>
      <c r="K683" s="15">
        <v>5.8129549999999997</v>
      </c>
      <c r="L683" s="16">
        <v>4.730397</v>
      </c>
      <c r="M683" s="16">
        <v>7.377211</v>
      </c>
      <c r="N683" s="16">
        <v>7.643688</v>
      </c>
      <c r="O683" s="16">
        <v>4.1786919999999999</v>
      </c>
      <c r="P683" s="17">
        <v>8.3138260000000006</v>
      </c>
      <c r="Q683" s="17">
        <v>9.1277120000000007</v>
      </c>
      <c r="R683" s="17">
        <v>5.0464609999999999</v>
      </c>
      <c r="S683" s="17">
        <v>10.82039</v>
      </c>
      <c r="AP683" s="35"/>
      <c r="AQ683" s="35"/>
      <c r="AR683" s="35"/>
      <c r="AS683" s="35"/>
    </row>
    <row r="684" spans="2:45" x14ac:dyDescent="0.2">
      <c r="B684" s="2">
        <v>43480.119849537034</v>
      </c>
      <c r="C684" s="5">
        <f t="shared" si="72"/>
        <v>8.8333329800000158</v>
      </c>
      <c r="D684" s="14">
        <v>5.5714030000000001</v>
      </c>
      <c r="E684" s="14">
        <v>5.9889939999999999</v>
      </c>
      <c r="F684" s="14">
        <v>4.5651359999999999</v>
      </c>
      <c r="G684" s="14">
        <v>3.7398669999999998</v>
      </c>
      <c r="H684" s="15">
        <v>5.5213859999999997</v>
      </c>
      <c r="I684" s="15">
        <v>3.4329930000000002</v>
      </c>
      <c r="J684" s="15">
        <v>12.903930000000001</v>
      </c>
      <c r="K684" s="15">
        <v>5.8145280000000001</v>
      </c>
      <c r="L684" s="16">
        <v>4.7618679999999998</v>
      </c>
      <c r="M684" s="16">
        <v>7.377211</v>
      </c>
      <c r="N684" s="16">
        <v>7.643688</v>
      </c>
      <c r="O684" s="16">
        <v>4.1807650000000001</v>
      </c>
      <c r="P684" s="17">
        <v>8.3138260000000006</v>
      </c>
      <c r="Q684" s="17">
        <v>9.1548920000000003</v>
      </c>
      <c r="R684" s="17">
        <v>5.0607660000000001</v>
      </c>
      <c r="S684" s="17">
        <v>10.826689999999999</v>
      </c>
      <c r="AP684" s="35"/>
      <c r="AQ684" s="35"/>
      <c r="AR684" s="35"/>
      <c r="AS684" s="35"/>
    </row>
    <row r="685" spans="2:45" x14ac:dyDescent="0.2">
      <c r="B685" s="2">
        <v>43480.12332175926</v>
      </c>
      <c r="C685" s="5">
        <f t="shared" si="72"/>
        <v>8.9166663100000161</v>
      </c>
      <c r="D685" s="14">
        <v>5.5719750000000001</v>
      </c>
      <c r="E685" s="14">
        <v>5.9889939999999999</v>
      </c>
      <c r="F685" s="14">
        <v>4.5651359999999999</v>
      </c>
      <c r="G685" s="14">
        <v>3.7398669999999998</v>
      </c>
      <c r="H685" s="15">
        <v>5.5213859999999997</v>
      </c>
      <c r="I685" s="15">
        <v>3.4331360000000002</v>
      </c>
      <c r="J685" s="15">
        <v>12.907080000000001</v>
      </c>
      <c r="K685" s="15">
        <v>5.8161019999999999</v>
      </c>
      <c r="L685" s="16">
        <v>4.7933389999999996</v>
      </c>
      <c r="M685" s="16">
        <v>7.377211</v>
      </c>
      <c r="N685" s="16">
        <v>7.643688</v>
      </c>
      <c r="O685" s="16">
        <v>4.1836200000000003</v>
      </c>
      <c r="P685" s="17">
        <v>8.3138260000000006</v>
      </c>
      <c r="Q685" s="17">
        <v>9.1822529999999993</v>
      </c>
      <c r="R685" s="17">
        <v>5.0750710000000003</v>
      </c>
      <c r="S685" s="17">
        <v>10.832979999999999</v>
      </c>
      <c r="AP685" s="35"/>
      <c r="AQ685" s="35"/>
      <c r="AR685" s="35"/>
      <c r="AS685" s="35"/>
    </row>
    <row r="686" spans="2:45" x14ac:dyDescent="0.2">
      <c r="B686" s="2">
        <v>43480.126793981479</v>
      </c>
      <c r="C686" s="5">
        <f t="shared" si="72"/>
        <v>8.9999996400000164</v>
      </c>
      <c r="D686" s="14">
        <v>5.5725470000000001</v>
      </c>
      <c r="E686" s="14">
        <v>5.9889939999999999</v>
      </c>
      <c r="F686" s="14">
        <v>4.5651359999999999</v>
      </c>
      <c r="G686" s="14">
        <v>3.7398669999999998</v>
      </c>
      <c r="H686" s="15">
        <v>5.5251520000000003</v>
      </c>
      <c r="I686" s="15">
        <v>3.4332790000000002</v>
      </c>
      <c r="J686" s="15">
        <v>12.91023</v>
      </c>
      <c r="K686" s="15">
        <v>5.8176759999999996</v>
      </c>
      <c r="L686" s="16">
        <v>4.8077110000000003</v>
      </c>
      <c r="M686" s="16">
        <v>7.377211</v>
      </c>
      <c r="N686" s="16">
        <v>7.643688</v>
      </c>
      <c r="O686" s="16">
        <v>4.1870529999999997</v>
      </c>
      <c r="P686" s="17">
        <v>8.3157899999999998</v>
      </c>
      <c r="Q686" s="17">
        <v>9.1858090000000008</v>
      </c>
      <c r="R686" s="17">
        <v>5.0884939999999999</v>
      </c>
      <c r="S686" s="17">
        <v>10.83928</v>
      </c>
      <c r="V686" s="25">
        <v>9</v>
      </c>
      <c r="W686">
        <f>AVERAGE(D675:D686)</f>
        <v>5.5694002499999984</v>
      </c>
      <c r="X686">
        <f t="shared" ref="X686:AL686" si="76">AVERAGE(E675:E686)</f>
        <v>5.988993999999999</v>
      </c>
      <c r="Y686">
        <f t="shared" si="76"/>
        <v>4.5651360000000007</v>
      </c>
      <c r="Z686">
        <f t="shared" si="76"/>
        <v>3.7339814999999987</v>
      </c>
      <c r="AA686">
        <f t="shared" si="76"/>
        <v>5.5179434166666672</v>
      </c>
      <c r="AB686">
        <f t="shared" si="76"/>
        <v>3.43273275</v>
      </c>
      <c r="AC686">
        <f t="shared" si="76"/>
        <v>12.898553333333334</v>
      </c>
      <c r="AD686">
        <f t="shared" si="76"/>
        <v>5.8085358333333339</v>
      </c>
      <c r="AE686">
        <f t="shared" si="76"/>
        <v>4.6502935833333332</v>
      </c>
      <c r="AF686">
        <f t="shared" si="76"/>
        <v>7.3772110000000017</v>
      </c>
      <c r="AG686">
        <f t="shared" si="76"/>
        <v>7.6436879999999983</v>
      </c>
      <c r="AH686">
        <f t="shared" si="76"/>
        <v>4.1640934166666659</v>
      </c>
      <c r="AI686">
        <f t="shared" si="76"/>
        <v>8.3139896666666697</v>
      </c>
      <c r="AJ686">
        <f t="shared" si="76"/>
        <v>9.0578245833333337</v>
      </c>
      <c r="AK686">
        <f t="shared" si="76"/>
        <v>5.0106247499999998</v>
      </c>
      <c r="AL686">
        <f t="shared" si="76"/>
        <v>10.804658333333334</v>
      </c>
      <c r="AO686" s="25">
        <v>9</v>
      </c>
      <c r="AP686" s="35">
        <f>AVERAGE(W686:Z686)</f>
        <v>4.9643779374999992</v>
      </c>
      <c r="AQ686" s="35">
        <f>AVERAGE(AA686:AD686)</f>
        <v>6.9144413333333334</v>
      </c>
      <c r="AR686" s="35">
        <f>AVERAGE(AE686:AH686)</f>
        <v>5.9588215</v>
      </c>
      <c r="AS686" s="35">
        <f>AVERAGE(AI686:AL686)</f>
        <v>8.2967743333333352</v>
      </c>
    </row>
    <row r="687" spans="2:45" x14ac:dyDescent="0.2">
      <c r="B687" s="2">
        <v>43480.130266203705</v>
      </c>
      <c r="C687" s="5">
        <f t="shared" si="72"/>
        <v>9.0833329700000167</v>
      </c>
      <c r="D687" s="14">
        <v>5.5731200000000003</v>
      </c>
      <c r="E687" s="14">
        <v>5.9889939999999999</v>
      </c>
      <c r="F687" s="14">
        <v>4.5651359999999999</v>
      </c>
      <c r="G687" s="14">
        <v>3.7398669999999998</v>
      </c>
      <c r="H687" s="15">
        <v>5.5315899999999996</v>
      </c>
      <c r="I687" s="15">
        <v>3.4334220000000002</v>
      </c>
      <c r="J687" s="15">
        <v>12.91338</v>
      </c>
      <c r="K687" s="15">
        <v>5.8192490000000001</v>
      </c>
      <c r="L687" s="16">
        <v>4.810435</v>
      </c>
      <c r="M687" s="16">
        <v>7.377211</v>
      </c>
      <c r="N687" s="16">
        <v>7.643688</v>
      </c>
      <c r="O687" s="16">
        <v>4.1904859999999999</v>
      </c>
      <c r="P687" s="17">
        <v>8.3186509999999991</v>
      </c>
      <c r="Q687" s="17">
        <v>9.1952510000000007</v>
      </c>
      <c r="R687" s="17">
        <v>5.088686</v>
      </c>
      <c r="S687" s="17">
        <v>10.84557</v>
      </c>
      <c r="AP687" s="35"/>
      <c r="AQ687" s="35"/>
      <c r="AR687" s="35"/>
      <c r="AS687" s="35"/>
    </row>
    <row r="688" spans="2:45" x14ac:dyDescent="0.2">
      <c r="B688" s="2">
        <v>43480.133738425924</v>
      </c>
      <c r="C688" s="5">
        <f t="shared" si="72"/>
        <v>9.166666300000017</v>
      </c>
      <c r="D688" s="14">
        <v>5.5736920000000003</v>
      </c>
      <c r="E688" s="14">
        <v>5.9889939999999999</v>
      </c>
      <c r="F688" s="14">
        <v>4.5651359999999999</v>
      </c>
      <c r="G688" s="14">
        <v>3.7398669999999998</v>
      </c>
      <c r="H688" s="15">
        <v>5.5380269999999996</v>
      </c>
      <c r="I688" s="15">
        <v>3.4335650000000002</v>
      </c>
      <c r="J688" s="15">
        <v>12.91652</v>
      </c>
      <c r="K688" s="15">
        <v>5.8208229999999999</v>
      </c>
      <c r="L688" s="16">
        <v>4.8134389999999998</v>
      </c>
      <c r="M688" s="16">
        <v>7.377211</v>
      </c>
      <c r="N688" s="16">
        <v>7.643688</v>
      </c>
      <c r="O688" s="16">
        <v>4.1939200000000003</v>
      </c>
      <c r="P688" s="17">
        <v>8.3215120000000002</v>
      </c>
      <c r="Q688" s="17">
        <v>9.2046919999999997</v>
      </c>
      <c r="R688" s="17">
        <v>5.0894009999999996</v>
      </c>
      <c r="S688" s="17">
        <v>10.85186</v>
      </c>
      <c r="AP688" s="35"/>
      <c r="AQ688" s="35"/>
      <c r="AR688" s="35"/>
      <c r="AS688" s="35"/>
    </row>
    <row r="689" spans="2:45" x14ac:dyDescent="0.2">
      <c r="B689" s="2">
        <v>43480.13721064815</v>
      </c>
      <c r="C689" s="5">
        <f t="shared" si="72"/>
        <v>9.2499996300000173</v>
      </c>
      <c r="D689" s="14">
        <v>5.5742640000000003</v>
      </c>
      <c r="E689" s="14">
        <v>5.9889939999999999</v>
      </c>
      <c r="F689" s="14">
        <v>4.5651359999999999</v>
      </c>
      <c r="G689" s="14">
        <v>3.7398669999999998</v>
      </c>
      <c r="H689" s="15">
        <v>5.5444639999999996</v>
      </c>
      <c r="I689" s="15">
        <v>3.4337080000000002</v>
      </c>
      <c r="J689" s="15">
        <v>12.91967</v>
      </c>
      <c r="K689" s="15">
        <v>5.8223960000000003</v>
      </c>
      <c r="L689" s="16">
        <v>4.8164429999999996</v>
      </c>
      <c r="M689" s="16">
        <v>7.377211</v>
      </c>
      <c r="N689" s="16">
        <v>7.643688</v>
      </c>
      <c r="O689" s="16">
        <v>4.1973529999999997</v>
      </c>
      <c r="P689" s="17">
        <v>8.3243729999999996</v>
      </c>
      <c r="Q689" s="17">
        <v>9.2141330000000004</v>
      </c>
      <c r="R689" s="17">
        <v>5.0901170000000002</v>
      </c>
      <c r="S689" s="17">
        <v>10.85816</v>
      </c>
      <c r="AP689" s="35"/>
      <c r="AQ689" s="35"/>
      <c r="AR689" s="35"/>
      <c r="AS689" s="35"/>
    </row>
    <row r="690" spans="2:45" x14ac:dyDescent="0.2">
      <c r="B690" s="2">
        <v>43480.140682870369</v>
      </c>
      <c r="C690" s="5">
        <f t="shared" si="72"/>
        <v>9.3333329600000177</v>
      </c>
      <c r="D690" s="14">
        <v>5.5748360000000003</v>
      </c>
      <c r="E690" s="14">
        <v>5.9889939999999999</v>
      </c>
      <c r="F690" s="14">
        <v>4.5651359999999999</v>
      </c>
      <c r="G690" s="14">
        <v>3.7398669999999998</v>
      </c>
      <c r="H690" s="15">
        <v>5.5509009999999996</v>
      </c>
      <c r="I690" s="15">
        <v>3.4338510000000002</v>
      </c>
      <c r="J690" s="15">
        <v>12.92282</v>
      </c>
      <c r="K690" s="15">
        <v>5.8239700000000001</v>
      </c>
      <c r="L690" s="16">
        <v>4.8194470000000003</v>
      </c>
      <c r="M690" s="16">
        <v>7.377211</v>
      </c>
      <c r="N690" s="16">
        <v>7.643688</v>
      </c>
      <c r="O690" s="16">
        <v>4.1996929999999999</v>
      </c>
      <c r="P690" s="17">
        <v>8.3272340000000007</v>
      </c>
      <c r="Q690" s="17">
        <v>9.2235750000000003</v>
      </c>
      <c r="R690" s="17">
        <v>5.0908319999999998</v>
      </c>
      <c r="S690" s="17">
        <v>10.86445</v>
      </c>
      <c r="AP690" s="35"/>
      <c r="AQ690" s="35"/>
      <c r="AR690" s="35"/>
      <c r="AS690" s="35"/>
    </row>
    <row r="691" spans="2:45" x14ac:dyDescent="0.2">
      <c r="B691" s="2">
        <v>43480.144155092596</v>
      </c>
      <c r="C691" s="5">
        <f t="shared" si="72"/>
        <v>9.416666290000018</v>
      </c>
      <c r="D691" s="14">
        <v>5.5754080000000004</v>
      </c>
      <c r="E691" s="14">
        <v>5.9889939999999999</v>
      </c>
      <c r="F691" s="14">
        <v>4.5651359999999999</v>
      </c>
      <c r="G691" s="14">
        <v>3.7398669999999998</v>
      </c>
      <c r="H691" s="15">
        <v>5.5573389999999998</v>
      </c>
      <c r="I691" s="15">
        <v>3.4339940000000002</v>
      </c>
      <c r="J691" s="15">
        <v>12.92596</v>
      </c>
      <c r="K691" s="15">
        <v>5.8255429999999997</v>
      </c>
      <c r="L691" s="16">
        <v>4.822451</v>
      </c>
      <c r="M691" s="16">
        <v>7.377211</v>
      </c>
      <c r="N691" s="16">
        <v>7.643688</v>
      </c>
      <c r="O691" s="16">
        <v>4.2022449999999996</v>
      </c>
      <c r="P691" s="17">
        <v>8.330095</v>
      </c>
      <c r="Q691" s="17">
        <v>9.2330159999999992</v>
      </c>
      <c r="R691" s="17">
        <v>5.0915470000000003</v>
      </c>
      <c r="S691" s="17">
        <v>10.870749999999999</v>
      </c>
      <c r="AP691" s="35"/>
      <c r="AQ691" s="35"/>
      <c r="AR691" s="35"/>
      <c r="AS691" s="35"/>
    </row>
    <row r="692" spans="2:45" x14ac:dyDescent="0.2">
      <c r="B692" s="2">
        <v>43480.147627314815</v>
      </c>
      <c r="C692" s="5">
        <f t="shared" si="72"/>
        <v>9.4999996200000183</v>
      </c>
      <c r="D692" s="14">
        <v>5.5759809999999996</v>
      </c>
      <c r="E692" s="14">
        <v>5.9889939999999999</v>
      </c>
      <c r="F692" s="14">
        <v>4.5651359999999999</v>
      </c>
      <c r="G692" s="14">
        <v>3.7398669999999998</v>
      </c>
      <c r="H692" s="15">
        <v>5.5637759999999998</v>
      </c>
      <c r="I692" s="15">
        <v>3.4341370000000002</v>
      </c>
      <c r="J692" s="15">
        <v>12.92911</v>
      </c>
      <c r="K692" s="15">
        <v>5.8271170000000003</v>
      </c>
      <c r="L692" s="16">
        <v>4.8254549999999998</v>
      </c>
      <c r="M692" s="16">
        <v>7.377211</v>
      </c>
      <c r="N692" s="16">
        <v>7.6437049999999997</v>
      </c>
      <c r="O692" s="16">
        <v>4.2063930000000003</v>
      </c>
      <c r="P692" s="17">
        <v>8.3329559999999994</v>
      </c>
      <c r="Q692" s="17">
        <v>9.2424569999999999</v>
      </c>
      <c r="R692" s="17">
        <v>5.0922619999999998</v>
      </c>
      <c r="S692" s="17">
        <v>10.877039999999999</v>
      </c>
      <c r="AP692" s="35"/>
      <c r="AQ692" s="35"/>
      <c r="AR692" s="35"/>
      <c r="AS692" s="35"/>
    </row>
    <row r="693" spans="2:45" x14ac:dyDescent="0.2">
      <c r="B693" s="2">
        <v>43480.151099537034</v>
      </c>
      <c r="C693" s="5">
        <f t="shared" si="72"/>
        <v>9.5833329500000186</v>
      </c>
      <c r="D693" s="14">
        <v>5.5765529999999996</v>
      </c>
      <c r="E693" s="14">
        <v>5.9889939999999999</v>
      </c>
      <c r="F693" s="14">
        <v>4.5651359999999999</v>
      </c>
      <c r="G693" s="14">
        <v>3.7398669999999998</v>
      </c>
      <c r="H693" s="15">
        <v>5.5702129999999999</v>
      </c>
      <c r="I693" s="15">
        <v>3.4342800000000002</v>
      </c>
      <c r="J693" s="15">
        <v>12.932259999999999</v>
      </c>
      <c r="K693" s="15">
        <v>5.8286910000000001</v>
      </c>
      <c r="L693" s="16">
        <v>4.8284589999999996</v>
      </c>
      <c r="M693" s="16">
        <v>7.377211</v>
      </c>
      <c r="N693" s="16">
        <v>7.645556</v>
      </c>
      <c r="O693" s="16">
        <v>4.2105420000000002</v>
      </c>
      <c r="P693" s="17">
        <v>8.3358170000000005</v>
      </c>
      <c r="Q693" s="17">
        <v>9.2518989999999999</v>
      </c>
      <c r="R693" s="17">
        <v>5.0929779999999996</v>
      </c>
      <c r="S693" s="17">
        <v>10.88334</v>
      </c>
      <c r="AP693" s="35"/>
      <c r="AQ693" s="35"/>
      <c r="AR693" s="35"/>
      <c r="AS693" s="35"/>
    </row>
    <row r="694" spans="2:45" x14ac:dyDescent="0.2">
      <c r="B694" s="2">
        <v>43480.15457175926</v>
      </c>
      <c r="C694" s="5">
        <f t="shared" si="72"/>
        <v>9.6666662800000189</v>
      </c>
      <c r="D694" s="14">
        <v>5.5771249999999997</v>
      </c>
      <c r="E694" s="14">
        <v>5.9889939999999999</v>
      </c>
      <c r="F694" s="14">
        <v>4.5651359999999999</v>
      </c>
      <c r="G694" s="14">
        <v>3.7398669999999998</v>
      </c>
      <c r="H694" s="15">
        <v>5.576651</v>
      </c>
      <c r="I694" s="15">
        <v>3.4344229999999998</v>
      </c>
      <c r="J694" s="15">
        <v>12.935409999999999</v>
      </c>
      <c r="K694" s="15">
        <v>5.8302639999999997</v>
      </c>
      <c r="L694" s="16">
        <v>4.8314630000000003</v>
      </c>
      <c r="M694" s="16">
        <v>7.377211</v>
      </c>
      <c r="N694" s="16">
        <v>7.6474159999999998</v>
      </c>
      <c r="O694" s="16">
        <v>4.21469</v>
      </c>
      <c r="P694" s="17">
        <v>8.3386779999999998</v>
      </c>
      <c r="Q694" s="17">
        <v>9.2613400000000006</v>
      </c>
      <c r="R694" s="17">
        <v>5.0934869999999997</v>
      </c>
      <c r="S694" s="17">
        <v>10.88963</v>
      </c>
      <c r="AP694" s="35"/>
      <c r="AQ694" s="35"/>
      <c r="AR694" s="35"/>
      <c r="AS694" s="35"/>
    </row>
    <row r="695" spans="2:45" x14ac:dyDescent="0.2">
      <c r="B695" s="2">
        <v>43480.158043981479</v>
      </c>
      <c r="C695" s="5">
        <f t="shared" si="72"/>
        <v>9.7499996100000192</v>
      </c>
      <c r="D695" s="14">
        <v>5.5776969999999997</v>
      </c>
      <c r="E695" s="14">
        <v>5.9889939999999999</v>
      </c>
      <c r="F695" s="14">
        <v>4.5651359999999999</v>
      </c>
      <c r="G695" s="14">
        <v>3.7398669999999998</v>
      </c>
      <c r="H695" s="15">
        <v>5.5830880000000001</v>
      </c>
      <c r="I695" s="15">
        <v>3.4345659999999998</v>
      </c>
      <c r="J695" s="15">
        <v>12.938549999999999</v>
      </c>
      <c r="K695" s="15">
        <v>5.8318380000000003</v>
      </c>
      <c r="L695" s="16">
        <v>4.8344670000000001</v>
      </c>
      <c r="M695" s="16">
        <v>7.377211</v>
      </c>
      <c r="N695" s="16">
        <v>7.6492760000000004</v>
      </c>
      <c r="O695" s="16">
        <v>4.218839</v>
      </c>
      <c r="P695" s="17">
        <v>8.3415389999999991</v>
      </c>
      <c r="Q695" s="17">
        <v>9.2707820000000005</v>
      </c>
      <c r="R695" s="17">
        <v>5.0934869999999997</v>
      </c>
      <c r="S695" s="17">
        <v>10.89592</v>
      </c>
      <c r="AP695" s="35"/>
      <c r="AQ695" s="35"/>
      <c r="AR695" s="35"/>
      <c r="AS695" s="35"/>
    </row>
    <row r="696" spans="2:45" x14ac:dyDescent="0.2">
      <c r="B696" s="2">
        <v>43480.161516203705</v>
      </c>
      <c r="C696" s="5">
        <f t="shared" si="72"/>
        <v>9.8333329400000196</v>
      </c>
      <c r="D696" s="14">
        <v>5.5782689999999997</v>
      </c>
      <c r="E696" s="14">
        <v>5.9889939999999999</v>
      </c>
      <c r="F696" s="14">
        <v>4.5651359999999999</v>
      </c>
      <c r="G696" s="14">
        <v>3.7398669999999998</v>
      </c>
      <c r="H696" s="15">
        <v>5.5895250000000001</v>
      </c>
      <c r="I696" s="15">
        <v>3.4347099999999999</v>
      </c>
      <c r="J696" s="15">
        <v>12.941700000000001</v>
      </c>
      <c r="K696" s="15">
        <v>5.8334109999999999</v>
      </c>
      <c r="L696" s="16">
        <v>4.8374709999999999</v>
      </c>
      <c r="M696" s="16">
        <v>7.377211</v>
      </c>
      <c r="N696" s="16">
        <v>7.6504070000000004</v>
      </c>
      <c r="O696" s="16">
        <v>4.2229869999999998</v>
      </c>
      <c r="P696" s="17">
        <v>8.3444000000000003</v>
      </c>
      <c r="Q696" s="17">
        <v>9.2802229999999994</v>
      </c>
      <c r="R696" s="17">
        <v>5.096266</v>
      </c>
      <c r="S696" s="17">
        <v>10.90222</v>
      </c>
      <c r="AP696" s="35"/>
      <c r="AQ696" s="35"/>
      <c r="AR696" s="35"/>
      <c r="AS696" s="35"/>
    </row>
    <row r="697" spans="2:45" x14ac:dyDescent="0.2">
      <c r="B697" s="2">
        <v>43480.164988425924</v>
      </c>
      <c r="C697" s="5">
        <f t="shared" si="72"/>
        <v>9.9166662700000199</v>
      </c>
      <c r="D697" s="14">
        <v>5.5788419999999999</v>
      </c>
      <c r="E697" s="14">
        <v>5.9889939999999999</v>
      </c>
      <c r="F697" s="14">
        <v>4.5651359999999999</v>
      </c>
      <c r="G697" s="14">
        <v>3.7398669999999998</v>
      </c>
      <c r="H697" s="15">
        <v>5.5959630000000002</v>
      </c>
      <c r="I697" s="15">
        <v>3.4348529999999999</v>
      </c>
      <c r="J697" s="15">
        <v>12.944850000000001</v>
      </c>
      <c r="K697" s="15">
        <v>5.8349849999999996</v>
      </c>
      <c r="L697" s="16">
        <v>4.8404759999999998</v>
      </c>
      <c r="M697" s="16">
        <v>7.377211</v>
      </c>
      <c r="N697" s="16">
        <v>7.6560069999999998</v>
      </c>
      <c r="O697" s="16">
        <v>4.2271359999999998</v>
      </c>
      <c r="P697" s="17">
        <v>8.3472609999999996</v>
      </c>
      <c r="Q697" s="17">
        <v>9.2896640000000001</v>
      </c>
      <c r="R697" s="17">
        <v>5.096266</v>
      </c>
      <c r="S697" s="17">
        <v>10.90851</v>
      </c>
      <c r="AP697" s="35"/>
      <c r="AQ697" s="35"/>
      <c r="AR697" s="35"/>
      <c r="AS697" s="35"/>
    </row>
    <row r="698" spans="2:45" x14ac:dyDescent="0.2">
      <c r="B698" s="2">
        <v>43480.16846064815</v>
      </c>
      <c r="C698" s="5">
        <f t="shared" si="72"/>
        <v>9.9999996000000202</v>
      </c>
      <c r="D698" s="14">
        <v>5.5794139999999999</v>
      </c>
      <c r="E698" s="14">
        <v>5.9889939999999999</v>
      </c>
      <c r="F698" s="14">
        <v>4.5651359999999999</v>
      </c>
      <c r="G698" s="14">
        <v>3.7398669999999998</v>
      </c>
      <c r="H698" s="15">
        <v>5.6024000000000003</v>
      </c>
      <c r="I698" s="15">
        <v>3.4349959999999999</v>
      </c>
      <c r="J698" s="15">
        <v>12.94577</v>
      </c>
      <c r="K698" s="15">
        <v>5.8365580000000001</v>
      </c>
      <c r="L698" s="16">
        <v>4.8434799999999996</v>
      </c>
      <c r="M698" s="16">
        <v>7.377211</v>
      </c>
      <c r="N698" s="16">
        <v>7.663875</v>
      </c>
      <c r="O698" s="16">
        <v>4.2312839999999996</v>
      </c>
      <c r="P698" s="17">
        <v>8.3501220000000007</v>
      </c>
      <c r="Q698" s="17">
        <v>9.2991060000000001</v>
      </c>
      <c r="R698" s="17">
        <v>5.0972629999999999</v>
      </c>
      <c r="S698" s="17">
        <v>10.914949999999999</v>
      </c>
      <c r="V698" s="25">
        <v>10</v>
      </c>
      <c r="W698">
        <f>AVERAGE(D687:D698)</f>
        <v>5.5762667499999994</v>
      </c>
      <c r="X698">
        <f t="shared" ref="X698:AL698" si="77">AVERAGE(E687:E698)</f>
        <v>5.988993999999999</v>
      </c>
      <c r="Y698">
        <f t="shared" si="77"/>
        <v>4.5651360000000007</v>
      </c>
      <c r="Z698">
        <f t="shared" si="77"/>
        <v>3.7398669999999989</v>
      </c>
      <c r="AA698">
        <f t="shared" si="77"/>
        <v>5.5669947499999992</v>
      </c>
      <c r="AB698">
        <f t="shared" si="77"/>
        <v>3.4342087499999998</v>
      </c>
      <c r="AC698">
        <f t="shared" si="77"/>
        <v>12.930500000000002</v>
      </c>
      <c r="AD698">
        <f t="shared" si="77"/>
        <v>5.8279037499999999</v>
      </c>
      <c r="AE698">
        <f t="shared" si="77"/>
        <v>4.8269571666666673</v>
      </c>
      <c r="AF698">
        <f t="shared" si="77"/>
        <v>7.3772110000000017</v>
      </c>
      <c r="AG698">
        <f t="shared" si="77"/>
        <v>7.6478901666666674</v>
      </c>
      <c r="AH698">
        <f t="shared" si="77"/>
        <v>4.2096306666666665</v>
      </c>
      <c r="AI698">
        <f t="shared" si="77"/>
        <v>8.334386499999999</v>
      </c>
      <c r="AJ698">
        <f t="shared" si="77"/>
        <v>9.2471781666666661</v>
      </c>
      <c r="AK698">
        <f t="shared" si="77"/>
        <v>5.0927159999999994</v>
      </c>
      <c r="AL698">
        <f t="shared" si="77"/>
        <v>10.8802</v>
      </c>
      <c r="AO698" s="25">
        <v>10</v>
      </c>
      <c r="AP698" s="35">
        <f>AVERAGE(W698:Z698)</f>
        <v>4.9675659374999999</v>
      </c>
      <c r="AQ698" s="35">
        <f>AVERAGE(AA698:AD698)</f>
        <v>6.9399018125000005</v>
      </c>
      <c r="AR698" s="35">
        <f>AVERAGE(AE698:AH698)</f>
        <v>6.0154222500000003</v>
      </c>
      <c r="AS698" s="35">
        <f>AVERAGE(AI698:AL698)</f>
        <v>8.3886201666666658</v>
      </c>
    </row>
    <row r="699" spans="2:45" x14ac:dyDescent="0.2">
      <c r="B699" s="2">
        <v>43480.171932870369</v>
      </c>
      <c r="C699" s="5">
        <f t="shared" si="72"/>
        <v>10.083332930000021</v>
      </c>
      <c r="D699" s="14">
        <v>5.5799859999999999</v>
      </c>
      <c r="E699" s="14">
        <v>5.9889939999999999</v>
      </c>
      <c r="F699" s="14">
        <v>4.5651359999999999</v>
      </c>
      <c r="G699" s="14">
        <v>3.7398669999999998</v>
      </c>
      <c r="H699" s="15">
        <v>5.6088370000000003</v>
      </c>
      <c r="I699" s="15">
        <v>3.4351389999999999</v>
      </c>
      <c r="J699" s="15">
        <v>12.94577</v>
      </c>
      <c r="K699" s="15">
        <v>5.8381319999999999</v>
      </c>
      <c r="L699" s="16">
        <v>4.8464840000000002</v>
      </c>
      <c r="M699" s="16">
        <v>7.377211</v>
      </c>
      <c r="N699" s="16">
        <v>7.6717420000000001</v>
      </c>
      <c r="O699" s="16">
        <v>4.2354329999999996</v>
      </c>
      <c r="P699" s="17">
        <v>8.352983</v>
      </c>
      <c r="Q699" s="17">
        <v>9.3085470000000008</v>
      </c>
      <c r="R699" s="17">
        <v>5.1105669999999996</v>
      </c>
      <c r="S699" s="17">
        <v>10.914949999999999</v>
      </c>
      <c r="AP699" s="35"/>
      <c r="AQ699" s="35"/>
      <c r="AR699" s="35"/>
      <c r="AS699" s="35"/>
    </row>
    <row r="700" spans="2:45" x14ac:dyDescent="0.2">
      <c r="B700" s="2">
        <v>43480.175405092596</v>
      </c>
      <c r="C700" s="5">
        <f t="shared" si="72"/>
        <v>10.166666260000021</v>
      </c>
      <c r="D700" s="14">
        <v>5.5805579999999999</v>
      </c>
      <c r="E700" s="14">
        <v>5.9889939999999999</v>
      </c>
      <c r="F700" s="14">
        <v>4.5651359999999999</v>
      </c>
      <c r="G700" s="14">
        <v>3.7398669999999998</v>
      </c>
      <c r="H700" s="15">
        <v>5.6152740000000003</v>
      </c>
      <c r="I700" s="15">
        <v>3.4352819999999999</v>
      </c>
      <c r="J700" s="15">
        <v>12.979900000000001</v>
      </c>
      <c r="K700" s="15">
        <v>5.8397050000000004</v>
      </c>
      <c r="L700" s="16">
        <v>4.849488</v>
      </c>
      <c r="M700" s="16">
        <v>7.377211</v>
      </c>
      <c r="N700" s="16">
        <v>7.6796100000000003</v>
      </c>
      <c r="O700" s="16">
        <v>4.2395810000000003</v>
      </c>
      <c r="P700" s="17">
        <v>8.3558439999999994</v>
      </c>
      <c r="Q700" s="17">
        <v>9.3179879999999997</v>
      </c>
      <c r="R700" s="17">
        <v>5.1238710000000003</v>
      </c>
      <c r="S700" s="17">
        <v>10.914949999999999</v>
      </c>
      <c r="AP700" s="35"/>
      <c r="AQ700" s="35"/>
      <c r="AR700" s="35"/>
      <c r="AS700" s="35"/>
    </row>
    <row r="701" spans="2:45" x14ac:dyDescent="0.2">
      <c r="B701" s="2">
        <v>43480.178877314815</v>
      </c>
      <c r="C701" s="5">
        <f t="shared" si="72"/>
        <v>10.249999590000021</v>
      </c>
      <c r="D701" s="14">
        <v>5.5811310000000001</v>
      </c>
      <c r="E701" s="14">
        <v>5.9889939999999999</v>
      </c>
      <c r="F701" s="14">
        <v>4.5651359999999999</v>
      </c>
      <c r="G701" s="14">
        <v>3.7398669999999998</v>
      </c>
      <c r="H701" s="15">
        <v>5.6217119999999996</v>
      </c>
      <c r="I701" s="15">
        <v>3.435425</v>
      </c>
      <c r="J701" s="15">
        <v>13.023099999999999</v>
      </c>
      <c r="K701" s="15">
        <v>5.8412790000000001</v>
      </c>
      <c r="L701" s="16">
        <v>4.8524919999999998</v>
      </c>
      <c r="M701" s="16">
        <v>7.377211</v>
      </c>
      <c r="N701" s="16">
        <v>7.6874779999999996</v>
      </c>
      <c r="O701" s="16">
        <v>4.2437300000000002</v>
      </c>
      <c r="P701" s="17">
        <v>8.3587059999999997</v>
      </c>
      <c r="Q701" s="17">
        <v>9.3274299999999997</v>
      </c>
      <c r="R701" s="17">
        <v>5.137175</v>
      </c>
      <c r="S701" s="17">
        <v>10.91624</v>
      </c>
      <c r="AP701" s="35"/>
      <c r="AQ701" s="35"/>
      <c r="AR701" s="35"/>
      <c r="AS701" s="35"/>
    </row>
    <row r="702" spans="2:45" x14ac:dyDescent="0.2">
      <c r="B702" s="2">
        <v>43480.182349537034</v>
      </c>
      <c r="C702" s="5">
        <f t="shared" si="72"/>
        <v>10.333332920000021</v>
      </c>
      <c r="D702" s="14">
        <v>5.5817030000000001</v>
      </c>
      <c r="E702" s="14">
        <v>5.9889939999999999</v>
      </c>
      <c r="F702" s="14">
        <v>4.5651359999999999</v>
      </c>
      <c r="G702" s="14">
        <v>3.7398669999999998</v>
      </c>
      <c r="H702" s="15">
        <v>5.6281489999999996</v>
      </c>
      <c r="I702" s="15">
        <v>3.435568</v>
      </c>
      <c r="J702" s="15">
        <v>13.052910000000001</v>
      </c>
      <c r="K702" s="15">
        <v>5.8428529999999999</v>
      </c>
      <c r="L702" s="16">
        <v>4.8554959999999996</v>
      </c>
      <c r="M702" s="16">
        <v>7.377211</v>
      </c>
      <c r="N702" s="16">
        <v>7.6953459999999998</v>
      </c>
      <c r="O702" s="16">
        <v>4.247878</v>
      </c>
      <c r="P702" s="17">
        <v>8.3615670000000009</v>
      </c>
      <c r="Q702" s="17">
        <v>9.3368710000000004</v>
      </c>
      <c r="R702" s="17">
        <v>5.1504779999999997</v>
      </c>
      <c r="S702" s="17">
        <v>10.92024</v>
      </c>
      <c r="AP702" s="35"/>
      <c r="AQ702" s="35"/>
      <c r="AR702" s="35"/>
      <c r="AS702" s="35"/>
    </row>
    <row r="703" spans="2:45" x14ac:dyDescent="0.2">
      <c r="B703" s="2">
        <v>43480.18582175926</v>
      </c>
      <c r="C703" s="5">
        <f t="shared" si="72"/>
        <v>10.416666250000022</v>
      </c>
      <c r="D703" s="14">
        <v>5.5822750000000001</v>
      </c>
      <c r="E703" s="14">
        <v>5.9889939999999999</v>
      </c>
      <c r="F703" s="14">
        <v>4.5651359999999999</v>
      </c>
      <c r="G703" s="14">
        <v>3.7398669999999998</v>
      </c>
      <c r="H703" s="15">
        <v>5.6345859999999997</v>
      </c>
      <c r="I703" s="15">
        <v>3.435711</v>
      </c>
      <c r="J703" s="15">
        <v>13.052910000000001</v>
      </c>
      <c r="K703" s="15">
        <v>5.8444260000000003</v>
      </c>
      <c r="L703" s="16">
        <v>4.8585000000000003</v>
      </c>
      <c r="M703" s="16">
        <v>7.377211</v>
      </c>
      <c r="N703" s="16">
        <v>7.703214</v>
      </c>
      <c r="O703" s="16">
        <v>4.252027</v>
      </c>
      <c r="P703" s="17">
        <v>8.3644280000000002</v>
      </c>
      <c r="Q703" s="17">
        <v>9.3463130000000003</v>
      </c>
      <c r="R703" s="17">
        <v>5.1637820000000003</v>
      </c>
      <c r="S703" s="17">
        <v>10.924250000000001</v>
      </c>
      <c r="AP703" s="35"/>
      <c r="AQ703" s="35"/>
      <c r="AR703" s="35"/>
      <c r="AS703" s="35"/>
    </row>
    <row r="704" spans="2:45" x14ac:dyDescent="0.2">
      <c r="B704" s="2">
        <v>43480.189293981479</v>
      </c>
      <c r="C704" s="5">
        <f t="shared" si="72"/>
        <v>10.499999580000022</v>
      </c>
      <c r="D704" s="14">
        <v>5.5828470000000001</v>
      </c>
      <c r="E704" s="14">
        <v>5.9889939999999999</v>
      </c>
      <c r="F704" s="14">
        <v>4.5651359999999999</v>
      </c>
      <c r="G704" s="14">
        <v>3.7398669999999998</v>
      </c>
      <c r="H704" s="15">
        <v>5.6410239999999998</v>
      </c>
      <c r="I704" s="15">
        <v>3.435854</v>
      </c>
      <c r="J704" s="15">
        <v>13.052910000000001</v>
      </c>
      <c r="K704" s="15">
        <v>5.8460000000000001</v>
      </c>
      <c r="L704" s="16">
        <v>4.861504</v>
      </c>
      <c r="M704" s="16">
        <v>7.377211</v>
      </c>
      <c r="N704" s="16">
        <v>7.7110820000000002</v>
      </c>
      <c r="O704" s="16">
        <v>4.2561749999999998</v>
      </c>
      <c r="P704" s="17">
        <v>8.3672889999999995</v>
      </c>
      <c r="Q704" s="17">
        <v>9.3557539999999992</v>
      </c>
      <c r="R704" s="17">
        <v>5.1770860000000001</v>
      </c>
      <c r="S704" s="17">
        <v>10.92825</v>
      </c>
      <c r="AP704" s="35"/>
      <c r="AQ704" s="35"/>
      <c r="AR704" s="35"/>
      <c r="AS704" s="35"/>
    </row>
    <row r="705" spans="2:45" x14ac:dyDescent="0.2">
      <c r="B705" s="2">
        <v>43480.192766203705</v>
      </c>
      <c r="C705" s="5">
        <f t="shared" si="72"/>
        <v>10.583332910000022</v>
      </c>
      <c r="D705" s="14">
        <v>5.5834190000000001</v>
      </c>
      <c r="E705" s="14">
        <v>5.9889939999999999</v>
      </c>
      <c r="F705" s="14">
        <v>4.5651359999999999</v>
      </c>
      <c r="G705" s="14">
        <v>3.7398669999999998</v>
      </c>
      <c r="H705" s="15">
        <v>5.6425359999999998</v>
      </c>
      <c r="I705" s="15">
        <v>3.435997</v>
      </c>
      <c r="J705" s="15">
        <v>13.052910000000001</v>
      </c>
      <c r="K705" s="15">
        <v>5.8475729999999997</v>
      </c>
      <c r="L705" s="16">
        <v>4.8645079999999998</v>
      </c>
      <c r="M705" s="16">
        <v>7.377211</v>
      </c>
      <c r="N705" s="16">
        <v>7.7189490000000003</v>
      </c>
      <c r="O705" s="16">
        <v>4.2603239999999998</v>
      </c>
      <c r="P705" s="17">
        <v>8.3701500000000006</v>
      </c>
      <c r="Q705" s="17">
        <v>9.3651949999999999</v>
      </c>
      <c r="R705" s="17">
        <v>5.1903899999999998</v>
      </c>
      <c r="S705" s="17">
        <v>10.932259999999999</v>
      </c>
      <c r="AP705" s="35"/>
      <c r="AQ705" s="35"/>
      <c r="AR705" s="35"/>
      <c r="AS705" s="35"/>
    </row>
    <row r="706" spans="2:45" x14ac:dyDescent="0.2">
      <c r="B706" s="2">
        <v>43480.196238425924</v>
      </c>
      <c r="C706" s="5">
        <f t="shared" si="72"/>
        <v>10.666666240000023</v>
      </c>
      <c r="D706" s="14">
        <v>5.5839920000000003</v>
      </c>
      <c r="E706" s="14">
        <v>5.9889939999999999</v>
      </c>
      <c r="F706" s="14">
        <v>4.5651359999999999</v>
      </c>
      <c r="G706" s="14">
        <v>3.7398669999999998</v>
      </c>
      <c r="H706" s="15">
        <v>5.6425359999999998</v>
      </c>
      <c r="I706" s="15">
        <v>3.43614</v>
      </c>
      <c r="J706" s="15">
        <v>13.052910000000001</v>
      </c>
      <c r="K706" s="15">
        <v>5.8491470000000003</v>
      </c>
      <c r="L706" s="16">
        <v>4.8648090000000002</v>
      </c>
      <c r="M706" s="16">
        <v>7.377211</v>
      </c>
      <c r="N706" s="16">
        <v>7.7268169999999996</v>
      </c>
      <c r="O706" s="16">
        <v>4.2611879999999998</v>
      </c>
      <c r="P706" s="17">
        <v>8.373011</v>
      </c>
      <c r="Q706" s="17">
        <v>9.3746369999999999</v>
      </c>
      <c r="R706" s="17">
        <v>5.2036930000000003</v>
      </c>
      <c r="S706" s="17">
        <v>10.936260000000001</v>
      </c>
      <c r="AP706" s="35"/>
      <c r="AQ706" s="35"/>
      <c r="AR706" s="35"/>
      <c r="AS706" s="35"/>
    </row>
    <row r="707" spans="2:45" x14ac:dyDescent="0.2">
      <c r="B707" s="2">
        <v>43480.19971064815</v>
      </c>
      <c r="C707" s="5">
        <f t="shared" si="72"/>
        <v>10.749999570000023</v>
      </c>
      <c r="D707" s="14">
        <v>5.5845640000000003</v>
      </c>
      <c r="E707" s="14">
        <v>5.9889939999999999</v>
      </c>
      <c r="F707" s="14">
        <v>4.5651359999999999</v>
      </c>
      <c r="G707" s="14">
        <v>3.7398669999999998</v>
      </c>
      <c r="H707" s="15">
        <v>5.6425359999999998</v>
      </c>
      <c r="I707" s="15">
        <v>3.436283</v>
      </c>
      <c r="J707" s="15">
        <v>13.052910000000001</v>
      </c>
      <c r="K707" s="15">
        <v>5.8507199999999999</v>
      </c>
      <c r="L707" s="16">
        <v>4.8648090000000002</v>
      </c>
      <c r="M707" s="16">
        <v>7.377211</v>
      </c>
      <c r="N707" s="16">
        <v>7.7346849999999998</v>
      </c>
      <c r="O707" s="16">
        <v>4.2611879999999998</v>
      </c>
      <c r="P707" s="17">
        <v>8.3758719999999993</v>
      </c>
      <c r="Q707" s="17">
        <v>9.3840780000000006</v>
      </c>
      <c r="R707" s="17">
        <v>5.2169970000000001</v>
      </c>
      <c r="S707" s="17">
        <v>10.94027</v>
      </c>
      <c r="AP707" s="35"/>
      <c r="AQ707" s="35"/>
      <c r="AR707" s="35"/>
      <c r="AS707" s="35"/>
    </row>
    <row r="708" spans="2:45" x14ac:dyDescent="0.2">
      <c r="B708" s="2">
        <v>43480.203182870369</v>
      </c>
      <c r="C708" s="5">
        <f t="shared" ref="C708:C771" si="78">C707+0.08333333</f>
        <v>10.833332900000023</v>
      </c>
      <c r="D708" s="14">
        <v>5.5851360000000003</v>
      </c>
      <c r="E708" s="14">
        <v>5.9889939999999999</v>
      </c>
      <c r="F708" s="14">
        <v>4.5651359999999999</v>
      </c>
      <c r="G708" s="14">
        <v>3.7398669999999998</v>
      </c>
      <c r="H708" s="15">
        <v>5.6425359999999998</v>
      </c>
      <c r="I708" s="15">
        <v>3.436426</v>
      </c>
      <c r="J708" s="15">
        <v>13.052910000000001</v>
      </c>
      <c r="K708" s="15">
        <v>5.8522939999999997</v>
      </c>
      <c r="L708" s="16">
        <v>4.8648090000000002</v>
      </c>
      <c r="M708" s="16">
        <v>7.377211</v>
      </c>
      <c r="N708" s="16">
        <v>7.742553</v>
      </c>
      <c r="O708" s="16">
        <v>4.2611879999999998</v>
      </c>
      <c r="P708" s="17">
        <v>8.3787330000000004</v>
      </c>
      <c r="Q708" s="17">
        <v>9.3935189999999995</v>
      </c>
      <c r="R708" s="17">
        <v>5.2303009999999999</v>
      </c>
      <c r="S708" s="17">
        <v>10.944269999999999</v>
      </c>
      <c r="AP708" s="35"/>
      <c r="AQ708" s="35"/>
      <c r="AR708" s="35"/>
      <c r="AS708" s="35"/>
    </row>
    <row r="709" spans="2:45" x14ac:dyDescent="0.2">
      <c r="B709" s="2">
        <v>43480.206655092596</v>
      </c>
      <c r="C709" s="5">
        <f t="shared" si="78"/>
        <v>10.916666230000024</v>
      </c>
      <c r="D709" s="14">
        <v>5.5857080000000003</v>
      </c>
      <c r="E709" s="14">
        <v>5.9889939999999999</v>
      </c>
      <c r="F709" s="14">
        <v>4.5651359999999999</v>
      </c>
      <c r="G709" s="14">
        <v>3.7398669999999998</v>
      </c>
      <c r="H709" s="15">
        <v>5.6425359999999998</v>
      </c>
      <c r="I709" s="15">
        <v>3.436569</v>
      </c>
      <c r="J709" s="15">
        <v>13.052910000000001</v>
      </c>
      <c r="K709" s="15">
        <v>5.8524960000000004</v>
      </c>
      <c r="L709" s="16">
        <v>4.8648090000000002</v>
      </c>
      <c r="M709" s="16">
        <v>7.377211</v>
      </c>
      <c r="N709" s="16">
        <v>7.7504210000000002</v>
      </c>
      <c r="O709" s="16">
        <v>4.2611879999999998</v>
      </c>
      <c r="P709" s="17">
        <v>8.3815939999999998</v>
      </c>
      <c r="Q709" s="17">
        <v>9.4029609999999995</v>
      </c>
      <c r="R709" s="17">
        <v>5.2436049999999996</v>
      </c>
      <c r="S709" s="17">
        <v>10.94828</v>
      </c>
      <c r="AP709" s="35"/>
      <c r="AQ709" s="35"/>
      <c r="AR709" s="35"/>
      <c r="AS709" s="35"/>
    </row>
    <row r="710" spans="2:45" x14ac:dyDescent="0.2">
      <c r="B710" s="2">
        <v>43480.210127314815</v>
      </c>
      <c r="C710" s="5">
        <f t="shared" si="78"/>
        <v>10.999999560000024</v>
      </c>
      <c r="D710" s="14">
        <v>5.5862800000000004</v>
      </c>
      <c r="E710" s="14">
        <v>5.9889939999999999</v>
      </c>
      <c r="F710" s="14">
        <v>4.5651359999999999</v>
      </c>
      <c r="G710" s="14">
        <v>3.7398669999999998</v>
      </c>
      <c r="H710" s="15">
        <v>5.6425359999999998</v>
      </c>
      <c r="I710" s="15">
        <v>3.436712</v>
      </c>
      <c r="J710" s="15">
        <v>13.052910000000001</v>
      </c>
      <c r="K710" s="15">
        <v>5.8524960000000004</v>
      </c>
      <c r="L710" s="16">
        <v>4.8648090000000002</v>
      </c>
      <c r="M710" s="16">
        <v>7.377211</v>
      </c>
      <c r="N710" s="16">
        <v>7.7582880000000003</v>
      </c>
      <c r="O710" s="16">
        <v>4.2611879999999998</v>
      </c>
      <c r="P710" s="17">
        <v>8.3844550000000009</v>
      </c>
      <c r="Q710" s="17">
        <v>9.403905</v>
      </c>
      <c r="R710" s="17">
        <v>5.2569080000000001</v>
      </c>
      <c r="S710" s="17">
        <v>10.95228</v>
      </c>
      <c r="V710" s="25">
        <v>11</v>
      </c>
      <c r="W710">
        <f>AVERAGE(D699:D710)</f>
        <v>5.5831332500000004</v>
      </c>
      <c r="X710">
        <f t="shared" ref="X710:AL710" si="79">AVERAGE(E699:E710)</f>
        <v>5.988993999999999</v>
      </c>
      <c r="Y710">
        <f t="shared" si="79"/>
        <v>4.5651360000000007</v>
      </c>
      <c r="Z710">
        <f t="shared" si="79"/>
        <v>3.7398669999999989</v>
      </c>
      <c r="AA710">
        <f t="shared" si="79"/>
        <v>5.6337331666666657</v>
      </c>
      <c r="AB710">
        <f t="shared" si="79"/>
        <v>3.4359254999999997</v>
      </c>
      <c r="AC710">
        <f t="shared" si="79"/>
        <v>13.035413333333331</v>
      </c>
      <c r="AD710">
        <f t="shared" si="79"/>
        <v>5.84642675</v>
      </c>
      <c r="AE710">
        <f t="shared" si="79"/>
        <v>4.8593764166666675</v>
      </c>
      <c r="AF710">
        <f t="shared" si="79"/>
        <v>7.3772110000000017</v>
      </c>
      <c r="AG710">
        <f t="shared" si="79"/>
        <v>7.7150154166666667</v>
      </c>
      <c r="AH710">
        <f t="shared" si="79"/>
        <v>4.253423999999999</v>
      </c>
      <c r="AI710">
        <f t="shared" si="79"/>
        <v>8.368719333333333</v>
      </c>
      <c r="AJ710">
        <f t="shared" si="79"/>
        <v>9.3597664999999992</v>
      </c>
      <c r="AK710">
        <f t="shared" si="79"/>
        <v>5.1837377499999997</v>
      </c>
      <c r="AL710">
        <f t="shared" si="79"/>
        <v>10.931041666666665</v>
      </c>
      <c r="AO710" s="25">
        <v>11</v>
      </c>
      <c r="AP710" s="35">
        <f>AVERAGE(W710:Z710)</f>
        <v>4.9692825625000001</v>
      </c>
      <c r="AQ710" s="35">
        <f>AVERAGE(AA710:AD710)</f>
        <v>6.9878746874999988</v>
      </c>
      <c r="AR710" s="35">
        <f>AVERAGE(AE710:AH710)</f>
        <v>6.0512567083333337</v>
      </c>
      <c r="AS710" s="35">
        <f>AVERAGE(AI710:AL710)</f>
        <v>8.4608163124999987</v>
      </c>
    </row>
    <row r="711" spans="2:45" x14ac:dyDescent="0.2">
      <c r="B711" s="2">
        <v>43480.213599537034</v>
      </c>
      <c r="C711" s="5">
        <f t="shared" si="78"/>
        <v>11.083332890000024</v>
      </c>
      <c r="D711" s="14">
        <v>5.5868529999999996</v>
      </c>
      <c r="E711" s="14">
        <v>5.9889939999999999</v>
      </c>
      <c r="F711" s="14">
        <v>4.5651359999999999</v>
      </c>
      <c r="G711" s="14">
        <v>3.7398669999999998</v>
      </c>
      <c r="H711" s="15">
        <v>5.643974</v>
      </c>
      <c r="I711" s="15">
        <v>3.436855</v>
      </c>
      <c r="J711" s="15">
        <v>13.052910000000001</v>
      </c>
      <c r="K711" s="15">
        <v>5.8524960000000004</v>
      </c>
      <c r="L711" s="16">
        <v>4.8648090000000002</v>
      </c>
      <c r="M711" s="16">
        <v>7.377211</v>
      </c>
      <c r="N711" s="16">
        <v>7.7661559999999996</v>
      </c>
      <c r="O711" s="16">
        <v>4.2611879999999998</v>
      </c>
      <c r="P711" s="17">
        <v>8.3873160000000002</v>
      </c>
      <c r="Q711" s="17">
        <v>9.403905</v>
      </c>
      <c r="R711" s="17">
        <v>5.2702119999999999</v>
      </c>
      <c r="S711" s="17">
        <v>10.956289999999999</v>
      </c>
      <c r="AP711" s="35"/>
      <c r="AQ711" s="35"/>
      <c r="AR711" s="35"/>
      <c r="AS711" s="35"/>
    </row>
    <row r="712" spans="2:45" x14ac:dyDescent="0.2">
      <c r="B712" s="2">
        <v>43480.21707175926</v>
      </c>
      <c r="C712" s="5">
        <f t="shared" si="78"/>
        <v>11.166666220000025</v>
      </c>
      <c r="D712" s="14">
        <v>5.5874249999999996</v>
      </c>
      <c r="E712" s="14">
        <v>5.9889939999999999</v>
      </c>
      <c r="F712" s="14">
        <v>4.5651359999999999</v>
      </c>
      <c r="G712" s="14">
        <v>3.7398669999999998</v>
      </c>
      <c r="H712" s="15">
        <v>5.6462630000000003</v>
      </c>
      <c r="I712" s="15">
        <v>3.436998</v>
      </c>
      <c r="J712" s="15">
        <v>13.052910000000001</v>
      </c>
      <c r="K712" s="15">
        <v>5.8524960000000004</v>
      </c>
      <c r="L712" s="16">
        <v>4.8648090000000002</v>
      </c>
      <c r="M712" s="16">
        <v>7.377211</v>
      </c>
      <c r="N712" s="16">
        <v>7.7740239999999998</v>
      </c>
      <c r="O712" s="16">
        <v>4.2611879999999998</v>
      </c>
      <c r="P712" s="17">
        <v>8.3901769999999996</v>
      </c>
      <c r="Q712" s="17">
        <v>9.4081790000000005</v>
      </c>
      <c r="R712" s="17">
        <v>5.2835159999999997</v>
      </c>
      <c r="S712" s="17">
        <v>10.9603</v>
      </c>
      <c r="AP712" s="35"/>
      <c r="AQ712" s="35"/>
      <c r="AR712" s="35"/>
      <c r="AS712" s="35"/>
    </row>
    <row r="713" spans="2:45" x14ac:dyDescent="0.2">
      <c r="B713" s="2">
        <v>43480.220543981479</v>
      </c>
      <c r="C713" s="5">
        <f t="shared" si="78"/>
        <v>11.249999550000025</v>
      </c>
      <c r="D713" s="14">
        <v>5.5879969999999997</v>
      </c>
      <c r="E713" s="14">
        <v>5.9889939999999999</v>
      </c>
      <c r="F713" s="14">
        <v>4.5651359999999999</v>
      </c>
      <c r="G713" s="14">
        <v>3.7398669999999998</v>
      </c>
      <c r="H713" s="15">
        <v>5.6485519999999996</v>
      </c>
      <c r="I713" s="15">
        <v>3.437141</v>
      </c>
      <c r="J713" s="15">
        <v>13.052910000000001</v>
      </c>
      <c r="K713" s="15">
        <v>5.8524960000000004</v>
      </c>
      <c r="L713" s="16">
        <v>4.8648090000000002</v>
      </c>
      <c r="M713" s="16">
        <v>7.377211</v>
      </c>
      <c r="N713" s="16">
        <v>7.781892</v>
      </c>
      <c r="O713" s="16">
        <v>4.2611879999999998</v>
      </c>
      <c r="P713" s="17">
        <v>8.3930380000000007</v>
      </c>
      <c r="Q713" s="17">
        <v>9.4159039999999994</v>
      </c>
      <c r="R713" s="17">
        <v>5.2968200000000003</v>
      </c>
      <c r="S713" s="17">
        <v>10.9643</v>
      </c>
      <c r="AP713" s="35"/>
      <c r="AQ713" s="35"/>
      <c r="AR713" s="35"/>
      <c r="AS713" s="35"/>
    </row>
    <row r="714" spans="2:45" x14ac:dyDescent="0.2">
      <c r="B714" s="2">
        <v>43480.224016203705</v>
      </c>
      <c r="C714" s="5">
        <f t="shared" si="78"/>
        <v>11.333332880000025</v>
      </c>
      <c r="D714" s="14">
        <v>5.5885689999999997</v>
      </c>
      <c r="E714" s="14">
        <v>5.9889939999999999</v>
      </c>
      <c r="F714" s="14">
        <v>4.5651359999999999</v>
      </c>
      <c r="G714" s="14">
        <v>3.7403789999999999</v>
      </c>
      <c r="H714" s="15">
        <v>5.6508409999999998</v>
      </c>
      <c r="I714" s="15">
        <v>3.437284</v>
      </c>
      <c r="J714" s="15">
        <v>13.052910000000001</v>
      </c>
      <c r="K714" s="15">
        <v>5.8524960000000004</v>
      </c>
      <c r="L714" s="16">
        <v>4.8648090000000002</v>
      </c>
      <c r="M714" s="16">
        <v>7.377211</v>
      </c>
      <c r="N714" s="16">
        <v>7.7897600000000002</v>
      </c>
      <c r="O714" s="16">
        <v>4.2611879999999998</v>
      </c>
      <c r="P714" s="17">
        <v>8.395899</v>
      </c>
      <c r="Q714" s="17">
        <v>9.423629</v>
      </c>
      <c r="R714" s="17">
        <v>5.3101229999999999</v>
      </c>
      <c r="S714" s="17">
        <v>10.968310000000001</v>
      </c>
      <c r="AP714" s="35"/>
      <c r="AQ714" s="35"/>
      <c r="AR714" s="35"/>
      <c r="AS714" s="35"/>
    </row>
    <row r="715" spans="2:45" x14ac:dyDescent="0.2">
      <c r="B715" s="2">
        <v>43480.227488425924</v>
      </c>
      <c r="C715" s="5">
        <f t="shared" si="78"/>
        <v>11.416666210000026</v>
      </c>
      <c r="D715" s="14">
        <v>5.5891409999999997</v>
      </c>
      <c r="E715" s="14">
        <v>5.9889939999999999</v>
      </c>
      <c r="F715" s="14">
        <v>4.5651359999999999</v>
      </c>
      <c r="G715" s="14">
        <v>3.7420239999999998</v>
      </c>
      <c r="H715" s="15">
        <v>5.65313</v>
      </c>
      <c r="I715" s="15">
        <v>3.4374280000000002</v>
      </c>
      <c r="J715" s="15">
        <v>13.052910000000001</v>
      </c>
      <c r="K715" s="15">
        <v>5.8524960000000004</v>
      </c>
      <c r="L715" s="16">
        <v>4.8648090000000002</v>
      </c>
      <c r="M715" s="16">
        <v>7.377211</v>
      </c>
      <c r="N715" s="16">
        <v>7.7976270000000003</v>
      </c>
      <c r="O715" s="16">
        <v>4.2611879999999998</v>
      </c>
      <c r="P715" s="17">
        <v>8.3987599999999993</v>
      </c>
      <c r="Q715" s="17">
        <v>9.4313540000000007</v>
      </c>
      <c r="R715" s="17">
        <v>5.3234269999999997</v>
      </c>
      <c r="S715" s="17">
        <v>10.97231</v>
      </c>
      <c r="AP715" s="35"/>
      <c r="AQ715" s="35"/>
      <c r="AR715" s="35"/>
      <c r="AS715" s="35"/>
    </row>
    <row r="716" spans="2:45" x14ac:dyDescent="0.2">
      <c r="B716" s="2">
        <v>43480.23096064815</v>
      </c>
      <c r="C716" s="5">
        <f t="shared" si="78"/>
        <v>11.499999540000026</v>
      </c>
      <c r="D716" s="14">
        <v>5.5897139999999998</v>
      </c>
      <c r="E716" s="14">
        <v>5.9889939999999999</v>
      </c>
      <c r="F716" s="14">
        <v>4.5651359999999999</v>
      </c>
      <c r="G716" s="14">
        <v>3.7436699999999998</v>
      </c>
      <c r="H716" s="15">
        <v>5.6554180000000001</v>
      </c>
      <c r="I716" s="15">
        <v>3.4375710000000002</v>
      </c>
      <c r="J716" s="15">
        <v>13.052910000000001</v>
      </c>
      <c r="K716" s="15">
        <v>5.8524960000000004</v>
      </c>
      <c r="L716" s="16">
        <v>4.8648090000000002</v>
      </c>
      <c r="M716" s="16">
        <v>7.377211</v>
      </c>
      <c r="N716" s="16">
        <v>7.8054949999999996</v>
      </c>
      <c r="O716" s="16">
        <v>4.2611879999999998</v>
      </c>
      <c r="P716" s="17">
        <v>8.4016210000000004</v>
      </c>
      <c r="Q716" s="17">
        <v>9.4390780000000003</v>
      </c>
      <c r="R716" s="17">
        <v>5.3367310000000003</v>
      </c>
      <c r="S716" s="17">
        <v>10.976319999999999</v>
      </c>
      <c r="AP716" s="35"/>
      <c r="AQ716" s="35"/>
      <c r="AR716" s="35"/>
      <c r="AS716" s="35"/>
    </row>
    <row r="717" spans="2:45" x14ac:dyDescent="0.2">
      <c r="B717" s="2">
        <v>43480.234432870369</v>
      </c>
      <c r="C717" s="5">
        <f t="shared" si="78"/>
        <v>11.583332870000026</v>
      </c>
      <c r="D717" s="14">
        <v>5.5902859999999999</v>
      </c>
      <c r="E717" s="14">
        <v>5.9889939999999999</v>
      </c>
      <c r="F717" s="14">
        <v>4.5651359999999999</v>
      </c>
      <c r="G717" s="14">
        <v>3.7453150000000002</v>
      </c>
      <c r="H717" s="15">
        <v>5.6577070000000003</v>
      </c>
      <c r="I717" s="15">
        <v>3.4377140000000002</v>
      </c>
      <c r="J717" s="15">
        <v>13.052910000000001</v>
      </c>
      <c r="K717" s="15">
        <v>5.8524960000000004</v>
      </c>
      <c r="L717" s="16">
        <v>4.8648090000000002</v>
      </c>
      <c r="M717" s="16">
        <v>7.377211</v>
      </c>
      <c r="N717" s="16">
        <v>7.8133629999999998</v>
      </c>
      <c r="O717" s="16">
        <v>4.2611879999999998</v>
      </c>
      <c r="P717" s="17">
        <v>8.4044819999999998</v>
      </c>
      <c r="Q717" s="17">
        <v>9.4468029999999992</v>
      </c>
      <c r="R717" s="17">
        <v>5.3500350000000001</v>
      </c>
      <c r="S717" s="17">
        <v>10.980320000000001</v>
      </c>
      <c r="AP717" s="35"/>
      <c r="AQ717" s="35"/>
      <c r="AR717" s="35"/>
      <c r="AS717" s="35"/>
    </row>
    <row r="718" spans="2:45" x14ac:dyDescent="0.2">
      <c r="B718" s="2">
        <v>43480.237905092596</v>
      </c>
      <c r="C718" s="5">
        <f t="shared" si="78"/>
        <v>11.666666200000027</v>
      </c>
      <c r="D718" s="14">
        <v>5.5908579999999999</v>
      </c>
      <c r="E718" s="14">
        <v>5.9889939999999999</v>
      </c>
      <c r="F718" s="14">
        <v>4.5651359999999999</v>
      </c>
      <c r="G718" s="14">
        <v>3.7469600000000001</v>
      </c>
      <c r="H718" s="15">
        <v>5.6599959999999996</v>
      </c>
      <c r="I718" s="15">
        <v>3.4378570000000002</v>
      </c>
      <c r="J718" s="15">
        <v>13.052910000000001</v>
      </c>
      <c r="K718" s="15">
        <v>5.8524960000000004</v>
      </c>
      <c r="L718" s="16">
        <v>4.8648090000000002</v>
      </c>
      <c r="M718" s="16">
        <v>7.377211</v>
      </c>
      <c r="N718" s="16">
        <v>7.821231</v>
      </c>
      <c r="O718" s="16">
        <v>4.2611879999999998</v>
      </c>
      <c r="P718" s="17">
        <v>8.4073429999999991</v>
      </c>
      <c r="Q718" s="17">
        <v>9.4545279999999998</v>
      </c>
      <c r="R718" s="17">
        <v>5.3633379999999997</v>
      </c>
      <c r="S718" s="17">
        <v>10.98433</v>
      </c>
      <c r="AP718" s="35"/>
      <c r="AQ718" s="35"/>
      <c r="AR718" s="35"/>
      <c r="AS718" s="35"/>
    </row>
    <row r="719" spans="2:45" x14ac:dyDescent="0.2">
      <c r="B719" s="2">
        <v>43480.241377314815</v>
      </c>
      <c r="C719" s="5">
        <f t="shared" si="78"/>
        <v>11.749999530000027</v>
      </c>
      <c r="D719" s="14">
        <v>5.5914299999999999</v>
      </c>
      <c r="E719" s="14">
        <v>5.9889939999999999</v>
      </c>
      <c r="F719" s="14">
        <v>4.5651359999999999</v>
      </c>
      <c r="G719" s="14">
        <v>3.748605</v>
      </c>
      <c r="H719" s="15">
        <v>5.6622849999999998</v>
      </c>
      <c r="I719" s="15">
        <v>3.4380000000000002</v>
      </c>
      <c r="J719" s="15">
        <v>13.052910000000001</v>
      </c>
      <c r="K719" s="15">
        <v>5.8524960000000004</v>
      </c>
      <c r="L719" s="16">
        <v>4.8648090000000002</v>
      </c>
      <c r="M719" s="16">
        <v>7.377211</v>
      </c>
      <c r="N719" s="16">
        <v>7.8290990000000003</v>
      </c>
      <c r="O719" s="16">
        <v>4.2611879999999998</v>
      </c>
      <c r="P719" s="17">
        <v>8.4102040000000002</v>
      </c>
      <c r="Q719" s="17">
        <v>9.4622530000000005</v>
      </c>
      <c r="R719" s="17">
        <v>5.3766420000000004</v>
      </c>
      <c r="S719" s="17">
        <v>10.988329999999999</v>
      </c>
      <c r="AP719" s="35"/>
      <c r="AQ719" s="35"/>
      <c r="AR719" s="35"/>
      <c r="AS719" s="35"/>
    </row>
    <row r="720" spans="2:45" x14ac:dyDescent="0.2">
      <c r="B720" s="2">
        <v>43480.244849537034</v>
      </c>
      <c r="C720" s="5">
        <f t="shared" si="78"/>
        <v>11.833332860000027</v>
      </c>
      <c r="D720" s="14">
        <v>5.5920019999999999</v>
      </c>
      <c r="E720" s="14">
        <v>5.9889939999999999</v>
      </c>
      <c r="F720" s="14">
        <v>4.5651359999999999</v>
      </c>
      <c r="G720" s="14">
        <v>3.7502499999999999</v>
      </c>
      <c r="H720" s="15">
        <v>5.664574</v>
      </c>
      <c r="I720" s="15">
        <v>3.4381430000000002</v>
      </c>
      <c r="J720" s="15">
        <v>13.052910000000001</v>
      </c>
      <c r="K720" s="15">
        <v>5.8524960000000004</v>
      </c>
      <c r="L720" s="16">
        <v>4.8648090000000002</v>
      </c>
      <c r="M720" s="16">
        <v>7.377211</v>
      </c>
      <c r="N720" s="16">
        <v>7.8369669999999996</v>
      </c>
      <c r="O720" s="16">
        <v>4.2611879999999998</v>
      </c>
      <c r="P720" s="17">
        <v>8.4130649999999996</v>
      </c>
      <c r="Q720" s="17">
        <v>9.4699770000000001</v>
      </c>
      <c r="R720" s="17">
        <v>5.3878839999999997</v>
      </c>
      <c r="S720" s="17">
        <v>10.99234</v>
      </c>
      <c r="AP720" s="35"/>
      <c r="AQ720" s="35"/>
      <c r="AR720" s="35"/>
      <c r="AS720" s="35"/>
    </row>
    <row r="721" spans="2:45" x14ac:dyDescent="0.2">
      <c r="B721" s="2">
        <v>43480.24832175926</v>
      </c>
      <c r="C721" s="5">
        <f t="shared" si="78"/>
        <v>11.916666190000027</v>
      </c>
      <c r="D721" s="14">
        <v>5.5925750000000001</v>
      </c>
      <c r="E721" s="14">
        <v>5.9889939999999999</v>
      </c>
      <c r="F721" s="14">
        <v>4.5651359999999999</v>
      </c>
      <c r="G721" s="14">
        <v>3.7518950000000002</v>
      </c>
      <c r="H721" s="15">
        <v>5.6668620000000001</v>
      </c>
      <c r="I721" s="15">
        <v>3.4382860000000002</v>
      </c>
      <c r="J721" s="15">
        <v>13.052910000000001</v>
      </c>
      <c r="K721" s="15">
        <v>5.8524960000000004</v>
      </c>
      <c r="L721" s="16">
        <v>4.8648090000000002</v>
      </c>
      <c r="M721" s="16">
        <v>7.377211</v>
      </c>
      <c r="N721" s="16">
        <v>7.8448339999999996</v>
      </c>
      <c r="O721" s="16">
        <v>4.2611879999999998</v>
      </c>
      <c r="P721" s="17">
        <v>8.4159260000000007</v>
      </c>
      <c r="Q721" s="17">
        <v>9.4777020000000007</v>
      </c>
      <c r="R721" s="17">
        <v>5.3878839999999997</v>
      </c>
      <c r="S721" s="17">
        <v>10.99634</v>
      </c>
      <c r="AP721" s="35"/>
      <c r="AQ721" s="35"/>
      <c r="AR721" s="35"/>
      <c r="AS721" s="35"/>
    </row>
    <row r="722" spans="2:45" x14ac:dyDescent="0.2">
      <c r="B722" s="2">
        <v>43480.251793981479</v>
      </c>
      <c r="C722" s="5">
        <f t="shared" si="78"/>
        <v>11.999999520000028</v>
      </c>
      <c r="D722" s="14">
        <v>5.5928849999999999</v>
      </c>
      <c r="E722" s="14">
        <v>5.9889939999999999</v>
      </c>
      <c r="F722" s="14">
        <v>4.5651359999999999</v>
      </c>
      <c r="G722" s="14">
        <v>3.7535400000000001</v>
      </c>
      <c r="H722" s="15">
        <v>5.6691510000000003</v>
      </c>
      <c r="I722" s="15">
        <v>3.4384290000000002</v>
      </c>
      <c r="J722" s="15">
        <v>13.052910000000001</v>
      </c>
      <c r="K722" s="15">
        <v>5.8524960000000004</v>
      </c>
      <c r="L722" s="16">
        <v>4.8648090000000002</v>
      </c>
      <c r="M722" s="16">
        <v>7.377211</v>
      </c>
      <c r="N722" s="16">
        <v>7.8527019999999998</v>
      </c>
      <c r="O722" s="16">
        <v>4.2611879999999998</v>
      </c>
      <c r="P722" s="17">
        <v>8.418787</v>
      </c>
      <c r="Q722" s="17">
        <v>9.4854269999999996</v>
      </c>
      <c r="R722" s="17">
        <v>5.3878839999999997</v>
      </c>
      <c r="S722" s="17">
        <v>10.9993</v>
      </c>
      <c r="V722" s="25">
        <v>12</v>
      </c>
      <c r="W722">
        <f>AVERAGE(D711:D722)</f>
        <v>5.5899779166666663</v>
      </c>
      <c r="X722">
        <f t="shared" ref="X722:AL722" si="80">AVERAGE(E711:E722)</f>
        <v>5.988993999999999</v>
      </c>
      <c r="Y722">
        <f t="shared" si="80"/>
        <v>4.5651360000000007</v>
      </c>
      <c r="Z722">
        <f t="shared" si="80"/>
        <v>3.7451865833333335</v>
      </c>
      <c r="AA722">
        <f t="shared" si="80"/>
        <v>5.65656275</v>
      </c>
      <c r="AB722">
        <f t="shared" si="80"/>
        <v>3.4376421666666666</v>
      </c>
      <c r="AC722">
        <f t="shared" si="80"/>
        <v>13.052909999999999</v>
      </c>
      <c r="AD722">
        <f t="shared" si="80"/>
        <v>5.8524960000000013</v>
      </c>
      <c r="AE722">
        <f t="shared" si="80"/>
        <v>4.8648090000000002</v>
      </c>
      <c r="AF722">
        <f t="shared" si="80"/>
        <v>7.3772110000000017</v>
      </c>
      <c r="AG722">
        <f t="shared" si="80"/>
        <v>7.8094291666666669</v>
      </c>
      <c r="AH722">
        <f t="shared" si="80"/>
        <v>4.2611879999999989</v>
      </c>
      <c r="AI722">
        <f t="shared" si="80"/>
        <v>8.4030515000000001</v>
      </c>
      <c r="AJ722">
        <f t="shared" si="80"/>
        <v>9.4432282500000007</v>
      </c>
      <c r="AK722">
        <f t="shared" si="80"/>
        <v>5.339541333333333</v>
      </c>
      <c r="AL722">
        <f t="shared" si="80"/>
        <v>10.978232500000003</v>
      </c>
      <c r="AO722" s="25">
        <v>12</v>
      </c>
      <c r="AP722" s="35">
        <f>AVERAGE(W722:Z722)</f>
        <v>4.9723236249999996</v>
      </c>
      <c r="AQ722" s="35">
        <f>AVERAGE(AA722:AD722)</f>
        <v>6.9999027291666671</v>
      </c>
      <c r="AR722" s="35">
        <f>AVERAGE(AE722:AH722)</f>
        <v>6.0781592916666671</v>
      </c>
      <c r="AS722" s="35">
        <f>AVERAGE(AI722:AL722)</f>
        <v>8.5410133958333336</v>
      </c>
    </row>
    <row r="723" spans="2:45" x14ac:dyDescent="0.2">
      <c r="B723" s="2">
        <v>43480.255266203705</v>
      </c>
      <c r="C723" s="5">
        <f t="shared" si="78"/>
        <v>12.083332850000028</v>
      </c>
      <c r="D723" s="14">
        <v>5.5928849999999999</v>
      </c>
      <c r="E723" s="14">
        <v>5.9889939999999999</v>
      </c>
      <c r="F723" s="14">
        <v>4.5651359999999999</v>
      </c>
      <c r="G723" s="14">
        <v>3.755185</v>
      </c>
      <c r="H723" s="15">
        <v>5.6714399999999996</v>
      </c>
      <c r="I723" s="15">
        <v>3.438504</v>
      </c>
      <c r="J723" s="15">
        <v>13.052910000000001</v>
      </c>
      <c r="K723" s="15">
        <v>5.8524960000000004</v>
      </c>
      <c r="L723" s="16">
        <v>4.8648090000000002</v>
      </c>
      <c r="M723" s="16">
        <v>7.378463</v>
      </c>
      <c r="N723" s="16">
        <v>7.8605700000000001</v>
      </c>
      <c r="O723" s="16">
        <v>4.2611879999999998</v>
      </c>
      <c r="P723" s="17">
        <v>8.4216479999999994</v>
      </c>
      <c r="Q723" s="17">
        <v>9.4931520000000003</v>
      </c>
      <c r="R723" s="17">
        <v>5.3878839999999997</v>
      </c>
      <c r="S723" s="17">
        <v>11.00193</v>
      </c>
      <c r="AP723" s="35"/>
      <c r="AQ723" s="35"/>
      <c r="AR723" s="35"/>
      <c r="AS723" s="35"/>
    </row>
    <row r="724" spans="2:45" x14ac:dyDescent="0.2">
      <c r="B724" s="2">
        <v>43480.258738425924</v>
      </c>
      <c r="C724" s="5">
        <f t="shared" si="78"/>
        <v>12.166666180000028</v>
      </c>
      <c r="D724" s="14">
        <v>5.5928849999999999</v>
      </c>
      <c r="E724" s="14">
        <v>5.9889939999999999</v>
      </c>
      <c r="F724" s="14">
        <v>4.5651359999999999</v>
      </c>
      <c r="G724" s="14">
        <v>3.7568299999999999</v>
      </c>
      <c r="H724" s="15">
        <v>5.6737289999999998</v>
      </c>
      <c r="I724" s="15">
        <v>3.4387530000000002</v>
      </c>
      <c r="J724" s="15">
        <v>13.052910000000001</v>
      </c>
      <c r="K724" s="15">
        <v>5.8524960000000004</v>
      </c>
      <c r="L724" s="16">
        <v>4.8648090000000002</v>
      </c>
      <c r="M724" s="16">
        <v>7.385758</v>
      </c>
      <c r="N724" s="16">
        <v>7.8684380000000003</v>
      </c>
      <c r="O724" s="16">
        <v>4.2611879999999998</v>
      </c>
      <c r="P724" s="17">
        <v>8.4245090000000005</v>
      </c>
      <c r="Q724" s="17">
        <v>9.5008759999999999</v>
      </c>
      <c r="R724" s="17">
        <v>5.3878839999999997</v>
      </c>
      <c r="S724" s="17">
        <v>11.005929999999999</v>
      </c>
      <c r="AP724" s="35"/>
      <c r="AQ724" s="35"/>
      <c r="AR724" s="35"/>
      <c r="AS724" s="35"/>
    </row>
    <row r="725" spans="2:45" x14ac:dyDescent="0.2">
      <c r="B725" s="2">
        <v>43480.26221064815</v>
      </c>
      <c r="C725" s="5">
        <f t="shared" si="78"/>
        <v>12.249999510000029</v>
      </c>
      <c r="D725" s="14">
        <v>5.5932519999999997</v>
      </c>
      <c r="E725" s="14">
        <v>5.9889939999999999</v>
      </c>
      <c r="F725" s="14">
        <v>4.5651359999999999</v>
      </c>
      <c r="G725" s="14">
        <v>3.7584749999999998</v>
      </c>
      <c r="H725" s="15">
        <v>5.676018</v>
      </c>
      <c r="I725" s="15">
        <v>3.439111</v>
      </c>
      <c r="J725" s="15">
        <v>13.052910000000001</v>
      </c>
      <c r="K725" s="15">
        <v>5.8524960000000004</v>
      </c>
      <c r="L725" s="16">
        <v>4.8648090000000002</v>
      </c>
      <c r="M725" s="16">
        <v>7.3930540000000002</v>
      </c>
      <c r="N725" s="16">
        <v>7.8763059999999996</v>
      </c>
      <c r="O725" s="16">
        <v>4.2611879999999998</v>
      </c>
      <c r="P725" s="17">
        <v>8.4273699999999998</v>
      </c>
      <c r="Q725" s="17">
        <v>9.5086010000000005</v>
      </c>
      <c r="R725" s="17">
        <v>5.3878839999999997</v>
      </c>
      <c r="S725" s="17">
        <v>11.00994</v>
      </c>
      <c r="AP725" s="35"/>
      <c r="AQ725" s="35"/>
      <c r="AR725" s="35"/>
      <c r="AS725" s="35"/>
    </row>
    <row r="726" spans="2:45" x14ac:dyDescent="0.2">
      <c r="B726" s="2">
        <v>43480.265682870369</v>
      </c>
      <c r="C726" s="5">
        <f t="shared" si="78"/>
        <v>12.333332840000029</v>
      </c>
      <c r="D726" s="14">
        <v>5.5949679999999997</v>
      </c>
      <c r="E726" s="14">
        <v>5.9889939999999999</v>
      </c>
      <c r="F726" s="14">
        <v>4.5651359999999999</v>
      </c>
      <c r="G726" s="14">
        <v>3.7601200000000001</v>
      </c>
      <c r="H726" s="15">
        <v>5.6783070000000002</v>
      </c>
      <c r="I726" s="15">
        <v>3.4394689999999999</v>
      </c>
      <c r="J726" s="15">
        <v>13.052910000000001</v>
      </c>
      <c r="K726" s="15">
        <v>5.8524960000000004</v>
      </c>
      <c r="L726" s="16">
        <v>4.8648090000000002</v>
      </c>
      <c r="M726" s="16">
        <v>7.4003500000000004</v>
      </c>
      <c r="N726" s="16">
        <v>7.8841729999999997</v>
      </c>
      <c r="O726" s="16">
        <v>4.2611879999999998</v>
      </c>
      <c r="P726" s="17">
        <v>8.4302309999999991</v>
      </c>
      <c r="Q726" s="17">
        <v>9.5163259999999994</v>
      </c>
      <c r="R726" s="17">
        <v>5.3878839999999997</v>
      </c>
      <c r="S726" s="17">
        <v>11.01394</v>
      </c>
      <c r="AP726" s="35"/>
      <c r="AQ726" s="35"/>
      <c r="AR726" s="35"/>
      <c r="AS726" s="35"/>
    </row>
    <row r="727" spans="2:45" x14ac:dyDescent="0.2">
      <c r="B727" s="2">
        <v>43480.269155092596</v>
      </c>
      <c r="C727" s="5">
        <f t="shared" si="78"/>
        <v>12.416666170000029</v>
      </c>
      <c r="D727" s="14">
        <v>5.5966849999999999</v>
      </c>
      <c r="E727" s="14">
        <v>5.9889939999999999</v>
      </c>
      <c r="F727" s="14">
        <v>4.5651359999999999</v>
      </c>
      <c r="G727" s="14">
        <v>3.761765</v>
      </c>
      <c r="H727" s="15">
        <v>5.6805950000000003</v>
      </c>
      <c r="I727" s="15">
        <v>3.4398260000000001</v>
      </c>
      <c r="J727" s="15">
        <v>13.052910000000001</v>
      </c>
      <c r="K727" s="15">
        <v>5.8524960000000004</v>
      </c>
      <c r="L727" s="16">
        <v>4.8648090000000002</v>
      </c>
      <c r="M727" s="16">
        <v>7.4076449999999996</v>
      </c>
      <c r="N727" s="16">
        <v>7.8889069999999997</v>
      </c>
      <c r="O727" s="16">
        <v>4.2611879999999998</v>
      </c>
      <c r="P727" s="17">
        <v>8.4330920000000003</v>
      </c>
      <c r="Q727" s="17">
        <v>9.524051</v>
      </c>
      <c r="R727" s="17">
        <v>5.3878839999999997</v>
      </c>
      <c r="S727" s="17">
        <v>11.01604</v>
      </c>
      <c r="AP727" s="35"/>
      <c r="AQ727" s="35"/>
      <c r="AR727" s="35"/>
      <c r="AS727" s="35"/>
    </row>
    <row r="728" spans="2:45" x14ac:dyDescent="0.2">
      <c r="B728" s="2">
        <v>43480.272627314815</v>
      </c>
      <c r="C728" s="5">
        <f t="shared" si="78"/>
        <v>12.49999950000003</v>
      </c>
      <c r="D728" s="14">
        <v>5.5984020000000001</v>
      </c>
      <c r="E728" s="14">
        <v>5.9889939999999999</v>
      </c>
      <c r="F728" s="14">
        <v>4.5651359999999999</v>
      </c>
      <c r="G728" s="14">
        <v>3.7634110000000001</v>
      </c>
      <c r="H728" s="15">
        <v>5.6828839999999996</v>
      </c>
      <c r="I728" s="15">
        <v>3.4401679999999999</v>
      </c>
      <c r="J728" s="15">
        <v>13.052910000000001</v>
      </c>
      <c r="K728" s="15">
        <v>5.8524960000000004</v>
      </c>
      <c r="L728" s="16">
        <v>4.8648090000000002</v>
      </c>
      <c r="M728" s="16">
        <v>7.4149409999999998</v>
      </c>
      <c r="N728" s="16">
        <v>7.8889069999999997</v>
      </c>
      <c r="O728" s="16">
        <v>4.2611879999999998</v>
      </c>
      <c r="P728" s="17">
        <v>8.4359529999999996</v>
      </c>
      <c r="Q728" s="17">
        <v>9.5317749999999997</v>
      </c>
      <c r="R728" s="17">
        <v>5.3878839999999997</v>
      </c>
      <c r="S728" s="17">
        <v>11.02281</v>
      </c>
      <c r="AP728" s="35"/>
      <c r="AQ728" s="35"/>
      <c r="AR728" s="35"/>
      <c r="AS728" s="35"/>
    </row>
    <row r="729" spans="2:45" x14ac:dyDescent="0.2">
      <c r="B729" s="2">
        <v>43480.276099537034</v>
      </c>
      <c r="C729" s="5">
        <f t="shared" si="78"/>
        <v>12.58333283000003</v>
      </c>
      <c r="D729" s="14">
        <v>5.6001180000000002</v>
      </c>
      <c r="E729" s="14">
        <v>5.9889939999999999</v>
      </c>
      <c r="F729" s="14">
        <v>4.5651359999999999</v>
      </c>
      <c r="G729" s="14">
        <v>3.765056</v>
      </c>
      <c r="H729" s="15">
        <v>5.6851729999999998</v>
      </c>
      <c r="I729" s="15">
        <v>3.4401679999999999</v>
      </c>
      <c r="J729" s="15">
        <v>13.052910000000001</v>
      </c>
      <c r="K729" s="15">
        <v>5.8524960000000004</v>
      </c>
      <c r="L729" s="16">
        <v>4.8648090000000002</v>
      </c>
      <c r="M729" s="16">
        <v>7.4222359999999998</v>
      </c>
      <c r="N729" s="16">
        <v>7.8889069999999997</v>
      </c>
      <c r="O729" s="16">
        <v>4.2611879999999998</v>
      </c>
      <c r="P729" s="17">
        <v>8.4388140000000007</v>
      </c>
      <c r="Q729" s="17">
        <v>9.5395000000000003</v>
      </c>
      <c r="R729" s="17">
        <v>5.3878839999999997</v>
      </c>
      <c r="S729" s="17">
        <v>11.03168</v>
      </c>
      <c r="AP729" s="35"/>
      <c r="AQ729" s="35"/>
      <c r="AR729" s="35"/>
      <c r="AS729" s="35"/>
    </row>
    <row r="730" spans="2:45" x14ac:dyDescent="0.2">
      <c r="B730" s="2">
        <v>43480.27957175926</v>
      </c>
      <c r="C730" s="5">
        <f t="shared" si="78"/>
        <v>12.66666616000003</v>
      </c>
      <c r="D730" s="14">
        <v>5.6018350000000003</v>
      </c>
      <c r="E730" s="14">
        <v>5.9889939999999999</v>
      </c>
      <c r="F730" s="14">
        <v>4.5651359999999999</v>
      </c>
      <c r="G730" s="14">
        <v>3.7667009999999999</v>
      </c>
      <c r="H730" s="15">
        <v>5.687462</v>
      </c>
      <c r="I730" s="15">
        <v>3.4401679999999999</v>
      </c>
      <c r="J730" s="15">
        <v>13.052910000000001</v>
      </c>
      <c r="K730" s="15">
        <v>5.8524960000000004</v>
      </c>
      <c r="L730" s="16">
        <v>4.8648090000000002</v>
      </c>
      <c r="M730" s="16">
        <v>7.429532</v>
      </c>
      <c r="N730" s="16">
        <v>7.8889069999999997</v>
      </c>
      <c r="O730" s="16">
        <v>4.2611879999999998</v>
      </c>
      <c r="P730" s="17">
        <v>8.441675</v>
      </c>
      <c r="Q730" s="17">
        <v>9.5472249999999992</v>
      </c>
      <c r="R730" s="17">
        <v>5.3878839999999997</v>
      </c>
      <c r="S730" s="17">
        <v>11.04055</v>
      </c>
      <c r="AP730" s="35"/>
      <c r="AQ730" s="35"/>
      <c r="AR730" s="35"/>
      <c r="AS730" s="35"/>
    </row>
    <row r="731" spans="2:45" x14ac:dyDescent="0.2">
      <c r="B731" s="2">
        <v>43480.283043981479</v>
      </c>
      <c r="C731" s="5">
        <f t="shared" si="78"/>
        <v>12.749999490000031</v>
      </c>
      <c r="D731" s="14">
        <v>5.6035510000000004</v>
      </c>
      <c r="E731" s="14">
        <v>5.9889939999999999</v>
      </c>
      <c r="F731" s="14">
        <v>4.5651359999999999</v>
      </c>
      <c r="G731" s="14">
        <v>3.7683460000000002</v>
      </c>
      <c r="H731" s="15">
        <v>5.6897510000000002</v>
      </c>
      <c r="I731" s="15">
        <v>3.4401679999999999</v>
      </c>
      <c r="J731" s="15">
        <v>13.052910000000001</v>
      </c>
      <c r="K731" s="15">
        <v>5.8524960000000004</v>
      </c>
      <c r="L731" s="16">
        <v>4.8648090000000002</v>
      </c>
      <c r="M731" s="16">
        <v>7.4368280000000002</v>
      </c>
      <c r="N731" s="16">
        <v>7.8889069999999997</v>
      </c>
      <c r="O731" s="16">
        <v>4.2611879999999998</v>
      </c>
      <c r="P731" s="17">
        <v>8.4445359999999994</v>
      </c>
      <c r="Q731" s="17">
        <v>9.5549499999999998</v>
      </c>
      <c r="R731" s="17">
        <v>5.3878839999999997</v>
      </c>
      <c r="S731" s="17">
        <v>11.04942</v>
      </c>
      <c r="AP731" s="35"/>
      <c r="AQ731" s="35"/>
      <c r="AR731" s="35"/>
      <c r="AS731" s="35"/>
    </row>
    <row r="732" spans="2:45" x14ac:dyDescent="0.2">
      <c r="B732" s="2">
        <v>43480.286516203705</v>
      </c>
      <c r="C732" s="5">
        <f t="shared" si="78"/>
        <v>12.833332820000031</v>
      </c>
      <c r="D732" s="14">
        <v>5.6052679999999997</v>
      </c>
      <c r="E732" s="14">
        <v>5.9889939999999999</v>
      </c>
      <c r="F732" s="14">
        <v>4.5651359999999999</v>
      </c>
      <c r="G732" s="14">
        <v>3.7699910000000001</v>
      </c>
      <c r="H732" s="15">
        <v>5.6920390000000003</v>
      </c>
      <c r="I732" s="15">
        <v>3.4401679999999999</v>
      </c>
      <c r="J732" s="15">
        <v>13.052910000000001</v>
      </c>
      <c r="K732" s="15">
        <v>5.8524960000000004</v>
      </c>
      <c r="L732" s="16">
        <v>4.8648090000000002</v>
      </c>
      <c r="M732" s="16">
        <v>7.4441230000000003</v>
      </c>
      <c r="N732" s="16">
        <v>7.8889069999999997</v>
      </c>
      <c r="O732" s="16">
        <v>4.2611879999999998</v>
      </c>
      <c r="P732" s="17">
        <v>8.4473970000000005</v>
      </c>
      <c r="Q732" s="17">
        <v>9.5616450000000004</v>
      </c>
      <c r="R732" s="17">
        <v>5.3878839999999997</v>
      </c>
      <c r="S732" s="17">
        <v>11.05828</v>
      </c>
      <c r="AP732" s="35"/>
      <c r="AQ732" s="35"/>
      <c r="AR732" s="35"/>
      <c r="AS732" s="35"/>
    </row>
    <row r="733" spans="2:45" x14ac:dyDescent="0.2">
      <c r="B733" s="2">
        <v>43480.289988425924</v>
      </c>
      <c r="C733" s="5">
        <f t="shared" si="78"/>
        <v>12.916666150000031</v>
      </c>
      <c r="D733" s="14">
        <v>5.6069849999999999</v>
      </c>
      <c r="E733" s="14">
        <v>5.9889939999999999</v>
      </c>
      <c r="F733" s="14">
        <v>4.5651359999999999</v>
      </c>
      <c r="G733" s="14">
        <v>3.771636</v>
      </c>
      <c r="H733" s="15">
        <v>5.6943279999999996</v>
      </c>
      <c r="I733" s="15">
        <v>3.4401679999999999</v>
      </c>
      <c r="J733" s="15">
        <v>13.052910000000001</v>
      </c>
      <c r="K733" s="15">
        <v>5.8524960000000004</v>
      </c>
      <c r="L733" s="16">
        <v>4.8648090000000002</v>
      </c>
      <c r="M733" s="16">
        <v>7.4514189999999996</v>
      </c>
      <c r="N733" s="16">
        <v>7.8889069999999997</v>
      </c>
      <c r="O733" s="16">
        <v>4.2611879999999998</v>
      </c>
      <c r="P733" s="17">
        <v>8.4502579999999998</v>
      </c>
      <c r="Q733" s="17">
        <v>9.5616450000000004</v>
      </c>
      <c r="R733" s="17">
        <v>5.3878839999999997</v>
      </c>
      <c r="S733" s="17">
        <v>11.06715</v>
      </c>
      <c r="AP733" s="35"/>
      <c r="AQ733" s="35"/>
      <c r="AR733" s="35"/>
      <c r="AS733" s="35"/>
    </row>
    <row r="734" spans="2:45" x14ac:dyDescent="0.2">
      <c r="B734" s="2">
        <v>43480.29346064815</v>
      </c>
      <c r="C734" s="5">
        <f t="shared" si="78"/>
        <v>12.999999480000032</v>
      </c>
      <c r="D734" s="14">
        <v>5.6087009999999999</v>
      </c>
      <c r="E734" s="14">
        <v>5.9889939999999999</v>
      </c>
      <c r="F734" s="14">
        <v>4.5651359999999999</v>
      </c>
      <c r="G734" s="14">
        <v>3.7732809999999999</v>
      </c>
      <c r="H734" s="15">
        <v>5.6966169999999998</v>
      </c>
      <c r="I734" s="15">
        <v>3.4401679999999999</v>
      </c>
      <c r="J734" s="15">
        <v>13.052910000000001</v>
      </c>
      <c r="K734" s="15">
        <v>5.8524960000000004</v>
      </c>
      <c r="L734" s="16">
        <v>4.8648090000000002</v>
      </c>
      <c r="M734" s="16">
        <v>7.4587139999999996</v>
      </c>
      <c r="N734" s="16">
        <v>7.8889069999999997</v>
      </c>
      <c r="O734" s="16">
        <v>4.2611879999999998</v>
      </c>
      <c r="P734" s="17">
        <v>8.4531189999999992</v>
      </c>
      <c r="Q734" s="17">
        <v>9.5629209999999993</v>
      </c>
      <c r="R734" s="17">
        <v>5.3878839999999997</v>
      </c>
      <c r="S734" s="17">
        <v>11.07602</v>
      </c>
      <c r="V734" s="25">
        <v>13</v>
      </c>
      <c r="W734">
        <f>AVERAGE(D723:D734)</f>
        <v>5.5996279166666669</v>
      </c>
      <c r="X734">
        <f t="shared" ref="X734:AL734" si="81">AVERAGE(E723:E734)</f>
        <v>5.988993999999999</v>
      </c>
      <c r="Y734">
        <f t="shared" si="81"/>
        <v>4.5651360000000007</v>
      </c>
      <c r="Z734">
        <f t="shared" si="81"/>
        <v>3.7642330833333335</v>
      </c>
      <c r="AA734">
        <f t="shared" si="81"/>
        <v>5.6840285833333333</v>
      </c>
      <c r="AB734">
        <f t="shared" si="81"/>
        <v>3.4397365833333331</v>
      </c>
      <c r="AC734">
        <f t="shared" si="81"/>
        <v>13.052909999999999</v>
      </c>
      <c r="AD734">
        <f t="shared" si="81"/>
        <v>5.8524960000000013</v>
      </c>
      <c r="AE734">
        <f t="shared" si="81"/>
        <v>4.8648090000000002</v>
      </c>
      <c r="AF734">
        <f t="shared" si="81"/>
        <v>7.4185885833333343</v>
      </c>
      <c r="AG734">
        <f t="shared" si="81"/>
        <v>7.8833952500000022</v>
      </c>
      <c r="AH734">
        <f t="shared" si="81"/>
        <v>4.2611879999999989</v>
      </c>
      <c r="AI734">
        <f t="shared" si="81"/>
        <v>8.4373834999999993</v>
      </c>
      <c r="AJ734">
        <f t="shared" si="81"/>
        <v>9.5335555833333334</v>
      </c>
      <c r="AK734">
        <f t="shared" si="81"/>
        <v>5.3878839999999997</v>
      </c>
      <c r="AL734">
        <f t="shared" si="81"/>
        <v>11.032807499999999</v>
      </c>
      <c r="AO734" s="25">
        <v>13</v>
      </c>
      <c r="AP734" s="35">
        <f>AVERAGE(W734:Z734)</f>
        <v>4.9794977500000002</v>
      </c>
      <c r="AQ734" s="35">
        <f>AVERAGE(AA734:AD734)</f>
        <v>7.007292791666667</v>
      </c>
      <c r="AR734" s="35">
        <f>AVERAGE(AE734:AH734)</f>
        <v>6.1069952083333341</v>
      </c>
      <c r="AS734" s="35">
        <f>AVERAGE(AI734:AL734)</f>
        <v>8.5979076458333328</v>
      </c>
    </row>
    <row r="735" spans="2:45" x14ac:dyDescent="0.2">
      <c r="B735" s="2">
        <v>43480.296932870369</v>
      </c>
      <c r="C735" s="5">
        <f t="shared" si="78"/>
        <v>13.083332810000032</v>
      </c>
      <c r="D735" s="14">
        <v>5.6104180000000001</v>
      </c>
      <c r="E735" s="14">
        <v>5.9889939999999999</v>
      </c>
      <c r="F735" s="14">
        <v>4.5651359999999999</v>
      </c>
      <c r="G735" s="14">
        <v>3.7749259999999998</v>
      </c>
      <c r="H735" s="15">
        <v>5.698906</v>
      </c>
      <c r="I735" s="15">
        <v>3.4405570000000001</v>
      </c>
      <c r="J735" s="15">
        <v>13.052910000000001</v>
      </c>
      <c r="K735" s="15">
        <v>5.8524960000000004</v>
      </c>
      <c r="L735" s="16">
        <v>4.8648090000000002</v>
      </c>
      <c r="M735" s="16">
        <v>7.4660099999999998</v>
      </c>
      <c r="N735" s="16">
        <v>7.8889069999999997</v>
      </c>
      <c r="O735" s="16">
        <v>4.2611879999999998</v>
      </c>
      <c r="P735" s="17">
        <v>8.4559800000000003</v>
      </c>
      <c r="Q735" s="17">
        <v>9.5646369999999994</v>
      </c>
      <c r="R735" s="17">
        <v>5.3878839999999997</v>
      </c>
      <c r="S735" s="17">
        <v>11.08489</v>
      </c>
      <c r="AP735" s="35"/>
      <c r="AQ735" s="35"/>
      <c r="AR735" s="35"/>
      <c r="AS735" s="35"/>
    </row>
    <row r="736" spans="2:45" x14ac:dyDescent="0.2">
      <c r="B736" s="2">
        <v>43480.300405092596</v>
      </c>
      <c r="C736" s="5">
        <f t="shared" si="78"/>
        <v>13.166666140000032</v>
      </c>
      <c r="D736" s="14">
        <v>5.6112989999999998</v>
      </c>
      <c r="E736" s="14">
        <v>5.9889939999999999</v>
      </c>
      <c r="F736" s="14">
        <v>4.5651359999999999</v>
      </c>
      <c r="G736" s="14">
        <v>3.7765710000000001</v>
      </c>
      <c r="H736" s="15">
        <v>5.7012369999999999</v>
      </c>
      <c r="I736" s="15">
        <v>3.4414159999999998</v>
      </c>
      <c r="J736" s="15">
        <v>13.052910000000001</v>
      </c>
      <c r="K736" s="15">
        <v>5.8524960000000004</v>
      </c>
      <c r="L736" s="16">
        <v>4.8648090000000002</v>
      </c>
      <c r="M736" s="16">
        <v>7.473306</v>
      </c>
      <c r="N736" s="16">
        <v>7.8889069999999997</v>
      </c>
      <c r="O736" s="16">
        <v>4.2611879999999998</v>
      </c>
      <c r="P736" s="17">
        <v>8.4588409999999996</v>
      </c>
      <c r="Q736" s="17">
        <v>9.5663540000000005</v>
      </c>
      <c r="R736" s="17">
        <v>5.3878839999999997</v>
      </c>
      <c r="S736" s="17">
        <v>11.09376</v>
      </c>
      <c r="AP736" s="35"/>
      <c r="AQ736" s="35"/>
      <c r="AR736" s="35"/>
      <c r="AS736" s="35"/>
    </row>
    <row r="737" spans="2:45" x14ac:dyDescent="0.2">
      <c r="B737" s="2">
        <v>43480.303877314815</v>
      </c>
      <c r="C737" s="5">
        <f t="shared" si="78"/>
        <v>13.249999470000033</v>
      </c>
      <c r="D737" s="14">
        <v>5.6126680000000002</v>
      </c>
      <c r="E737" s="14">
        <v>5.9889939999999999</v>
      </c>
      <c r="F737" s="14">
        <v>4.5651359999999999</v>
      </c>
      <c r="G737" s="14">
        <v>3.778216</v>
      </c>
      <c r="H737" s="15">
        <v>5.7012369999999999</v>
      </c>
      <c r="I737" s="15">
        <v>3.4422739999999998</v>
      </c>
      <c r="J737" s="15">
        <v>13.052910000000001</v>
      </c>
      <c r="K737" s="15">
        <v>5.8524960000000004</v>
      </c>
      <c r="L737" s="16">
        <v>4.8648090000000002</v>
      </c>
      <c r="M737" s="16">
        <v>7.4738769999999999</v>
      </c>
      <c r="N737" s="16">
        <v>7.8889069999999997</v>
      </c>
      <c r="O737" s="16">
        <v>4.2611879999999998</v>
      </c>
      <c r="P737" s="17">
        <v>8.4617020000000007</v>
      </c>
      <c r="Q737" s="17">
        <v>9.5680700000000005</v>
      </c>
      <c r="R737" s="17">
        <v>5.3878839999999997</v>
      </c>
      <c r="S737" s="17">
        <v>11.10263</v>
      </c>
      <c r="AP737" s="35"/>
      <c r="AQ737" s="35"/>
      <c r="AR737" s="35"/>
      <c r="AS737" s="35"/>
    </row>
    <row r="738" spans="2:45" x14ac:dyDescent="0.2">
      <c r="B738" s="2">
        <v>43480.307349537034</v>
      </c>
      <c r="C738" s="5">
        <f t="shared" si="78"/>
        <v>13.333332800000033</v>
      </c>
      <c r="D738" s="14">
        <v>5.613518</v>
      </c>
      <c r="E738" s="14">
        <v>5.9889939999999999</v>
      </c>
      <c r="F738" s="14">
        <v>4.5651359999999999</v>
      </c>
      <c r="G738" s="14">
        <v>3.7798609999999999</v>
      </c>
      <c r="H738" s="15">
        <v>5.7012369999999999</v>
      </c>
      <c r="I738" s="15">
        <v>3.4431319999999999</v>
      </c>
      <c r="J738" s="15">
        <v>13.058339999999999</v>
      </c>
      <c r="K738" s="15">
        <v>5.8524960000000004</v>
      </c>
      <c r="L738" s="16">
        <v>4.8648090000000002</v>
      </c>
      <c r="M738" s="16">
        <v>7.4738769999999999</v>
      </c>
      <c r="N738" s="16">
        <v>7.8889069999999997</v>
      </c>
      <c r="O738" s="16">
        <v>4.2611879999999998</v>
      </c>
      <c r="P738" s="17">
        <v>8.4645630000000001</v>
      </c>
      <c r="Q738" s="17">
        <v>9.5697869999999998</v>
      </c>
      <c r="R738" s="17">
        <v>5.3878839999999997</v>
      </c>
      <c r="S738" s="17">
        <v>11.111499999999999</v>
      </c>
      <c r="AP738" s="35"/>
      <c r="AQ738" s="35"/>
      <c r="AR738" s="35"/>
      <c r="AS738" s="35"/>
    </row>
    <row r="739" spans="2:45" x14ac:dyDescent="0.2">
      <c r="B739" s="2">
        <v>43480.31082175926</v>
      </c>
      <c r="C739" s="5">
        <f t="shared" si="78"/>
        <v>13.416666130000033</v>
      </c>
      <c r="D739" s="14">
        <v>5.613518</v>
      </c>
      <c r="E739" s="14">
        <v>5.9889939999999999</v>
      </c>
      <c r="F739" s="14">
        <v>4.5651359999999999</v>
      </c>
      <c r="G739" s="14">
        <v>3.781507</v>
      </c>
      <c r="H739" s="15">
        <v>5.7012369999999999</v>
      </c>
      <c r="I739" s="15">
        <v>3.443991</v>
      </c>
      <c r="J739" s="15">
        <v>13.06578</v>
      </c>
      <c r="K739" s="15">
        <v>5.8524960000000004</v>
      </c>
      <c r="L739" s="16">
        <v>4.8648090000000002</v>
      </c>
      <c r="M739" s="16">
        <v>7.4847440000000001</v>
      </c>
      <c r="N739" s="16">
        <v>7.8889069999999997</v>
      </c>
      <c r="O739" s="16">
        <v>4.2611879999999998</v>
      </c>
      <c r="P739" s="17">
        <v>8.4674239999999994</v>
      </c>
      <c r="Q739" s="17">
        <v>9.5715039999999991</v>
      </c>
      <c r="R739" s="17">
        <v>5.3878839999999997</v>
      </c>
      <c r="S739" s="17">
        <v>11.120369999999999</v>
      </c>
      <c r="AP739" s="35"/>
      <c r="AQ739" s="35"/>
      <c r="AR739" s="35"/>
      <c r="AS739" s="35"/>
    </row>
    <row r="740" spans="2:45" x14ac:dyDescent="0.2">
      <c r="B740" s="2">
        <v>43480.314293981479</v>
      </c>
      <c r="C740" s="5">
        <f t="shared" si="78"/>
        <v>13.499999460000033</v>
      </c>
      <c r="D740" s="14">
        <v>5.6167680000000004</v>
      </c>
      <c r="E740" s="14">
        <v>5.9889939999999999</v>
      </c>
      <c r="F740" s="14">
        <v>4.5651359999999999</v>
      </c>
      <c r="G740" s="14">
        <v>3.7831519999999998</v>
      </c>
      <c r="H740" s="15">
        <v>5.7012369999999999</v>
      </c>
      <c r="I740" s="15">
        <v>3.444849</v>
      </c>
      <c r="J740" s="15">
        <v>13.073219999999999</v>
      </c>
      <c r="K740" s="15">
        <v>5.8524960000000004</v>
      </c>
      <c r="L740" s="16">
        <v>4.8648090000000002</v>
      </c>
      <c r="M740" s="16">
        <v>7.5156429999999999</v>
      </c>
      <c r="N740" s="16">
        <v>7.8889069999999997</v>
      </c>
      <c r="O740" s="16">
        <v>4.2611879999999998</v>
      </c>
      <c r="P740" s="17">
        <v>8.4702850000000005</v>
      </c>
      <c r="Q740" s="17">
        <v>9.5732199999999992</v>
      </c>
      <c r="R740" s="17">
        <v>5.3878839999999997</v>
      </c>
      <c r="S740" s="17">
        <v>11.129239999999999</v>
      </c>
      <c r="AP740" s="35"/>
      <c r="AQ740" s="35"/>
      <c r="AR740" s="35"/>
      <c r="AS740" s="35"/>
    </row>
    <row r="741" spans="2:45" x14ac:dyDescent="0.2">
      <c r="B741" s="2">
        <v>43480.317766203705</v>
      </c>
      <c r="C741" s="5">
        <f t="shared" si="78"/>
        <v>13.583332790000034</v>
      </c>
      <c r="D741" s="14">
        <v>5.621346</v>
      </c>
      <c r="E741" s="14">
        <v>5.9889939999999999</v>
      </c>
      <c r="F741" s="14">
        <v>4.5651359999999999</v>
      </c>
      <c r="G741" s="14">
        <v>3.7847970000000002</v>
      </c>
      <c r="H741" s="15">
        <v>5.7012369999999999</v>
      </c>
      <c r="I741" s="15">
        <v>3.4457070000000001</v>
      </c>
      <c r="J741" s="15">
        <v>13.08066</v>
      </c>
      <c r="K741" s="15">
        <v>5.8524960000000004</v>
      </c>
      <c r="L741" s="16">
        <v>4.8648090000000002</v>
      </c>
      <c r="M741" s="16">
        <v>7.5465419999999996</v>
      </c>
      <c r="N741" s="16">
        <v>7.8889069999999997</v>
      </c>
      <c r="O741" s="16">
        <v>4.2611879999999998</v>
      </c>
      <c r="P741" s="17">
        <v>8.4731459999999998</v>
      </c>
      <c r="Q741" s="17">
        <v>9.5749370000000003</v>
      </c>
      <c r="R741" s="17">
        <v>5.3878839999999997</v>
      </c>
      <c r="S741" s="17">
        <v>11.138109999999999</v>
      </c>
      <c r="AP741" s="35"/>
      <c r="AQ741" s="35"/>
      <c r="AR741" s="35"/>
      <c r="AS741" s="35"/>
    </row>
    <row r="742" spans="2:45" x14ac:dyDescent="0.2">
      <c r="B742" s="2">
        <v>43480.321238425924</v>
      </c>
      <c r="C742" s="5">
        <f t="shared" si="78"/>
        <v>13.666666120000034</v>
      </c>
      <c r="D742" s="14">
        <v>5.6259230000000002</v>
      </c>
      <c r="E742" s="14">
        <v>5.9889939999999999</v>
      </c>
      <c r="F742" s="14">
        <v>4.5651359999999999</v>
      </c>
      <c r="G742" s="14">
        <v>3.7864420000000001</v>
      </c>
      <c r="H742" s="15">
        <v>5.7012369999999999</v>
      </c>
      <c r="I742" s="15">
        <v>3.4465659999999998</v>
      </c>
      <c r="J742" s="15">
        <v>13.088089999999999</v>
      </c>
      <c r="K742" s="15">
        <v>5.8524960000000004</v>
      </c>
      <c r="L742" s="16">
        <v>4.8648090000000002</v>
      </c>
      <c r="M742" s="16">
        <v>7.5774410000000003</v>
      </c>
      <c r="N742" s="16">
        <v>7.8889069999999997</v>
      </c>
      <c r="O742" s="16">
        <v>4.2611879999999998</v>
      </c>
      <c r="P742" s="17">
        <v>8.4760069999999992</v>
      </c>
      <c r="Q742" s="17">
        <v>9.5766530000000003</v>
      </c>
      <c r="R742" s="17">
        <v>5.3878839999999997</v>
      </c>
      <c r="S742" s="17">
        <v>11.146979999999999</v>
      </c>
      <c r="AP742" s="35"/>
      <c r="AQ742" s="35"/>
      <c r="AR742" s="35"/>
      <c r="AS742" s="35"/>
    </row>
    <row r="743" spans="2:45" x14ac:dyDescent="0.2">
      <c r="B743" s="2">
        <v>43480.32471064815</v>
      </c>
      <c r="C743" s="5">
        <f t="shared" si="78"/>
        <v>13.749999450000034</v>
      </c>
      <c r="D743" s="14">
        <v>5.6305009999999998</v>
      </c>
      <c r="E743" s="14">
        <v>5.9889939999999999</v>
      </c>
      <c r="F743" s="14">
        <v>4.5651359999999999</v>
      </c>
      <c r="G743" s="14">
        <v>3.788087</v>
      </c>
      <c r="H743" s="15">
        <v>5.7012369999999999</v>
      </c>
      <c r="I743" s="15">
        <v>3.4474239999999998</v>
      </c>
      <c r="J743" s="15">
        <v>13.09553</v>
      </c>
      <c r="K743" s="15">
        <v>5.8524960000000004</v>
      </c>
      <c r="L743" s="16">
        <v>4.8648090000000002</v>
      </c>
      <c r="M743" s="16">
        <v>7.6083400000000001</v>
      </c>
      <c r="N743" s="16">
        <v>7.8889069999999997</v>
      </c>
      <c r="O743" s="16">
        <v>4.2611879999999998</v>
      </c>
      <c r="P743" s="17">
        <v>8.4788680000000003</v>
      </c>
      <c r="Q743" s="17">
        <v>9.5783699999999996</v>
      </c>
      <c r="R743" s="17">
        <v>5.3878839999999997</v>
      </c>
      <c r="S743" s="17">
        <v>11.155849999999999</v>
      </c>
      <c r="AP743" s="35"/>
      <c r="AQ743" s="35"/>
      <c r="AR743" s="35"/>
      <c r="AS743" s="35"/>
    </row>
    <row r="744" spans="2:45" x14ac:dyDescent="0.2">
      <c r="B744" s="2">
        <v>43480.328182870369</v>
      </c>
      <c r="C744" s="5">
        <f t="shared" si="78"/>
        <v>13.833332780000035</v>
      </c>
      <c r="D744" s="14">
        <v>5.635078</v>
      </c>
      <c r="E744" s="14">
        <v>5.9889939999999999</v>
      </c>
      <c r="F744" s="14">
        <v>4.5651359999999999</v>
      </c>
      <c r="G744" s="14">
        <v>3.7897319999999999</v>
      </c>
      <c r="H744" s="15">
        <v>5.7012369999999999</v>
      </c>
      <c r="I744" s="15">
        <v>3.4482819999999998</v>
      </c>
      <c r="J744" s="15">
        <v>13.102969999999999</v>
      </c>
      <c r="K744" s="15">
        <v>5.8524960000000004</v>
      </c>
      <c r="L744" s="16">
        <v>4.8648090000000002</v>
      </c>
      <c r="M744" s="16">
        <v>7.6392389999999999</v>
      </c>
      <c r="N744" s="16">
        <v>7.8889069999999997</v>
      </c>
      <c r="O744" s="16">
        <v>4.2611879999999998</v>
      </c>
      <c r="P744" s="17">
        <v>8.4817300000000007</v>
      </c>
      <c r="Q744" s="17">
        <v>9.5800870000000007</v>
      </c>
      <c r="R744" s="17">
        <v>5.3878839999999997</v>
      </c>
      <c r="S744" s="17">
        <v>11.164709999999999</v>
      </c>
      <c r="AP744" s="35"/>
      <c r="AQ744" s="35"/>
      <c r="AR744" s="35"/>
      <c r="AS744" s="35"/>
    </row>
    <row r="745" spans="2:45" x14ac:dyDescent="0.2">
      <c r="B745" s="2">
        <v>43480.331655092596</v>
      </c>
      <c r="C745" s="5">
        <f t="shared" si="78"/>
        <v>13.916666110000035</v>
      </c>
      <c r="D745" s="14">
        <v>5.6396559999999996</v>
      </c>
      <c r="E745" s="14">
        <v>6.0129999999999999</v>
      </c>
      <c r="F745" s="14">
        <v>4.5651359999999999</v>
      </c>
      <c r="G745" s="14">
        <v>3.7913770000000002</v>
      </c>
      <c r="H745" s="15">
        <v>5.7012369999999999</v>
      </c>
      <c r="I745" s="15">
        <v>3.449141</v>
      </c>
      <c r="J745" s="15">
        <v>13.11041</v>
      </c>
      <c r="K745" s="15">
        <v>5.8524960000000004</v>
      </c>
      <c r="L745" s="16">
        <v>4.8648090000000002</v>
      </c>
      <c r="M745" s="16">
        <v>7.6701379999999997</v>
      </c>
      <c r="N745" s="16">
        <v>7.8889069999999997</v>
      </c>
      <c r="O745" s="16">
        <v>4.2611879999999998</v>
      </c>
      <c r="P745" s="17">
        <v>8.484591</v>
      </c>
      <c r="Q745" s="17">
        <v>9.5818030000000007</v>
      </c>
      <c r="R745" s="17">
        <v>5.3878839999999997</v>
      </c>
      <c r="S745" s="17">
        <v>11.173579999999999</v>
      </c>
      <c r="AP745" s="35"/>
      <c r="AQ745" s="35"/>
      <c r="AR745" s="35"/>
      <c r="AS745" s="35"/>
    </row>
    <row r="746" spans="2:45" x14ac:dyDescent="0.2">
      <c r="B746" s="2">
        <v>43480.335127314815</v>
      </c>
      <c r="C746" s="5">
        <f t="shared" si="78"/>
        <v>13.999999440000035</v>
      </c>
      <c r="D746" s="14">
        <v>5.644234</v>
      </c>
      <c r="E746" s="14">
        <v>6.0440420000000001</v>
      </c>
      <c r="F746" s="14">
        <v>4.5651359999999999</v>
      </c>
      <c r="G746" s="14">
        <v>3.7930220000000001</v>
      </c>
      <c r="H746" s="15">
        <v>5.7012369999999999</v>
      </c>
      <c r="I746" s="15">
        <v>3.449141</v>
      </c>
      <c r="J746" s="15">
        <v>13.117850000000001</v>
      </c>
      <c r="K746" s="15">
        <v>5.8524960000000004</v>
      </c>
      <c r="L746" s="16">
        <v>4.8648090000000002</v>
      </c>
      <c r="M746" s="16">
        <v>7.7010370000000004</v>
      </c>
      <c r="N746" s="16">
        <v>7.8889069999999997</v>
      </c>
      <c r="O746" s="16">
        <v>4.2611879999999998</v>
      </c>
      <c r="P746" s="17">
        <v>8.4874519999999993</v>
      </c>
      <c r="Q746" s="17">
        <v>9.58352</v>
      </c>
      <c r="R746" s="17">
        <v>5.3878839999999997</v>
      </c>
      <c r="S746" s="17">
        <v>11.182449999999999</v>
      </c>
      <c r="V746" s="25">
        <v>14</v>
      </c>
      <c r="W746">
        <f>AVERAGE(D735:D746)</f>
        <v>5.6229105833333337</v>
      </c>
      <c r="X746">
        <f t="shared" ref="X746:AL746" si="82">AVERAGE(E735:E746)</f>
        <v>5.9955818333333326</v>
      </c>
      <c r="Y746">
        <f t="shared" si="82"/>
        <v>4.5651360000000007</v>
      </c>
      <c r="Z746">
        <f t="shared" si="82"/>
        <v>3.7839741666666669</v>
      </c>
      <c r="AA746">
        <f t="shared" si="82"/>
        <v>5.7010427499999992</v>
      </c>
      <c r="AB746">
        <f t="shared" si="82"/>
        <v>3.4452066666666661</v>
      </c>
      <c r="AC746">
        <f t="shared" si="82"/>
        <v>13.079298333333334</v>
      </c>
      <c r="AD746">
        <f t="shared" si="82"/>
        <v>5.8524960000000013</v>
      </c>
      <c r="AE746">
        <f t="shared" si="82"/>
        <v>4.8648090000000002</v>
      </c>
      <c r="AF746">
        <f t="shared" si="82"/>
        <v>7.5525161666666669</v>
      </c>
      <c r="AG746">
        <f t="shared" si="82"/>
        <v>7.8889070000000023</v>
      </c>
      <c r="AH746">
        <f t="shared" si="82"/>
        <v>4.2611879999999989</v>
      </c>
      <c r="AI746">
        <f t="shared" si="82"/>
        <v>8.4717157499999995</v>
      </c>
      <c r="AJ746">
        <f t="shared" si="82"/>
        <v>9.5740784999999988</v>
      </c>
      <c r="AK746">
        <f t="shared" si="82"/>
        <v>5.3878839999999997</v>
      </c>
      <c r="AL746">
        <f t="shared" si="82"/>
        <v>11.133672499999998</v>
      </c>
      <c r="AO746" s="25">
        <v>14</v>
      </c>
      <c r="AP746" s="35">
        <f>AVERAGE(W746:Z746)</f>
        <v>4.9919006458333328</v>
      </c>
      <c r="AQ746" s="35">
        <f>AVERAGE(AA746:AD746)</f>
        <v>7.0195109374999998</v>
      </c>
      <c r="AR746" s="35">
        <f>AVERAGE(AE746:AH746)</f>
        <v>6.141855041666668</v>
      </c>
      <c r="AS746" s="35">
        <f>AVERAGE(AI746:AL746)</f>
        <v>8.6418376874999989</v>
      </c>
    </row>
    <row r="747" spans="2:45" x14ac:dyDescent="0.2">
      <c r="B747" s="2">
        <v>43480.338599537034</v>
      </c>
      <c r="C747" s="5">
        <f t="shared" si="78"/>
        <v>14.083332770000036</v>
      </c>
      <c r="D747" s="14">
        <v>5.6488110000000002</v>
      </c>
      <c r="E747" s="14">
        <v>6.0750840000000004</v>
      </c>
      <c r="F747" s="14">
        <v>4.5651359999999999</v>
      </c>
      <c r="G747" s="14">
        <v>3.794667</v>
      </c>
      <c r="H747" s="15">
        <v>5.7012369999999999</v>
      </c>
      <c r="I747" s="15">
        <v>3.449141</v>
      </c>
      <c r="J747" s="15">
        <v>13.12529</v>
      </c>
      <c r="K747" s="15">
        <v>5.8524960000000004</v>
      </c>
      <c r="L747" s="16">
        <v>4.8648090000000002</v>
      </c>
      <c r="M747" s="16">
        <v>7.7319360000000001</v>
      </c>
      <c r="N747" s="16">
        <v>7.8889069999999997</v>
      </c>
      <c r="O747" s="16">
        <v>4.2611879999999998</v>
      </c>
      <c r="P747" s="17">
        <v>8.4903130000000004</v>
      </c>
      <c r="Q747" s="17">
        <v>9.5852369999999993</v>
      </c>
      <c r="R747" s="17">
        <v>5.3878839999999997</v>
      </c>
      <c r="S747" s="17">
        <v>11.191319999999999</v>
      </c>
      <c r="AP747" s="35"/>
      <c r="AQ747" s="35"/>
      <c r="AR747" s="35"/>
      <c r="AS747" s="35"/>
    </row>
    <row r="748" spans="2:45" x14ac:dyDescent="0.2">
      <c r="B748" s="2">
        <v>43480.34207175926</v>
      </c>
      <c r="C748" s="5">
        <f t="shared" si="78"/>
        <v>14.166666100000036</v>
      </c>
      <c r="D748" s="14">
        <v>5.6533889999999998</v>
      </c>
      <c r="E748" s="14">
        <v>6.1061259999999997</v>
      </c>
      <c r="F748" s="14">
        <v>4.5651359999999999</v>
      </c>
      <c r="G748" s="14">
        <v>3.7963119999999999</v>
      </c>
      <c r="H748" s="15">
        <v>5.7034649999999996</v>
      </c>
      <c r="I748" s="15">
        <v>3.449141</v>
      </c>
      <c r="J748" s="15">
        <v>13.13062</v>
      </c>
      <c r="K748" s="15">
        <v>5.8524960000000004</v>
      </c>
      <c r="L748" s="16">
        <v>4.8648090000000002</v>
      </c>
      <c r="M748" s="16">
        <v>7.7628349999999999</v>
      </c>
      <c r="N748" s="16">
        <v>7.8889069999999997</v>
      </c>
      <c r="O748" s="16">
        <v>4.2611879999999998</v>
      </c>
      <c r="P748" s="17">
        <v>8.4931739999999998</v>
      </c>
      <c r="Q748" s="17">
        <v>9.5869529999999994</v>
      </c>
      <c r="R748" s="17">
        <v>5.3878839999999997</v>
      </c>
      <c r="S748" s="17">
        <v>11.200189999999999</v>
      </c>
      <c r="AP748" s="35"/>
      <c r="AQ748" s="35"/>
      <c r="AR748" s="35"/>
      <c r="AS748" s="35"/>
    </row>
    <row r="749" spans="2:45" x14ac:dyDescent="0.2">
      <c r="B749" s="2">
        <v>43480.345543981479</v>
      </c>
      <c r="C749" s="5">
        <f t="shared" si="78"/>
        <v>14.249999430000036</v>
      </c>
      <c r="D749" s="14">
        <v>5.6557050000000002</v>
      </c>
      <c r="E749" s="14">
        <v>6.137168</v>
      </c>
      <c r="F749" s="14">
        <v>4.5651359999999999</v>
      </c>
      <c r="G749" s="14">
        <v>3.7979569999999998</v>
      </c>
      <c r="H749" s="15">
        <v>5.7034649999999996</v>
      </c>
      <c r="I749" s="15">
        <v>3.4501599999999999</v>
      </c>
      <c r="J749" s="15">
        <v>13.13123</v>
      </c>
      <c r="K749" s="15">
        <v>5.8524960000000004</v>
      </c>
      <c r="L749" s="16">
        <v>4.8648090000000002</v>
      </c>
      <c r="M749" s="16">
        <v>7.7937339999999997</v>
      </c>
      <c r="N749" s="16">
        <v>7.8889069999999997</v>
      </c>
      <c r="O749" s="16">
        <v>4.2611879999999998</v>
      </c>
      <c r="P749" s="17">
        <v>8.4960349999999991</v>
      </c>
      <c r="Q749" s="17">
        <v>9.5886700000000005</v>
      </c>
      <c r="R749" s="17">
        <v>5.3878839999999997</v>
      </c>
      <c r="S749" s="17">
        <v>11.209059999999999</v>
      </c>
      <c r="AP749" s="35"/>
      <c r="AQ749" s="35"/>
      <c r="AR749" s="35"/>
      <c r="AS749" s="35"/>
    </row>
    <row r="750" spans="2:45" x14ac:dyDescent="0.2">
      <c r="B750" s="2">
        <v>43480.349016203705</v>
      </c>
      <c r="C750" s="5">
        <f t="shared" si="78"/>
        <v>14.333332760000037</v>
      </c>
      <c r="D750" s="14">
        <v>5.6627140000000002</v>
      </c>
      <c r="E750" s="14">
        <v>6.1682100000000002</v>
      </c>
      <c r="F750" s="14">
        <v>4.5651359999999999</v>
      </c>
      <c r="G750" s="14">
        <v>3.7996029999999998</v>
      </c>
      <c r="H750" s="15">
        <v>5.7065419999999998</v>
      </c>
      <c r="I750" s="15">
        <v>3.4515189999999998</v>
      </c>
      <c r="J750" s="15">
        <v>13.133240000000001</v>
      </c>
      <c r="K750" s="15">
        <v>5.8524960000000004</v>
      </c>
      <c r="L750" s="16">
        <v>4.8648090000000002</v>
      </c>
      <c r="M750" s="16">
        <v>7.8246330000000004</v>
      </c>
      <c r="N750" s="16">
        <v>7.8889069999999997</v>
      </c>
      <c r="O750" s="16">
        <v>4.2611879999999998</v>
      </c>
      <c r="P750" s="17">
        <v>8.4988960000000002</v>
      </c>
      <c r="Q750" s="17">
        <v>9.5903860000000005</v>
      </c>
      <c r="R750" s="17">
        <v>5.3878839999999997</v>
      </c>
      <c r="S750" s="17">
        <v>11.217930000000001</v>
      </c>
      <c r="AP750" s="35"/>
      <c r="AQ750" s="35"/>
      <c r="AR750" s="35"/>
      <c r="AS750" s="35"/>
    </row>
    <row r="751" spans="2:45" x14ac:dyDescent="0.2">
      <c r="B751" s="2">
        <v>43480.352488425924</v>
      </c>
      <c r="C751" s="5">
        <f t="shared" si="78"/>
        <v>14.416666090000037</v>
      </c>
      <c r="D751" s="14">
        <v>5.6697240000000004</v>
      </c>
      <c r="E751" s="14">
        <v>6.1992520000000004</v>
      </c>
      <c r="F751" s="14">
        <v>4.567164</v>
      </c>
      <c r="G751" s="14">
        <v>3.8012480000000002</v>
      </c>
      <c r="H751" s="15">
        <v>5.7098319999999996</v>
      </c>
      <c r="I751" s="15">
        <v>3.4528780000000001</v>
      </c>
      <c r="J751" s="15">
        <v>13.13524</v>
      </c>
      <c r="K751" s="15">
        <v>5.8524960000000004</v>
      </c>
      <c r="L751" s="16">
        <v>4.8648090000000002</v>
      </c>
      <c r="M751" s="16">
        <v>7.8555320000000002</v>
      </c>
      <c r="N751" s="16">
        <v>7.8889069999999997</v>
      </c>
      <c r="O751" s="16">
        <v>4.2611879999999998</v>
      </c>
      <c r="P751" s="17">
        <v>8.5017569999999996</v>
      </c>
      <c r="Q751" s="17">
        <v>9.5921029999999998</v>
      </c>
      <c r="R751" s="17">
        <v>5.3878839999999997</v>
      </c>
      <c r="S751" s="17">
        <v>11.226800000000001</v>
      </c>
      <c r="AP751" s="35"/>
      <c r="AQ751" s="35"/>
      <c r="AR751" s="35"/>
      <c r="AS751" s="35"/>
    </row>
    <row r="752" spans="2:45" x14ac:dyDescent="0.2">
      <c r="B752" s="2">
        <v>43480.35596064815</v>
      </c>
      <c r="C752" s="5">
        <f t="shared" si="78"/>
        <v>14.499999420000037</v>
      </c>
      <c r="D752" s="14">
        <v>5.6767329999999996</v>
      </c>
      <c r="E752" s="14">
        <v>6.2302939999999998</v>
      </c>
      <c r="F752" s="14">
        <v>4.571027</v>
      </c>
      <c r="G752" s="14">
        <v>3.8028930000000001</v>
      </c>
      <c r="H752" s="15">
        <v>5.7131220000000003</v>
      </c>
      <c r="I752" s="15">
        <v>3.454237</v>
      </c>
      <c r="J752" s="15">
        <v>13.13724</v>
      </c>
      <c r="K752" s="15">
        <v>5.8524960000000004</v>
      </c>
      <c r="L752" s="16">
        <v>4.8648090000000002</v>
      </c>
      <c r="M752" s="16">
        <v>7.886431</v>
      </c>
      <c r="N752" s="16">
        <v>7.8889069999999997</v>
      </c>
      <c r="O752" s="16">
        <v>4.2611879999999998</v>
      </c>
      <c r="P752" s="17">
        <v>8.5030059999999992</v>
      </c>
      <c r="Q752" s="17">
        <v>9.5938199999999991</v>
      </c>
      <c r="R752" s="17">
        <v>5.3878839999999997</v>
      </c>
      <c r="S752" s="17">
        <v>11.235670000000001</v>
      </c>
      <c r="AP752" s="35"/>
      <c r="AQ752" s="35"/>
      <c r="AR752" s="35"/>
      <c r="AS752" s="35"/>
    </row>
    <row r="753" spans="2:45" x14ac:dyDescent="0.2">
      <c r="B753" s="2">
        <v>43480.359432870369</v>
      </c>
      <c r="C753" s="5">
        <f t="shared" si="78"/>
        <v>14.583332750000038</v>
      </c>
      <c r="D753" s="14">
        <v>5.6837429999999998</v>
      </c>
      <c r="E753" s="14">
        <v>6.261336</v>
      </c>
      <c r="F753" s="14">
        <v>4.5748889999999998</v>
      </c>
      <c r="G753" s="14">
        <v>3.804538</v>
      </c>
      <c r="H753" s="15">
        <v>5.7164130000000002</v>
      </c>
      <c r="I753" s="15">
        <v>3.4555959999999999</v>
      </c>
      <c r="J753" s="15">
        <v>13.139239999999999</v>
      </c>
      <c r="K753" s="15">
        <v>5.8524960000000004</v>
      </c>
      <c r="L753" s="16">
        <v>4.8648090000000002</v>
      </c>
      <c r="M753" s="16">
        <v>7.9173299999999998</v>
      </c>
      <c r="N753" s="16">
        <v>7.8889069999999997</v>
      </c>
      <c r="O753" s="16">
        <v>4.2611879999999998</v>
      </c>
      <c r="P753" s="17">
        <v>8.5085200000000007</v>
      </c>
      <c r="Q753" s="17">
        <v>9.5955359999999992</v>
      </c>
      <c r="R753" s="17">
        <v>5.3878839999999997</v>
      </c>
      <c r="S753" s="17">
        <v>11.244540000000001</v>
      </c>
      <c r="AP753" s="35"/>
      <c r="AQ753" s="35"/>
      <c r="AR753" s="35"/>
      <c r="AS753" s="35"/>
    </row>
    <row r="754" spans="2:45" x14ac:dyDescent="0.2">
      <c r="B754" s="2">
        <v>43480.362905092596</v>
      </c>
      <c r="C754" s="5">
        <f t="shared" si="78"/>
        <v>14.666666080000038</v>
      </c>
      <c r="D754" s="14">
        <v>5.690753</v>
      </c>
      <c r="E754" s="14">
        <v>6.2923780000000002</v>
      </c>
      <c r="F754" s="14">
        <v>4.5787519999999997</v>
      </c>
      <c r="G754" s="14">
        <v>3.8061829999999999</v>
      </c>
      <c r="H754" s="15">
        <v>5.719703</v>
      </c>
      <c r="I754" s="15">
        <v>3.4569549999999998</v>
      </c>
      <c r="J754" s="15">
        <v>13.141249999999999</v>
      </c>
      <c r="K754" s="15">
        <v>5.8524960000000004</v>
      </c>
      <c r="L754" s="16">
        <v>4.8648090000000002</v>
      </c>
      <c r="M754" s="16">
        <v>7.9482290000000004</v>
      </c>
      <c r="N754" s="16">
        <v>7.8889069999999997</v>
      </c>
      <c r="O754" s="16">
        <v>4.2611879999999998</v>
      </c>
      <c r="P754" s="17">
        <v>8.5253999999999994</v>
      </c>
      <c r="Q754" s="17">
        <v>9.5972530000000003</v>
      </c>
      <c r="R754" s="17">
        <v>5.3878839999999997</v>
      </c>
      <c r="S754" s="17">
        <v>11.253410000000001</v>
      </c>
      <c r="AP754" s="35"/>
      <c r="AQ754" s="35"/>
      <c r="AR754" s="35"/>
      <c r="AS754" s="35"/>
    </row>
    <row r="755" spans="2:45" x14ac:dyDescent="0.2">
      <c r="B755" s="2">
        <v>43480.366377314815</v>
      </c>
      <c r="C755" s="5">
        <f t="shared" si="78"/>
        <v>14.749999410000038</v>
      </c>
      <c r="D755" s="14">
        <v>5.697762</v>
      </c>
      <c r="E755" s="14">
        <v>6.3234209999999997</v>
      </c>
      <c r="F755" s="14">
        <v>4.5826140000000004</v>
      </c>
      <c r="G755" s="14">
        <v>3.8078280000000002</v>
      </c>
      <c r="H755" s="15">
        <v>5.7229929999999998</v>
      </c>
      <c r="I755" s="15">
        <v>3.4583140000000001</v>
      </c>
      <c r="J755" s="15">
        <v>13.14325</v>
      </c>
      <c r="K755" s="15">
        <v>5.8524960000000004</v>
      </c>
      <c r="L755" s="16">
        <v>4.8648090000000002</v>
      </c>
      <c r="M755" s="16">
        <v>7.9791280000000002</v>
      </c>
      <c r="N755" s="16">
        <v>7.8889069999999997</v>
      </c>
      <c r="O755" s="16">
        <v>4.2611879999999998</v>
      </c>
      <c r="P755" s="17">
        <v>8.5422799999999999</v>
      </c>
      <c r="Q755" s="17">
        <v>9.5989690000000003</v>
      </c>
      <c r="R755" s="17">
        <v>5.3878839999999997</v>
      </c>
      <c r="S755" s="17">
        <v>11.262280000000001</v>
      </c>
      <c r="AP755" s="35"/>
      <c r="AQ755" s="35"/>
      <c r="AR755" s="35"/>
      <c r="AS755" s="35"/>
    </row>
    <row r="756" spans="2:45" x14ac:dyDescent="0.2">
      <c r="B756" s="2">
        <v>43480.369849537034</v>
      </c>
      <c r="C756" s="5">
        <f t="shared" si="78"/>
        <v>14.833332740000039</v>
      </c>
      <c r="D756" s="14">
        <v>5.7047720000000002</v>
      </c>
      <c r="E756" s="14">
        <v>6.354463</v>
      </c>
      <c r="F756" s="14">
        <v>4.5864760000000002</v>
      </c>
      <c r="G756" s="14">
        <v>3.8094730000000001</v>
      </c>
      <c r="H756" s="15">
        <v>5.7262829999999996</v>
      </c>
      <c r="I756" s="15">
        <v>3.459673</v>
      </c>
      <c r="J756" s="15">
        <v>13.145250000000001</v>
      </c>
      <c r="K756" s="15">
        <v>5.8524960000000004</v>
      </c>
      <c r="L756" s="16">
        <v>4.8648090000000002</v>
      </c>
      <c r="M756" s="16">
        <v>8.0100269999999991</v>
      </c>
      <c r="N756" s="16">
        <v>7.8889069999999997</v>
      </c>
      <c r="O756" s="16">
        <v>4.2611879999999998</v>
      </c>
      <c r="P756" s="17">
        <v>8.5591600000000003</v>
      </c>
      <c r="Q756" s="17">
        <v>9.6006859999999996</v>
      </c>
      <c r="R756" s="17">
        <v>5.3878839999999997</v>
      </c>
      <c r="S756" s="17">
        <v>11.271140000000001</v>
      </c>
      <c r="AP756" s="35"/>
      <c r="AQ756" s="35"/>
      <c r="AR756" s="35"/>
      <c r="AS756" s="35"/>
    </row>
    <row r="757" spans="2:45" x14ac:dyDescent="0.2">
      <c r="B757" s="2">
        <v>43480.37332175926</v>
      </c>
      <c r="C757" s="5">
        <f t="shared" si="78"/>
        <v>14.916666070000039</v>
      </c>
      <c r="D757" s="14">
        <v>5.7117810000000002</v>
      </c>
      <c r="E757" s="14">
        <v>6.3855050000000002</v>
      </c>
      <c r="F757" s="14">
        <v>4.5903390000000002</v>
      </c>
      <c r="G757" s="14">
        <v>3.811118</v>
      </c>
      <c r="H757" s="15">
        <v>5.7295730000000002</v>
      </c>
      <c r="I757" s="15">
        <v>3.4610319999999999</v>
      </c>
      <c r="J757" s="15">
        <v>13.14725</v>
      </c>
      <c r="K757" s="15">
        <v>5.8524960000000004</v>
      </c>
      <c r="L757" s="16">
        <v>4.8648090000000002</v>
      </c>
      <c r="M757" s="16">
        <v>8.0409260000000007</v>
      </c>
      <c r="N757" s="16">
        <v>7.8889069999999997</v>
      </c>
      <c r="O757" s="16">
        <v>4.2611879999999998</v>
      </c>
      <c r="P757" s="17">
        <v>8.5760400000000008</v>
      </c>
      <c r="Q757" s="17">
        <v>9.6024030000000007</v>
      </c>
      <c r="R757" s="17">
        <v>5.3878839999999997</v>
      </c>
      <c r="S757" s="17">
        <v>11.280010000000001</v>
      </c>
      <c r="AP757" s="35"/>
      <c r="AQ757" s="35"/>
      <c r="AR757" s="35"/>
      <c r="AS757" s="35"/>
    </row>
    <row r="758" spans="2:45" x14ac:dyDescent="0.2">
      <c r="B758" s="2">
        <v>43480.376793981479</v>
      </c>
      <c r="C758" s="5">
        <f t="shared" si="78"/>
        <v>14.999999400000039</v>
      </c>
      <c r="D758" s="14">
        <v>5.7187910000000004</v>
      </c>
      <c r="E758" s="14">
        <v>6.4165469999999996</v>
      </c>
      <c r="F758" s="14">
        <v>4.594201</v>
      </c>
      <c r="G758" s="14">
        <v>3.8127629999999999</v>
      </c>
      <c r="H758" s="15">
        <v>5.732863</v>
      </c>
      <c r="I758" s="15">
        <v>3.4623910000000002</v>
      </c>
      <c r="J758" s="15">
        <v>13.14926</v>
      </c>
      <c r="K758" s="15">
        <v>5.8524960000000004</v>
      </c>
      <c r="L758" s="16">
        <v>4.8648090000000002</v>
      </c>
      <c r="M758" s="16">
        <v>8.0718250000000005</v>
      </c>
      <c r="N758" s="16">
        <v>7.8889069999999997</v>
      </c>
      <c r="O758" s="16">
        <v>4.2611879999999998</v>
      </c>
      <c r="P758" s="17">
        <v>8.5929199999999994</v>
      </c>
      <c r="Q758" s="17">
        <v>9.6041190000000007</v>
      </c>
      <c r="R758" s="17">
        <v>5.3878839999999997</v>
      </c>
      <c r="S758" s="17">
        <v>11.288880000000001</v>
      </c>
      <c r="V758" s="25">
        <v>15</v>
      </c>
      <c r="W758">
        <f>AVERAGE(D747:D758)</f>
        <v>5.6812231666666664</v>
      </c>
      <c r="X758">
        <f t="shared" ref="X758:AK758" si="83">AVERAGE(E747:E758)</f>
        <v>6.2458153333333328</v>
      </c>
      <c r="Y758">
        <f t="shared" si="83"/>
        <v>4.5755004999999995</v>
      </c>
      <c r="Z758">
        <f t="shared" si="83"/>
        <v>3.8037152499999998</v>
      </c>
      <c r="AA758">
        <f t="shared" si="83"/>
        <v>5.7154575833333334</v>
      </c>
      <c r="AB758">
        <f t="shared" si="83"/>
        <v>3.455086416666667</v>
      </c>
      <c r="AC758">
        <f t="shared" si="83"/>
        <v>13.138196666666666</v>
      </c>
      <c r="AD758">
        <f t="shared" si="83"/>
        <v>5.8524960000000013</v>
      </c>
      <c r="AE758">
        <f t="shared" si="83"/>
        <v>4.8648090000000002</v>
      </c>
      <c r="AF758">
        <f t="shared" si="83"/>
        <v>7.9018804999999999</v>
      </c>
      <c r="AG758">
        <f t="shared" si="83"/>
        <v>7.8889070000000023</v>
      </c>
      <c r="AH758">
        <f t="shared" si="83"/>
        <v>4.2611879999999989</v>
      </c>
      <c r="AI758">
        <f t="shared" si="83"/>
        <v>8.5239584166666678</v>
      </c>
      <c r="AJ758">
        <f t="shared" si="83"/>
        <v>9.5946779166666651</v>
      </c>
      <c r="AK758">
        <f t="shared" si="83"/>
        <v>5.3878839999999997</v>
      </c>
      <c r="AL758">
        <f>AVERAGE(S747:S758)</f>
        <v>11.240102500000001</v>
      </c>
      <c r="AO758" s="25">
        <v>15</v>
      </c>
      <c r="AP758" s="35">
        <f>AVERAGE(W758:Z758)</f>
        <v>5.0765635624999996</v>
      </c>
      <c r="AQ758" s="35">
        <f>AVERAGE(AA758:AD758)</f>
        <v>7.0403091666666668</v>
      </c>
      <c r="AR758" s="35">
        <f>AVERAGE(AE758:AH758)</f>
        <v>6.2291961249999996</v>
      </c>
      <c r="AS758" s="35">
        <f>AVERAGE(AI758:AL758)</f>
        <v>8.6866557083333333</v>
      </c>
    </row>
    <row r="759" spans="2:45" x14ac:dyDescent="0.2">
      <c r="B759" s="2">
        <v>43480.380266203705</v>
      </c>
      <c r="C759" s="5">
        <f t="shared" si="78"/>
        <v>15.083332730000039</v>
      </c>
      <c r="D759" s="14">
        <v>5.7257999999999996</v>
      </c>
      <c r="E759" s="14">
        <v>6.4475889999999998</v>
      </c>
      <c r="F759" s="14">
        <v>4.5980629999999998</v>
      </c>
      <c r="G759" s="14">
        <v>3.8144079999999998</v>
      </c>
      <c r="H759" s="15">
        <v>5.736154</v>
      </c>
      <c r="I759" s="15">
        <v>3.4637500000000001</v>
      </c>
      <c r="J759" s="15">
        <v>13.151260000000001</v>
      </c>
      <c r="K759" s="15">
        <v>5.8524960000000004</v>
      </c>
      <c r="L759" s="16">
        <v>4.8648090000000002</v>
      </c>
      <c r="M759" s="16">
        <v>8.0961839999999992</v>
      </c>
      <c r="N759" s="16">
        <v>7.8889069999999997</v>
      </c>
      <c r="O759" s="16">
        <v>4.2611879999999998</v>
      </c>
      <c r="P759" s="17">
        <v>8.6097999999999999</v>
      </c>
      <c r="Q759" s="17">
        <v>9.605836</v>
      </c>
      <c r="R759" s="17">
        <v>5.3895850000000003</v>
      </c>
      <c r="S759" s="17">
        <v>11.297750000000001</v>
      </c>
      <c r="AP759" s="35"/>
      <c r="AQ759" s="35"/>
      <c r="AR759" s="35"/>
      <c r="AS759" s="35"/>
    </row>
    <row r="760" spans="2:45" x14ac:dyDescent="0.2">
      <c r="B760" s="2">
        <v>43480.383738425924</v>
      </c>
      <c r="C760" s="5">
        <f t="shared" si="78"/>
        <v>15.16666606000004</v>
      </c>
      <c r="D760" s="14">
        <v>5.7328099999999997</v>
      </c>
      <c r="E760" s="14">
        <v>6.478631</v>
      </c>
      <c r="F760" s="14">
        <v>4.6019259999999997</v>
      </c>
      <c r="G760" s="14">
        <v>3.8160530000000001</v>
      </c>
      <c r="H760" s="15">
        <v>5.7394439999999998</v>
      </c>
      <c r="I760" s="15">
        <v>3.465109</v>
      </c>
      <c r="J760" s="15">
        <v>13.15326</v>
      </c>
      <c r="K760" s="15">
        <v>5.8524960000000004</v>
      </c>
      <c r="L760" s="16">
        <v>4.8648090000000002</v>
      </c>
      <c r="M760" s="16">
        <v>8.0996079999999999</v>
      </c>
      <c r="N760" s="16">
        <v>7.8889069999999997</v>
      </c>
      <c r="O760" s="16">
        <v>4.2611879999999998</v>
      </c>
      <c r="P760" s="17">
        <v>8.6266800000000003</v>
      </c>
      <c r="Q760" s="17">
        <v>9.6075529999999993</v>
      </c>
      <c r="R760" s="17">
        <v>5.3978820000000001</v>
      </c>
      <c r="S760" s="17">
        <v>11.306620000000001</v>
      </c>
      <c r="AP760" s="35"/>
      <c r="AQ760" s="35"/>
      <c r="AR760" s="35"/>
      <c r="AS760" s="35"/>
    </row>
    <row r="761" spans="2:45" x14ac:dyDescent="0.2">
      <c r="B761" s="2">
        <v>43480.38721064815</v>
      </c>
      <c r="C761" s="5">
        <f t="shared" si="78"/>
        <v>15.24999939000004</v>
      </c>
      <c r="D761" s="14">
        <v>5.7398189999999998</v>
      </c>
      <c r="E761" s="14">
        <v>6.5096730000000003</v>
      </c>
      <c r="F761" s="14">
        <v>4.6057880000000004</v>
      </c>
      <c r="G761" s="14">
        <v>3.817698</v>
      </c>
      <c r="H761" s="15">
        <v>5.7427339999999996</v>
      </c>
      <c r="I761" s="15">
        <v>3.4664679999999999</v>
      </c>
      <c r="J761" s="15">
        <v>13.15527</v>
      </c>
      <c r="K761" s="15">
        <v>5.8524960000000004</v>
      </c>
      <c r="L761" s="16">
        <v>4.8648090000000002</v>
      </c>
      <c r="M761" s="16">
        <v>8.1047580000000004</v>
      </c>
      <c r="N761" s="16">
        <v>7.8889069999999997</v>
      </c>
      <c r="O761" s="16">
        <v>4.2611879999999998</v>
      </c>
      <c r="P761" s="17">
        <v>8.6435600000000008</v>
      </c>
      <c r="Q761" s="17">
        <v>9.6092689999999994</v>
      </c>
      <c r="R761" s="17">
        <v>5.4061789999999998</v>
      </c>
      <c r="S761" s="17">
        <v>11.31549</v>
      </c>
      <c r="AP761" s="35"/>
      <c r="AQ761" s="35"/>
      <c r="AR761" s="35"/>
      <c r="AS761" s="35"/>
    </row>
    <row r="762" spans="2:45" x14ac:dyDescent="0.2">
      <c r="B762" s="2">
        <v>43480.390682870369</v>
      </c>
      <c r="C762" s="5">
        <f t="shared" si="78"/>
        <v>15.33333272000004</v>
      </c>
      <c r="D762" s="14">
        <v>5.746829</v>
      </c>
      <c r="E762" s="14">
        <v>6.5407149999999996</v>
      </c>
      <c r="F762" s="14">
        <v>4.6096510000000004</v>
      </c>
      <c r="G762" s="14">
        <v>3.8193440000000001</v>
      </c>
      <c r="H762" s="15">
        <v>5.7460240000000002</v>
      </c>
      <c r="I762" s="15">
        <v>3.4678270000000002</v>
      </c>
      <c r="J762" s="15">
        <v>13.15727</v>
      </c>
      <c r="K762" s="15">
        <v>5.8524960000000004</v>
      </c>
      <c r="L762" s="16">
        <v>4.8648090000000002</v>
      </c>
      <c r="M762" s="16">
        <v>8.1099080000000008</v>
      </c>
      <c r="N762" s="16">
        <v>7.8889069999999997</v>
      </c>
      <c r="O762" s="16">
        <v>4.2611879999999998</v>
      </c>
      <c r="P762" s="17">
        <v>8.6604399999999995</v>
      </c>
      <c r="Q762" s="17">
        <v>9.6109860000000005</v>
      </c>
      <c r="R762" s="17">
        <v>5.4144759999999996</v>
      </c>
      <c r="S762" s="17">
        <v>11.32436</v>
      </c>
      <c r="AP762" s="35"/>
      <c r="AQ762" s="35"/>
      <c r="AR762" s="35"/>
      <c r="AS762" s="35"/>
    </row>
    <row r="763" spans="2:45" x14ac:dyDescent="0.2">
      <c r="B763" s="2">
        <v>43480.394155092596</v>
      </c>
      <c r="C763" s="5">
        <f t="shared" si="78"/>
        <v>15.416666050000041</v>
      </c>
      <c r="D763" s="14">
        <v>5.753838</v>
      </c>
      <c r="E763" s="14">
        <v>6.5717569999999998</v>
      </c>
      <c r="F763" s="14">
        <v>4.6135130000000002</v>
      </c>
      <c r="G763" s="14">
        <v>3.820989</v>
      </c>
      <c r="H763" s="15">
        <v>5.749314</v>
      </c>
      <c r="I763" s="15">
        <v>3.4691860000000001</v>
      </c>
      <c r="J763" s="15">
        <v>13.159269999999999</v>
      </c>
      <c r="K763" s="15">
        <v>5.8524960000000004</v>
      </c>
      <c r="L763" s="16">
        <v>4.8648090000000002</v>
      </c>
      <c r="M763" s="16">
        <v>8.1150579999999994</v>
      </c>
      <c r="N763" s="16">
        <v>7.8889069999999997</v>
      </c>
      <c r="O763" s="16">
        <v>4.2611879999999998</v>
      </c>
      <c r="P763" s="17">
        <v>8.6715250000000008</v>
      </c>
      <c r="Q763" s="17">
        <v>9.6127020000000005</v>
      </c>
      <c r="R763" s="17">
        <v>5.4227730000000003</v>
      </c>
      <c r="S763" s="17">
        <v>11.33323</v>
      </c>
      <c r="AP763" s="35"/>
      <c r="AQ763" s="35"/>
      <c r="AR763" s="35"/>
      <c r="AS763" s="35"/>
    </row>
    <row r="764" spans="2:45" x14ac:dyDescent="0.2">
      <c r="B764" s="2">
        <v>43480.397627314815</v>
      </c>
      <c r="C764" s="5">
        <f t="shared" si="78"/>
        <v>15.499999380000041</v>
      </c>
      <c r="D764" s="14">
        <v>5.7608480000000002</v>
      </c>
      <c r="E764" s="14">
        <v>6.6027990000000001</v>
      </c>
      <c r="F764" s="14">
        <v>4.617375</v>
      </c>
      <c r="G764" s="14">
        <v>3.8226339999999999</v>
      </c>
      <c r="H764" s="15">
        <v>5.7526039999999998</v>
      </c>
      <c r="I764" s="15">
        <v>3.470545</v>
      </c>
      <c r="J764" s="15">
        <v>13.16127</v>
      </c>
      <c r="K764" s="15">
        <v>5.8524960000000004</v>
      </c>
      <c r="L764" s="16">
        <v>4.8648090000000002</v>
      </c>
      <c r="M764" s="16">
        <v>8.1202079999999999</v>
      </c>
      <c r="N764" s="16">
        <v>7.8889069999999997</v>
      </c>
      <c r="O764" s="16">
        <v>4.2611879999999998</v>
      </c>
      <c r="P764" s="17">
        <v>8.6715250000000008</v>
      </c>
      <c r="Q764" s="17">
        <v>9.6144189999999998</v>
      </c>
      <c r="R764" s="17">
        <v>5.4310700000000001</v>
      </c>
      <c r="S764" s="17">
        <v>11.3421</v>
      </c>
      <c r="AP764" s="35"/>
      <c r="AQ764" s="35"/>
      <c r="AR764" s="35"/>
      <c r="AS764" s="35"/>
    </row>
    <row r="765" spans="2:45" x14ac:dyDescent="0.2">
      <c r="B765" s="2">
        <v>43480.401099537034</v>
      </c>
      <c r="C765" s="5">
        <f t="shared" si="78"/>
        <v>15.583332710000041</v>
      </c>
      <c r="D765" s="14">
        <v>5.7678570000000002</v>
      </c>
      <c r="E765" s="14">
        <v>6.6338419999999996</v>
      </c>
      <c r="F765" s="14">
        <v>4.621238</v>
      </c>
      <c r="G765" s="14">
        <v>3.8242790000000002</v>
      </c>
      <c r="H765" s="15">
        <v>5.7558949999999998</v>
      </c>
      <c r="I765" s="15">
        <v>3.4719039999999999</v>
      </c>
      <c r="J765" s="15">
        <v>13.16328</v>
      </c>
      <c r="K765" s="15">
        <v>5.8524960000000004</v>
      </c>
      <c r="L765" s="16">
        <v>4.8648090000000002</v>
      </c>
      <c r="M765" s="16">
        <v>8.1253580000000003</v>
      </c>
      <c r="N765" s="16">
        <v>7.8889069999999997</v>
      </c>
      <c r="O765" s="16">
        <v>4.2611879999999998</v>
      </c>
      <c r="P765" s="17">
        <v>8.6715250000000008</v>
      </c>
      <c r="Q765" s="17">
        <v>9.6161359999999991</v>
      </c>
      <c r="R765" s="17">
        <v>5.4393669999999998</v>
      </c>
      <c r="S765" s="17">
        <v>11.35097</v>
      </c>
      <c r="AP765" s="35"/>
      <c r="AQ765" s="35"/>
      <c r="AR765" s="35"/>
      <c r="AS765" s="35"/>
    </row>
    <row r="766" spans="2:45" x14ac:dyDescent="0.2">
      <c r="B766" s="2">
        <v>43480.40457175926</v>
      </c>
      <c r="C766" s="5">
        <f t="shared" si="78"/>
        <v>15.666666040000042</v>
      </c>
      <c r="D766" s="14">
        <v>5.7748670000000004</v>
      </c>
      <c r="E766" s="14">
        <v>6.6648839999999998</v>
      </c>
      <c r="F766" s="14">
        <v>4.6250999999999998</v>
      </c>
      <c r="G766" s="14">
        <v>3.8259240000000001</v>
      </c>
      <c r="H766" s="15">
        <v>5.7591850000000004</v>
      </c>
      <c r="I766" s="15">
        <v>3.4732630000000002</v>
      </c>
      <c r="J766" s="15">
        <v>13.165279999999999</v>
      </c>
      <c r="K766" s="15">
        <v>5.8524960000000004</v>
      </c>
      <c r="L766" s="16">
        <v>4.8648090000000002</v>
      </c>
      <c r="M766" s="16">
        <v>8.1305069999999997</v>
      </c>
      <c r="N766" s="16">
        <v>7.8889069999999997</v>
      </c>
      <c r="O766" s="16">
        <v>4.2611879999999998</v>
      </c>
      <c r="P766" s="17">
        <v>8.6715250000000008</v>
      </c>
      <c r="Q766" s="17">
        <v>9.6178519999999992</v>
      </c>
      <c r="R766" s="17">
        <v>5.4476639999999996</v>
      </c>
      <c r="S766" s="17">
        <v>11.35984</v>
      </c>
      <c r="AP766" s="35"/>
      <c r="AQ766" s="35"/>
      <c r="AR766" s="35"/>
      <c r="AS766" s="35"/>
    </row>
    <row r="767" spans="2:45" x14ac:dyDescent="0.2">
      <c r="B767" s="2">
        <v>43480.408043981479</v>
      </c>
      <c r="C767" s="5">
        <f t="shared" si="78"/>
        <v>15.749999370000042</v>
      </c>
      <c r="D767" s="14">
        <v>5.7818759999999996</v>
      </c>
      <c r="E767" s="14">
        <v>6.695926</v>
      </c>
      <c r="F767" s="14">
        <v>4.6289629999999997</v>
      </c>
      <c r="G767" s="14">
        <v>3.827569</v>
      </c>
      <c r="H767" s="15">
        <v>5.7624750000000002</v>
      </c>
      <c r="I767" s="15">
        <v>3.4746220000000001</v>
      </c>
      <c r="J767" s="15">
        <v>13.16728</v>
      </c>
      <c r="K767" s="15">
        <v>5.8524960000000004</v>
      </c>
      <c r="L767" s="16">
        <v>4.8648090000000002</v>
      </c>
      <c r="M767" s="16">
        <v>8.1356570000000001</v>
      </c>
      <c r="N767" s="16">
        <v>7.8889069999999997</v>
      </c>
      <c r="O767" s="16">
        <v>4.2611879999999998</v>
      </c>
      <c r="P767" s="17">
        <v>8.6715250000000008</v>
      </c>
      <c r="Q767" s="17">
        <v>9.6195690000000003</v>
      </c>
      <c r="R767" s="17">
        <v>5.4559610000000003</v>
      </c>
      <c r="S767" s="17">
        <v>11.36871</v>
      </c>
      <c r="AP767" s="35"/>
      <c r="AQ767" s="35"/>
      <c r="AR767" s="35"/>
      <c r="AS767" s="35"/>
    </row>
    <row r="768" spans="2:45" x14ac:dyDescent="0.2">
      <c r="B768" s="2">
        <v>43480.411516203705</v>
      </c>
      <c r="C768" s="5">
        <f t="shared" si="78"/>
        <v>15.833332700000042</v>
      </c>
      <c r="D768" s="14">
        <v>5.7888859999999998</v>
      </c>
      <c r="E768" s="14">
        <v>6.7269680000000003</v>
      </c>
      <c r="F768" s="14">
        <v>4.6328250000000004</v>
      </c>
      <c r="G768" s="14">
        <v>3.8289209999999998</v>
      </c>
      <c r="H768" s="15">
        <v>5.765765</v>
      </c>
      <c r="I768" s="15">
        <v>3.475981</v>
      </c>
      <c r="J768" s="15">
        <v>13.169280000000001</v>
      </c>
      <c r="K768" s="15">
        <v>5.8524960000000004</v>
      </c>
      <c r="L768" s="16">
        <v>4.8648090000000002</v>
      </c>
      <c r="M768" s="16">
        <v>8.1408070000000006</v>
      </c>
      <c r="N768" s="16">
        <v>7.8889069999999997</v>
      </c>
      <c r="O768" s="16">
        <v>4.2611879999999998</v>
      </c>
      <c r="P768" s="17">
        <v>8.6715250000000008</v>
      </c>
      <c r="Q768" s="17">
        <v>9.6212850000000003</v>
      </c>
      <c r="R768" s="17">
        <v>5.4642580000000001</v>
      </c>
      <c r="S768" s="17">
        <v>11.37757</v>
      </c>
      <c r="AP768" s="35"/>
      <c r="AQ768" s="35"/>
      <c r="AR768" s="35"/>
      <c r="AS768" s="35"/>
    </row>
    <row r="769" spans="2:45" x14ac:dyDescent="0.2">
      <c r="B769" s="2">
        <v>43480.414988425924</v>
      </c>
      <c r="C769" s="5">
        <f t="shared" si="78"/>
        <v>15.916666030000043</v>
      </c>
      <c r="D769" s="14">
        <v>5.7958949999999998</v>
      </c>
      <c r="E769" s="14">
        <v>6.7580099999999996</v>
      </c>
      <c r="F769" s="14">
        <v>4.6366870000000002</v>
      </c>
      <c r="G769" s="14">
        <v>3.8289209999999998</v>
      </c>
      <c r="H769" s="15">
        <v>5.7690549999999998</v>
      </c>
      <c r="I769" s="15">
        <v>3.4773399999999999</v>
      </c>
      <c r="J769" s="15">
        <v>13.171290000000001</v>
      </c>
      <c r="K769" s="15">
        <v>5.8524960000000004</v>
      </c>
      <c r="L769" s="16">
        <v>4.8648090000000002</v>
      </c>
      <c r="M769" s="16">
        <v>8.1459569999999992</v>
      </c>
      <c r="N769" s="16">
        <v>7.8889069999999997</v>
      </c>
      <c r="O769" s="16">
        <v>4.2611879999999998</v>
      </c>
      <c r="P769" s="17">
        <v>8.6715250000000008</v>
      </c>
      <c r="Q769" s="17">
        <v>9.6230019999999996</v>
      </c>
      <c r="R769" s="17">
        <v>5.4725549999999998</v>
      </c>
      <c r="S769" s="17">
        <v>11.38644</v>
      </c>
      <c r="AP769" s="35"/>
      <c r="AQ769" s="35"/>
      <c r="AR769" s="35"/>
      <c r="AS769" s="35"/>
    </row>
    <row r="770" spans="2:45" x14ac:dyDescent="0.2">
      <c r="B770" s="2">
        <v>43480.41846064815</v>
      </c>
      <c r="C770" s="5">
        <f t="shared" si="78"/>
        <v>15.999999360000043</v>
      </c>
      <c r="D770" s="14">
        <v>5.802905</v>
      </c>
      <c r="E770" s="14">
        <v>6.787293</v>
      </c>
      <c r="F770" s="14">
        <v>4.6405500000000002</v>
      </c>
      <c r="G770" s="14">
        <v>3.832687</v>
      </c>
      <c r="H770" s="15">
        <v>5.7723459999999998</v>
      </c>
      <c r="I770" s="15">
        <v>3.4786980000000001</v>
      </c>
      <c r="J770" s="15">
        <v>13.17329</v>
      </c>
      <c r="K770" s="15">
        <v>5.8524960000000004</v>
      </c>
      <c r="L770" s="16">
        <v>4.8648090000000002</v>
      </c>
      <c r="M770" s="16">
        <v>8.1511069999999997</v>
      </c>
      <c r="N770" s="16">
        <v>7.8960600000000003</v>
      </c>
      <c r="O770" s="16">
        <v>4.2611879999999998</v>
      </c>
      <c r="P770" s="17">
        <v>8.6715250000000008</v>
      </c>
      <c r="Q770" s="17">
        <v>9.6247190000000007</v>
      </c>
      <c r="R770" s="17">
        <v>5.4808519999999996</v>
      </c>
      <c r="S770" s="17">
        <v>11.39531</v>
      </c>
      <c r="V770" s="25">
        <v>16</v>
      </c>
      <c r="W770">
        <f>AVERAGE(D759:D770)</f>
        <v>5.7643525000000002</v>
      </c>
      <c r="X770">
        <f t="shared" ref="X770:AL770" si="84">AVERAGE(E759:E770)</f>
        <v>6.6181739166666667</v>
      </c>
      <c r="Y770">
        <f t="shared" si="84"/>
        <v>4.6193065833333327</v>
      </c>
      <c r="Z770">
        <f t="shared" si="84"/>
        <v>3.8232855833333339</v>
      </c>
      <c r="AA770">
        <f t="shared" si="84"/>
        <v>5.7542495833333343</v>
      </c>
      <c r="AB770">
        <f t="shared" si="84"/>
        <v>3.4712244166666664</v>
      </c>
      <c r="AC770">
        <f t="shared" si="84"/>
        <v>13.162275000000001</v>
      </c>
      <c r="AD770">
        <f t="shared" si="84"/>
        <v>5.8524960000000013</v>
      </c>
      <c r="AE770">
        <f t="shared" si="84"/>
        <v>4.8648090000000002</v>
      </c>
      <c r="AF770">
        <f t="shared" si="84"/>
        <v>8.1229264166666635</v>
      </c>
      <c r="AG770">
        <f t="shared" si="84"/>
        <v>7.8895030833333353</v>
      </c>
      <c r="AH770">
        <f t="shared" si="84"/>
        <v>4.2611879999999989</v>
      </c>
      <c r="AI770">
        <f t="shared" si="84"/>
        <v>8.6593900000000019</v>
      </c>
      <c r="AJ770">
        <f t="shared" si="84"/>
        <v>9.6152773333333332</v>
      </c>
      <c r="AK770">
        <f t="shared" si="84"/>
        <v>5.4352185000000004</v>
      </c>
      <c r="AL770">
        <f t="shared" si="84"/>
        <v>11.346532500000002</v>
      </c>
      <c r="AO770" s="25">
        <v>16</v>
      </c>
      <c r="AP770" s="35">
        <f>AVERAGE(W770:Z770)</f>
        <v>5.2062796458333338</v>
      </c>
      <c r="AQ770" s="35">
        <f>AVERAGE(AA770:AD770)</f>
        <v>7.0600612500000004</v>
      </c>
      <c r="AR770" s="35">
        <f>AVERAGE(AE770:AH770)</f>
        <v>6.2846066249999986</v>
      </c>
      <c r="AS770" s="35">
        <f>AVERAGE(AI770:AL770)</f>
        <v>8.7641045833333351</v>
      </c>
    </row>
    <row r="771" spans="2:45" x14ac:dyDescent="0.2">
      <c r="B771" s="2">
        <v>43480.421932870369</v>
      </c>
      <c r="C771" s="5">
        <f t="shared" si="78"/>
        <v>16.083332690000042</v>
      </c>
      <c r="D771" s="14">
        <v>5.809914</v>
      </c>
      <c r="E771" s="14">
        <v>6.7878579999999999</v>
      </c>
      <c r="F771" s="14">
        <v>4.644412</v>
      </c>
      <c r="G771" s="14">
        <v>3.8365490000000002</v>
      </c>
      <c r="H771" s="15">
        <v>5.7756360000000004</v>
      </c>
      <c r="I771" s="15">
        <v>3.480057</v>
      </c>
      <c r="J771" s="15">
        <v>13.17529</v>
      </c>
      <c r="K771" s="15">
        <v>5.8524960000000004</v>
      </c>
      <c r="L771" s="16">
        <v>4.8648090000000002</v>
      </c>
      <c r="M771" s="16">
        <v>8.1562570000000001</v>
      </c>
      <c r="N771" s="16">
        <v>7.9065029999999998</v>
      </c>
      <c r="O771" s="16">
        <v>4.2611879999999998</v>
      </c>
      <c r="P771" s="17">
        <v>8.6715250000000008</v>
      </c>
      <c r="Q771" s="17">
        <v>9.6264350000000007</v>
      </c>
      <c r="R771" s="17">
        <v>5.4891490000000003</v>
      </c>
      <c r="S771" s="17">
        <v>11.40418</v>
      </c>
      <c r="AP771" s="35"/>
      <c r="AQ771" s="35"/>
      <c r="AR771" s="35"/>
      <c r="AS771" s="35"/>
    </row>
    <row r="772" spans="2:45" x14ac:dyDescent="0.2">
      <c r="B772" s="2">
        <v>43480.425405092596</v>
      </c>
      <c r="C772" s="5">
        <f t="shared" ref="C772:C835" si="85">C771+0.08333333</f>
        <v>16.16666602000004</v>
      </c>
      <c r="D772" s="14">
        <v>5.8169240000000002</v>
      </c>
      <c r="E772" s="14">
        <v>6.7991590000000004</v>
      </c>
      <c r="F772" s="14">
        <v>4.6482739999999998</v>
      </c>
      <c r="G772" s="14">
        <v>3.840411</v>
      </c>
      <c r="H772" s="15">
        <v>5.7789260000000002</v>
      </c>
      <c r="I772" s="15">
        <v>3.4814159999999998</v>
      </c>
      <c r="J772" s="15">
        <v>13.177300000000001</v>
      </c>
      <c r="K772" s="15">
        <v>5.8524960000000004</v>
      </c>
      <c r="L772" s="16">
        <v>4.8648090000000002</v>
      </c>
      <c r="M772" s="16">
        <v>8.1614070000000005</v>
      </c>
      <c r="N772" s="16">
        <v>7.9169450000000001</v>
      </c>
      <c r="O772" s="16">
        <v>4.2611879999999998</v>
      </c>
      <c r="P772" s="17">
        <v>8.6715250000000008</v>
      </c>
      <c r="Q772" s="17">
        <v>9.628152</v>
      </c>
      <c r="R772" s="17">
        <v>5.4974460000000001</v>
      </c>
      <c r="S772" s="17">
        <v>11.41305</v>
      </c>
      <c r="AP772" s="35"/>
      <c r="AQ772" s="35"/>
      <c r="AR772" s="35"/>
      <c r="AS772" s="35"/>
    </row>
    <row r="773" spans="2:45" x14ac:dyDescent="0.2">
      <c r="B773" s="2">
        <v>43480.428877314815</v>
      </c>
      <c r="C773" s="5">
        <f t="shared" si="85"/>
        <v>16.249999350000039</v>
      </c>
      <c r="D773" s="14">
        <v>5.8239330000000002</v>
      </c>
      <c r="E773" s="14">
        <v>6.81046</v>
      </c>
      <c r="F773" s="14">
        <v>4.6521369999999997</v>
      </c>
      <c r="G773" s="14">
        <v>3.844274</v>
      </c>
      <c r="H773" s="15">
        <v>5.782216</v>
      </c>
      <c r="I773" s="15">
        <v>3.4827750000000002</v>
      </c>
      <c r="J773" s="15">
        <v>13.1793</v>
      </c>
      <c r="K773" s="15">
        <v>5.8524960000000004</v>
      </c>
      <c r="L773" s="16">
        <v>4.8648090000000002</v>
      </c>
      <c r="M773" s="16">
        <v>8.1665559999999999</v>
      </c>
      <c r="N773" s="16">
        <v>7.9273879999999997</v>
      </c>
      <c r="O773" s="16">
        <v>4.2611879999999998</v>
      </c>
      <c r="P773" s="17">
        <v>8.6715250000000008</v>
      </c>
      <c r="Q773" s="17">
        <v>9.6298689999999993</v>
      </c>
      <c r="R773" s="17">
        <v>5.5057429999999998</v>
      </c>
      <c r="S773" s="17">
        <v>11.42192</v>
      </c>
      <c r="AP773" s="35"/>
      <c r="AQ773" s="35"/>
      <c r="AR773" s="35"/>
      <c r="AS773" s="35"/>
    </row>
    <row r="774" spans="2:45" x14ac:dyDescent="0.2">
      <c r="B774" s="2">
        <v>43480.432349537034</v>
      </c>
      <c r="C774" s="5">
        <f t="shared" si="85"/>
        <v>16.333332680000037</v>
      </c>
      <c r="D774" s="14">
        <v>5.8309430000000004</v>
      </c>
      <c r="E774" s="14">
        <v>6.8217610000000004</v>
      </c>
      <c r="F774" s="14">
        <v>4.6559990000000004</v>
      </c>
      <c r="G774" s="14">
        <v>3.8481359999999998</v>
      </c>
      <c r="H774" s="15">
        <v>5.7855059999999998</v>
      </c>
      <c r="I774" s="15">
        <v>3.4841340000000001</v>
      </c>
      <c r="J774" s="15">
        <v>13.1813</v>
      </c>
      <c r="K774" s="15">
        <v>5.8524960000000004</v>
      </c>
      <c r="L774" s="16">
        <v>4.8648090000000002</v>
      </c>
      <c r="M774" s="16">
        <v>8.1717829999999996</v>
      </c>
      <c r="N774" s="16">
        <v>7.9378310000000001</v>
      </c>
      <c r="O774" s="16">
        <v>4.2611879999999998</v>
      </c>
      <c r="P774" s="17">
        <v>8.6715250000000008</v>
      </c>
      <c r="Q774" s="17">
        <v>9.6315849999999994</v>
      </c>
      <c r="R774" s="17">
        <v>5.5140399999999996</v>
      </c>
      <c r="S774" s="17">
        <v>11.43079</v>
      </c>
      <c r="AP774" s="35"/>
      <c r="AQ774" s="35"/>
      <c r="AR774" s="35"/>
      <c r="AS774" s="35"/>
    </row>
    <row r="775" spans="2:45" x14ac:dyDescent="0.2">
      <c r="B775" s="2">
        <v>43480.43582175926</v>
      </c>
      <c r="C775" s="5">
        <f t="shared" si="85"/>
        <v>16.416666010000036</v>
      </c>
      <c r="D775" s="14">
        <v>5.8379519999999996</v>
      </c>
      <c r="E775" s="14">
        <v>6.833062</v>
      </c>
      <c r="F775" s="14">
        <v>4.6598620000000004</v>
      </c>
      <c r="G775" s="14">
        <v>3.8519990000000002</v>
      </c>
      <c r="H775" s="15">
        <v>5.7887959999999996</v>
      </c>
      <c r="I775" s="15">
        <v>3.485493</v>
      </c>
      <c r="J775" s="15">
        <v>13.183299999999999</v>
      </c>
      <c r="K775" s="15">
        <v>5.8524960000000004</v>
      </c>
      <c r="L775" s="16">
        <v>4.8648090000000002</v>
      </c>
      <c r="M775" s="16">
        <v>8.1717829999999996</v>
      </c>
      <c r="N775" s="16">
        <v>7.9482739999999996</v>
      </c>
      <c r="O775" s="16">
        <v>4.2611879999999998</v>
      </c>
      <c r="P775" s="17">
        <v>8.6715250000000008</v>
      </c>
      <c r="Q775" s="17">
        <v>9.6333020000000005</v>
      </c>
      <c r="R775" s="17">
        <v>5.5223360000000001</v>
      </c>
      <c r="S775" s="17">
        <v>11.43966</v>
      </c>
      <c r="AP775" s="35"/>
      <c r="AQ775" s="35"/>
      <c r="AR775" s="35"/>
      <c r="AS775" s="35"/>
    </row>
    <row r="776" spans="2:45" x14ac:dyDescent="0.2">
      <c r="B776" s="2">
        <v>43480.439293981479</v>
      </c>
      <c r="C776" s="5">
        <f t="shared" si="85"/>
        <v>16.499999340000034</v>
      </c>
      <c r="D776" s="14">
        <v>5.8449619999999998</v>
      </c>
      <c r="E776" s="14">
        <v>6.8443630000000004</v>
      </c>
      <c r="F776" s="14">
        <v>4.6637240000000002</v>
      </c>
      <c r="G776" s="14">
        <v>3.855861</v>
      </c>
      <c r="H776" s="15">
        <v>5.7920870000000004</v>
      </c>
      <c r="I776" s="15">
        <v>3.4868519999999998</v>
      </c>
      <c r="J776" s="15">
        <v>13.185309999999999</v>
      </c>
      <c r="K776" s="15">
        <v>5.8524960000000004</v>
      </c>
      <c r="L776" s="16">
        <v>4.8648090000000002</v>
      </c>
      <c r="M776" s="16">
        <v>8.1717829999999996</v>
      </c>
      <c r="N776" s="16">
        <v>7.9587159999999999</v>
      </c>
      <c r="O776" s="16">
        <v>4.2611879999999998</v>
      </c>
      <c r="P776" s="17">
        <v>8.6715250000000008</v>
      </c>
      <c r="Q776" s="17">
        <v>9.6350180000000005</v>
      </c>
      <c r="R776" s="17">
        <v>5.5306329999999999</v>
      </c>
      <c r="S776" s="17">
        <v>11.44853</v>
      </c>
      <c r="AP776" s="35"/>
      <c r="AQ776" s="35"/>
      <c r="AR776" s="35"/>
      <c r="AS776" s="35"/>
    </row>
    <row r="777" spans="2:45" x14ac:dyDescent="0.2">
      <c r="B777" s="2">
        <v>43480.442766203705</v>
      </c>
      <c r="C777" s="5">
        <f t="shared" si="85"/>
        <v>16.583332670000033</v>
      </c>
      <c r="D777" s="14">
        <v>5.8519709999999998</v>
      </c>
      <c r="E777" s="14">
        <v>6.855664</v>
      </c>
      <c r="F777" s="14">
        <v>4.667586</v>
      </c>
      <c r="G777" s="14">
        <v>3.8597229999999998</v>
      </c>
      <c r="H777" s="15">
        <v>5.7953770000000002</v>
      </c>
      <c r="I777" s="15">
        <v>3.4882110000000002</v>
      </c>
      <c r="J777" s="15">
        <v>13.18731</v>
      </c>
      <c r="K777" s="15">
        <v>5.8524960000000004</v>
      </c>
      <c r="L777" s="16">
        <v>4.8648090000000002</v>
      </c>
      <c r="M777" s="16">
        <v>8.1717829999999996</v>
      </c>
      <c r="N777" s="16">
        <v>7.9691590000000003</v>
      </c>
      <c r="O777" s="16">
        <v>4.264373</v>
      </c>
      <c r="P777" s="17">
        <v>8.6715250000000008</v>
      </c>
      <c r="Q777" s="17">
        <v>9.6367349999999998</v>
      </c>
      <c r="R777" s="17">
        <v>5.5389299999999997</v>
      </c>
      <c r="S777" s="17">
        <v>11.4574</v>
      </c>
      <c r="AP777" s="35"/>
      <c r="AQ777" s="35"/>
      <c r="AR777" s="35"/>
      <c r="AS777" s="35"/>
    </row>
    <row r="778" spans="2:45" x14ac:dyDescent="0.2">
      <c r="B778" s="2">
        <v>43480.446238425924</v>
      </c>
      <c r="C778" s="5">
        <f t="shared" si="85"/>
        <v>16.666666000000031</v>
      </c>
      <c r="D778" s="14">
        <v>5.858981</v>
      </c>
      <c r="E778" s="14">
        <v>6.8669650000000004</v>
      </c>
      <c r="F778" s="14">
        <v>4.671449</v>
      </c>
      <c r="G778" s="14">
        <v>3.8617530000000002</v>
      </c>
      <c r="H778" s="15">
        <v>5.798667</v>
      </c>
      <c r="I778" s="15">
        <v>3.4895700000000001</v>
      </c>
      <c r="J778" s="15">
        <v>13.189310000000001</v>
      </c>
      <c r="K778" s="15">
        <v>5.8524960000000004</v>
      </c>
      <c r="L778" s="16">
        <v>4.8648090000000002</v>
      </c>
      <c r="M778" s="16">
        <v>8.1717829999999996</v>
      </c>
      <c r="N778" s="16">
        <v>7.9796019999999999</v>
      </c>
      <c r="O778" s="16">
        <v>4.2905509999999998</v>
      </c>
      <c r="P778" s="17">
        <v>8.6715250000000008</v>
      </c>
      <c r="Q778" s="17">
        <v>9.6384519999999991</v>
      </c>
      <c r="R778" s="17">
        <v>5.5472270000000004</v>
      </c>
      <c r="S778" s="17">
        <v>11.46627</v>
      </c>
      <c r="AP778" s="35"/>
      <c r="AQ778" s="35"/>
      <c r="AR778" s="35"/>
      <c r="AS778" s="35"/>
    </row>
    <row r="779" spans="2:45" x14ac:dyDescent="0.2">
      <c r="B779" s="2">
        <v>43480.44971064815</v>
      </c>
      <c r="C779" s="5">
        <f t="shared" si="85"/>
        <v>16.74999933000003</v>
      </c>
      <c r="D779" s="14">
        <v>5.86599</v>
      </c>
      <c r="E779" s="14">
        <v>6.878266</v>
      </c>
      <c r="F779" s="14">
        <v>4.6753109999999998</v>
      </c>
      <c r="G779" s="14">
        <v>3.865043</v>
      </c>
      <c r="H779" s="15">
        <v>5.8019569999999998</v>
      </c>
      <c r="I779" s="15">
        <v>3.4909289999999999</v>
      </c>
      <c r="J779" s="15">
        <v>13.19131</v>
      </c>
      <c r="K779" s="15">
        <v>5.8524960000000004</v>
      </c>
      <c r="L779" s="16">
        <v>4.8648090000000002</v>
      </c>
      <c r="M779" s="16">
        <v>8.1717829999999996</v>
      </c>
      <c r="N779" s="16">
        <v>7.9900450000000003</v>
      </c>
      <c r="O779" s="16">
        <v>4.3167299999999997</v>
      </c>
      <c r="P779" s="17">
        <v>8.6715250000000008</v>
      </c>
      <c r="Q779" s="17">
        <v>9.6401679999999992</v>
      </c>
      <c r="R779" s="17">
        <v>5.5555240000000001</v>
      </c>
      <c r="S779" s="17">
        <v>11.47514</v>
      </c>
      <c r="AP779" s="35"/>
      <c r="AQ779" s="35"/>
      <c r="AR779" s="35"/>
      <c r="AS779" s="35"/>
    </row>
    <row r="780" spans="2:45" x14ac:dyDescent="0.2">
      <c r="B780" s="2">
        <v>43480.453182870369</v>
      </c>
      <c r="C780" s="5">
        <f t="shared" si="85"/>
        <v>16.833332660000028</v>
      </c>
      <c r="D780" s="14">
        <v>5.8730000000000002</v>
      </c>
      <c r="E780" s="14">
        <v>6.8895670000000004</v>
      </c>
      <c r="F780" s="14">
        <v>4.6791729999999996</v>
      </c>
      <c r="G780" s="14">
        <v>3.8683329999999998</v>
      </c>
      <c r="H780" s="15">
        <v>5.8052469999999996</v>
      </c>
      <c r="I780" s="15">
        <v>3.4922879999999998</v>
      </c>
      <c r="J780" s="15">
        <v>13.19332</v>
      </c>
      <c r="K780" s="15">
        <v>5.8524960000000004</v>
      </c>
      <c r="L780" s="16">
        <v>4.8648090000000002</v>
      </c>
      <c r="M780" s="16">
        <v>8.1717829999999996</v>
      </c>
      <c r="N780" s="16">
        <v>8.0004810000000006</v>
      </c>
      <c r="O780" s="16">
        <v>4.3429080000000004</v>
      </c>
      <c r="P780" s="17">
        <v>8.6715250000000008</v>
      </c>
      <c r="Q780" s="17">
        <v>9.6414380000000008</v>
      </c>
      <c r="R780" s="17">
        <v>5.5638209999999999</v>
      </c>
      <c r="S780" s="17">
        <v>11.484</v>
      </c>
      <c r="AP780" s="35"/>
      <c r="AQ780" s="35"/>
      <c r="AR780" s="35"/>
      <c r="AS780" s="35"/>
    </row>
    <row r="781" spans="2:45" x14ac:dyDescent="0.2">
      <c r="B781" s="2">
        <v>43480.456655092596</v>
      </c>
      <c r="C781" s="5">
        <f t="shared" si="85"/>
        <v>16.916665990000027</v>
      </c>
      <c r="D781" s="14">
        <v>5.8800090000000003</v>
      </c>
      <c r="E781" s="14">
        <v>6.900868</v>
      </c>
      <c r="F781" s="14">
        <v>4.6830360000000004</v>
      </c>
      <c r="G781" s="14">
        <v>3.871623</v>
      </c>
      <c r="H781" s="15">
        <v>5.8085370000000003</v>
      </c>
      <c r="I781" s="15">
        <v>3.4936470000000002</v>
      </c>
      <c r="J781" s="15">
        <v>13.195320000000001</v>
      </c>
      <c r="K781" s="15">
        <v>5.8524960000000004</v>
      </c>
      <c r="L781" s="16">
        <v>4.8648090000000002</v>
      </c>
      <c r="M781" s="16">
        <v>8.1717829999999996</v>
      </c>
      <c r="N781" s="16">
        <v>8.0107800000000005</v>
      </c>
      <c r="O781" s="16">
        <v>4.3690860000000002</v>
      </c>
      <c r="P781" s="17">
        <v>8.6715250000000008</v>
      </c>
      <c r="Q781" s="17">
        <v>9.6421589999999995</v>
      </c>
      <c r="R781" s="17">
        <v>5.5721179999999997</v>
      </c>
      <c r="S781" s="17">
        <v>11.49287</v>
      </c>
      <c r="AP781" s="35"/>
      <c r="AQ781" s="35"/>
      <c r="AR781" s="35"/>
      <c r="AS781" s="35"/>
    </row>
    <row r="782" spans="2:45" x14ac:dyDescent="0.2">
      <c r="B782" s="2">
        <v>43480.460127314815</v>
      </c>
      <c r="C782" s="5">
        <f t="shared" si="85"/>
        <v>16.999999320000025</v>
      </c>
      <c r="D782" s="14">
        <v>5.8870189999999996</v>
      </c>
      <c r="E782" s="14">
        <v>6.9121689999999996</v>
      </c>
      <c r="F782" s="14">
        <v>4.6868980000000002</v>
      </c>
      <c r="G782" s="14">
        <v>3.872649</v>
      </c>
      <c r="H782" s="15">
        <v>5.8118280000000002</v>
      </c>
      <c r="I782" s="15">
        <v>3.4950060000000001</v>
      </c>
      <c r="J782" s="15">
        <v>13.197319999999999</v>
      </c>
      <c r="K782" s="15">
        <v>5.8524960000000004</v>
      </c>
      <c r="L782" s="16">
        <v>4.8648090000000002</v>
      </c>
      <c r="M782" s="16">
        <v>8.1717829999999996</v>
      </c>
      <c r="N782" s="16">
        <v>8.0210799999999995</v>
      </c>
      <c r="O782" s="16">
        <v>4.3952650000000002</v>
      </c>
      <c r="P782" s="17">
        <v>8.6715250000000008</v>
      </c>
      <c r="Q782" s="17">
        <v>9.6438760000000006</v>
      </c>
      <c r="R782" s="17">
        <v>5.5804150000000003</v>
      </c>
      <c r="S782" s="17">
        <v>11.50174</v>
      </c>
      <c r="V782" s="25">
        <v>17</v>
      </c>
      <c r="W782">
        <f>AVERAGE(D771:D782)</f>
        <v>5.8484664999999998</v>
      </c>
      <c r="X782">
        <f t="shared" ref="X782:AL782" si="86">AVERAGE(E771:E782)</f>
        <v>6.8500135000000002</v>
      </c>
      <c r="Y782">
        <f t="shared" si="86"/>
        <v>4.6656550833333332</v>
      </c>
      <c r="Z782">
        <f t="shared" si="86"/>
        <v>3.8563628333333333</v>
      </c>
      <c r="AA782">
        <f t="shared" si="86"/>
        <v>5.7937316666666669</v>
      </c>
      <c r="AB782">
        <f t="shared" si="86"/>
        <v>3.4875315000000007</v>
      </c>
      <c r="AC782">
        <f t="shared" si="86"/>
        <v>13.1863075</v>
      </c>
      <c r="AD782">
        <f t="shared" si="86"/>
        <v>5.8524960000000013</v>
      </c>
      <c r="AE782">
        <f t="shared" si="86"/>
        <v>4.8648090000000002</v>
      </c>
      <c r="AF782">
        <f t="shared" si="86"/>
        <v>8.169188916666668</v>
      </c>
      <c r="AG782">
        <f t="shared" si="86"/>
        <v>7.9639003333333322</v>
      </c>
      <c r="AH782">
        <f t="shared" si="86"/>
        <v>4.2955034166666666</v>
      </c>
      <c r="AI782">
        <f t="shared" si="86"/>
        <v>8.6715250000000008</v>
      </c>
      <c r="AJ782">
        <f t="shared" si="86"/>
        <v>9.635599083333334</v>
      </c>
      <c r="AK782">
        <f t="shared" si="86"/>
        <v>5.5347818333333327</v>
      </c>
      <c r="AL782">
        <f t="shared" si="86"/>
        <v>11.4529625</v>
      </c>
      <c r="AO782" s="25">
        <v>17</v>
      </c>
      <c r="AP782" s="35">
        <f>AVERAGE(W782:Z782)</f>
        <v>5.3051244791666665</v>
      </c>
      <c r="AQ782" s="35">
        <f>AVERAGE(AA782:AD782)</f>
        <v>7.0800166666666673</v>
      </c>
      <c r="AR782" s="35">
        <f>AVERAGE(AE782:AH782)</f>
        <v>6.3233504166666661</v>
      </c>
      <c r="AS782" s="35">
        <f>AVERAGE(AI782:AL782)</f>
        <v>8.8237171041666667</v>
      </c>
    </row>
    <row r="783" spans="2:45" x14ac:dyDescent="0.2">
      <c r="B783" s="2">
        <v>43480.463599537034</v>
      </c>
      <c r="C783" s="5">
        <f t="shared" si="85"/>
        <v>17.083332650000024</v>
      </c>
      <c r="D783" s="14">
        <v>5.8940279999999996</v>
      </c>
      <c r="E783" s="14">
        <v>6.92347</v>
      </c>
      <c r="F783" s="14">
        <v>4.6907610000000002</v>
      </c>
      <c r="G783" s="14">
        <v>3.872649</v>
      </c>
      <c r="H783" s="15">
        <v>5.815118</v>
      </c>
      <c r="I783" s="15">
        <v>3.4963649999999999</v>
      </c>
      <c r="J783" s="15">
        <v>13.19933</v>
      </c>
      <c r="K783" s="15">
        <v>5.8524960000000004</v>
      </c>
      <c r="L783" s="16">
        <v>4.8648090000000002</v>
      </c>
      <c r="M783" s="16">
        <v>8.1717829999999996</v>
      </c>
      <c r="N783" s="16">
        <v>8.0313800000000004</v>
      </c>
      <c r="O783" s="16">
        <v>4.421443</v>
      </c>
      <c r="P783" s="17">
        <v>8.6715250000000008</v>
      </c>
      <c r="Q783" s="17">
        <v>9.6455929999999999</v>
      </c>
      <c r="R783" s="17">
        <v>5.5887120000000001</v>
      </c>
      <c r="S783" s="17">
        <v>11.51061</v>
      </c>
      <c r="AP783" s="35"/>
      <c r="AQ783" s="35"/>
      <c r="AR783" s="35"/>
      <c r="AS783" s="35"/>
    </row>
    <row r="784" spans="2:45" x14ac:dyDescent="0.2">
      <c r="B784" s="2">
        <v>43480.46707175926</v>
      </c>
      <c r="C784" s="5">
        <f t="shared" si="85"/>
        <v>17.166665980000023</v>
      </c>
      <c r="D784" s="14">
        <v>5.9010379999999998</v>
      </c>
      <c r="E784" s="14">
        <v>6.9347719999999997</v>
      </c>
      <c r="F784" s="14">
        <v>4.694623</v>
      </c>
      <c r="G784" s="14">
        <v>3.8741120000000002</v>
      </c>
      <c r="H784" s="15">
        <v>5.8184079999999998</v>
      </c>
      <c r="I784" s="15">
        <v>3.4977239999999998</v>
      </c>
      <c r="J784" s="15">
        <v>13.20133</v>
      </c>
      <c r="K784" s="15">
        <v>5.8524960000000004</v>
      </c>
      <c r="L784" s="16">
        <v>4.8648090000000002</v>
      </c>
      <c r="M784" s="16">
        <v>8.1717829999999996</v>
      </c>
      <c r="N784" s="16">
        <v>8.0416790000000002</v>
      </c>
      <c r="O784" s="16">
        <v>4.4476209999999998</v>
      </c>
      <c r="P784" s="17">
        <v>8.6715250000000008</v>
      </c>
      <c r="Q784" s="17">
        <v>9.6473089999999999</v>
      </c>
      <c r="R784" s="17">
        <v>5.5970089999999999</v>
      </c>
      <c r="S784" s="17">
        <v>11.51948</v>
      </c>
      <c r="AP784" s="35"/>
      <c r="AQ784" s="35"/>
      <c r="AR784" s="35"/>
      <c r="AS784" s="35"/>
    </row>
    <row r="785" spans="2:45" x14ac:dyDescent="0.2">
      <c r="B785" s="2">
        <v>43480.470543981479</v>
      </c>
      <c r="C785" s="5">
        <f t="shared" si="85"/>
        <v>17.249999310000021</v>
      </c>
      <c r="D785" s="14">
        <v>5.9080469999999998</v>
      </c>
      <c r="E785" s="14">
        <v>6.9460730000000002</v>
      </c>
      <c r="F785" s="14">
        <v>4.6984849999999998</v>
      </c>
      <c r="G785" s="14">
        <v>3.9024359999999998</v>
      </c>
      <c r="H785" s="15">
        <v>5.8216979999999996</v>
      </c>
      <c r="I785" s="15">
        <v>3.4990830000000002</v>
      </c>
      <c r="J785" s="15">
        <v>13.203329999999999</v>
      </c>
      <c r="K785" s="15">
        <v>5.8524960000000004</v>
      </c>
      <c r="L785" s="16">
        <v>4.8648090000000002</v>
      </c>
      <c r="M785" s="16">
        <v>8.1717829999999996</v>
      </c>
      <c r="N785" s="16">
        <v>8.0519789999999993</v>
      </c>
      <c r="O785" s="16">
        <v>4.4737999999999998</v>
      </c>
      <c r="P785" s="17">
        <v>8.6715250000000008</v>
      </c>
      <c r="Q785" s="17">
        <v>9.6490259999999992</v>
      </c>
      <c r="R785" s="17">
        <v>5.6053059999999997</v>
      </c>
      <c r="S785" s="17">
        <v>11.52835</v>
      </c>
      <c r="AP785" s="35"/>
      <c r="AQ785" s="35"/>
      <c r="AR785" s="35"/>
      <c r="AS785" s="35"/>
    </row>
    <row r="786" spans="2:45" x14ac:dyDescent="0.2">
      <c r="B786" s="2">
        <v>43480.474016203705</v>
      </c>
      <c r="C786" s="5">
        <f t="shared" si="85"/>
        <v>17.33333264000002</v>
      </c>
      <c r="D786" s="14">
        <v>5.9136309999999996</v>
      </c>
      <c r="E786" s="14">
        <v>6.9573739999999997</v>
      </c>
      <c r="F786" s="14">
        <v>4.7023479999999998</v>
      </c>
      <c r="G786" s="14">
        <v>3.9307599999999998</v>
      </c>
      <c r="H786" s="15">
        <v>5.8249880000000003</v>
      </c>
      <c r="I786" s="15">
        <v>3.5004420000000001</v>
      </c>
      <c r="J786" s="15">
        <v>13.20533</v>
      </c>
      <c r="K786" s="15">
        <v>5.8524960000000004</v>
      </c>
      <c r="L786" s="16">
        <v>4.8648090000000002</v>
      </c>
      <c r="M786" s="16">
        <v>8.1717829999999996</v>
      </c>
      <c r="N786" s="16">
        <v>8.0622790000000002</v>
      </c>
      <c r="O786" s="16">
        <v>4.4999779999999996</v>
      </c>
      <c r="P786" s="17">
        <v>8.6715250000000008</v>
      </c>
      <c r="Q786" s="17">
        <v>9.6507430000000003</v>
      </c>
      <c r="R786" s="17">
        <v>5.6136030000000003</v>
      </c>
      <c r="S786" s="17">
        <v>11.53722</v>
      </c>
      <c r="AP786" s="35"/>
      <c r="AQ786" s="35"/>
      <c r="AR786" s="35"/>
      <c r="AS786" s="35"/>
    </row>
    <row r="787" spans="2:45" x14ac:dyDescent="0.2">
      <c r="B787" s="2">
        <v>43480.477488425924</v>
      </c>
      <c r="C787" s="5">
        <f t="shared" si="85"/>
        <v>17.416665970000018</v>
      </c>
      <c r="D787" s="14">
        <v>5.9168659999999997</v>
      </c>
      <c r="E787" s="14">
        <v>6.9686750000000002</v>
      </c>
      <c r="F787" s="14">
        <v>4.7062099999999996</v>
      </c>
      <c r="G787" s="14">
        <v>3.959085</v>
      </c>
      <c r="H787" s="15">
        <v>5.8282790000000002</v>
      </c>
      <c r="I787" s="15">
        <v>3.5018009999999999</v>
      </c>
      <c r="J787" s="15">
        <v>13.20734</v>
      </c>
      <c r="K787" s="15">
        <v>5.8524960000000004</v>
      </c>
      <c r="L787" s="16">
        <v>4.8648090000000002</v>
      </c>
      <c r="M787" s="16">
        <v>8.1717829999999996</v>
      </c>
      <c r="N787" s="16">
        <v>8.072578</v>
      </c>
      <c r="O787" s="16">
        <v>4.5261560000000003</v>
      </c>
      <c r="P787" s="17">
        <v>8.6715250000000008</v>
      </c>
      <c r="Q787" s="17">
        <v>9.6524590000000003</v>
      </c>
      <c r="R787" s="17">
        <v>5.6219000000000001</v>
      </c>
      <c r="S787" s="17">
        <v>11.54609</v>
      </c>
      <c r="AP787" s="35"/>
      <c r="AQ787" s="35"/>
      <c r="AR787" s="35"/>
      <c r="AS787" s="35"/>
    </row>
    <row r="788" spans="2:45" x14ac:dyDescent="0.2">
      <c r="B788" s="2">
        <v>43480.48096064815</v>
      </c>
      <c r="C788" s="5">
        <f t="shared" si="85"/>
        <v>17.499999300000017</v>
      </c>
      <c r="D788" s="14">
        <v>5.9214440000000002</v>
      </c>
      <c r="E788" s="14">
        <v>6.9799759999999997</v>
      </c>
      <c r="F788" s="14">
        <v>4.7100730000000004</v>
      </c>
      <c r="G788" s="14">
        <v>3.987409</v>
      </c>
      <c r="H788" s="15">
        <v>5.831569</v>
      </c>
      <c r="I788" s="15">
        <v>3.5031599999999998</v>
      </c>
      <c r="J788" s="15">
        <v>13.209339999999999</v>
      </c>
      <c r="K788" s="15">
        <v>5.8524960000000004</v>
      </c>
      <c r="L788" s="16">
        <v>4.8648090000000002</v>
      </c>
      <c r="M788" s="16">
        <v>8.1717829999999996</v>
      </c>
      <c r="N788" s="16">
        <v>8.0828779999999991</v>
      </c>
      <c r="O788" s="16">
        <v>4.5523350000000002</v>
      </c>
      <c r="P788" s="17">
        <v>8.6715250000000008</v>
      </c>
      <c r="Q788" s="17">
        <v>9.6541759999999996</v>
      </c>
      <c r="R788" s="17">
        <v>5.6301969999999999</v>
      </c>
      <c r="S788" s="17">
        <v>11.554959999999999</v>
      </c>
      <c r="AP788" s="35"/>
      <c r="AQ788" s="35"/>
      <c r="AR788" s="35"/>
      <c r="AS788" s="35"/>
    </row>
    <row r="789" spans="2:45" x14ac:dyDescent="0.2">
      <c r="B789" s="2">
        <v>43480.484432870369</v>
      </c>
      <c r="C789" s="5">
        <f t="shared" si="85"/>
        <v>17.583332630000015</v>
      </c>
      <c r="D789" s="14">
        <v>5.9260219999999997</v>
      </c>
      <c r="E789" s="14">
        <v>6.9912770000000002</v>
      </c>
      <c r="F789" s="14">
        <v>4.7139350000000002</v>
      </c>
      <c r="G789" s="14">
        <v>4.015733</v>
      </c>
      <c r="H789" s="15">
        <v>5.8348589999999998</v>
      </c>
      <c r="I789" s="15">
        <v>3.5045190000000002</v>
      </c>
      <c r="J789" s="15">
        <v>13.21134</v>
      </c>
      <c r="K789" s="15">
        <v>5.853192</v>
      </c>
      <c r="L789" s="16">
        <v>4.8648090000000002</v>
      </c>
      <c r="M789" s="16">
        <v>8.1717829999999996</v>
      </c>
      <c r="N789" s="16">
        <v>8.093178</v>
      </c>
      <c r="O789" s="16">
        <v>4.5785130000000001</v>
      </c>
      <c r="P789" s="17">
        <v>8.6715250000000008</v>
      </c>
      <c r="Q789" s="17">
        <v>9.6558919999999997</v>
      </c>
      <c r="R789" s="17">
        <v>5.6384939999999997</v>
      </c>
      <c r="S789" s="17">
        <v>11.563829999999999</v>
      </c>
      <c r="AP789" s="35"/>
      <c r="AQ789" s="35"/>
      <c r="AR789" s="35"/>
      <c r="AS789" s="35"/>
    </row>
    <row r="790" spans="2:45" x14ac:dyDescent="0.2">
      <c r="B790" s="2">
        <v>43480.487905092596</v>
      </c>
      <c r="C790" s="5">
        <f t="shared" si="85"/>
        <v>17.666665960000014</v>
      </c>
      <c r="D790" s="14">
        <v>5.930599</v>
      </c>
      <c r="E790" s="14">
        <v>7.0025779999999997</v>
      </c>
      <c r="F790" s="14">
        <v>4.717797</v>
      </c>
      <c r="G790" s="14">
        <v>4.0373060000000001</v>
      </c>
      <c r="H790" s="15">
        <v>5.8381489999999996</v>
      </c>
      <c r="I790" s="15">
        <v>3.505878</v>
      </c>
      <c r="J790" s="15">
        <v>13.213340000000001</v>
      </c>
      <c r="K790" s="15">
        <v>5.854336</v>
      </c>
      <c r="L790" s="16">
        <v>4.8648090000000002</v>
      </c>
      <c r="M790" s="16">
        <v>8.1717829999999996</v>
      </c>
      <c r="N790" s="16">
        <v>8.1034769999999998</v>
      </c>
      <c r="O790" s="16">
        <v>4.604692</v>
      </c>
      <c r="P790" s="17">
        <v>8.6715250000000008</v>
      </c>
      <c r="Q790" s="17">
        <v>9.6576090000000008</v>
      </c>
      <c r="R790" s="17">
        <v>5.6467910000000003</v>
      </c>
      <c r="S790" s="17">
        <v>11.572699999999999</v>
      </c>
      <c r="AP790" s="35"/>
      <c r="AQ790" s="35"/>
      <c r="AR790" s="35"/>
      <c r="AS790" s="35"/>
    </row>
    <row r="791" spans="2:45" x14ac:dyDescent="0.2">
      <c r="B791" s="2">
        <v>43480.491377314815</v>
      </c>
      <c r="C791" s="5">
        <f t="shared" si="85"/>
        <v>17.749999290000012</v>
      </c>
      <c r="D791" s="14">
        <v>5.9351770000000004</v>
      </c>
      <c r="E791" s="14">
        <v>7.0138790000000002</v>
      </c>
      <c r="F791" s="14">
        <v>4.72166</v>
      </c>
      <c r="G791" s="14">
        <v>4.0452519999999996</v>
      </c>
      <c r="H791" s="15">
        <v>5.8414390000000003</v>
      </c>
      <c r="I791" s="15">
        <v>3.5072369999999999</v>
      </c>
      <c r="J791" s="15">
        <v>13.215350000000001</v>
      </c>
      <c r="K791" s="15">
        <v>5.8554810000000002</v>
      </c>
      <c r="L791" s="16">
        <v>4.8648090000000002</v>
      </c>
      <c r="M791" s="16">
        <v>8.1717829999999996</v>
      </c>
      <c r="N791" s="16">
        <v>8.1137770000000007</v>
      </c>
      <c r="O791" s="16">
        <v>4.6308699999999998</v>
      </c>
      <c r="P791" s="17">
        <v>8.6715250000000008</v>
      </c>
      <c r="Q791" s="17">
        <v>9.6593260000000001</v>
      </c>
      <c r="R791" s="17">
        <v>5.6550880000000001</v>
      </c>
      <c r="S791" s="17">
        <v>11.581569999999999</v>
      </c>
      <c r="AP791" s="35"/>
      <c r="AQ791" s="35"/>
      <c r="AR791" s="35"/>
      <c r="AS791" s="35"/>
    </row>
    <row r="792" spans="2:45" x14ac:dyDescent="0.2">
      <c r="B792" s="2">
        <v>43480.494849537034</v>
      </c>
      <c r="C792" s="5">
        <f t="shared" si="85"/>
        <v>17.833332620000011</v>
      </c>
      <c r="D792" s="14">
        <v>5.9397539999999998</v>
      </c>
      <c r="E792" s="14">
        <v>7.0251799999999998</v>
      </c>
      <c r="F792" s="14">
        <v>4.7255219999999998</v>
      </c>
      <c r="G792" s="14">
        <v>4.0682830000000001</v>
      </c>
      <c r="H792" s="15">
        <v>5.8447290000000001</v>
      </c>
      <c r="I792" s="15">
        <v>3.5085959999999998</v>
      </c>
      <c r="J792" s="15">
        <v>13.21735</v>
      </c>
      <c r="K792" s="15">
        <v>5.8566250000000002</v>
      </c>
      <c r="L792" s="16">
        <v>4.8648090000000002</v>
      </c>
      <c r="M792" s="16">
        <v>8.1717829999999996</v>
      </c>
      <c r="N792" s="16">
        <v>8.1240769999999998</v>
      </c>
      <c r="O792" s="16">
        <v>4.6570479999999996</v>
      </c>
      <c r="P792" s="17">
        <v>8.6715250000000008</v>
      </c>
      <c r="Q792" s="17">
        <v>9.6610420000000001</v>
      </c>
      <c r="R792" s="17">
        <v>5.6633849999999999</v>
      </c>
      <c r="S792" s="17">
        <v>11.590439999999999</v>
      </c>
      <c r="AP792" s="35"/>
      <c r="AQ792" s="35"/>
      <c r="AR792" s="35"/>
      <c r="AS792" s="35"/>
    </row>
    <row r="793" spans="2:45" x14ac:dyDescent="0.2">
      <c r="B793" s="2">
        <v>43480.49832175926</v>
      </c>
      <c r="C793" s="5">
        <f t="shared" si="85"/>
        <v>17.916665950000009</v>
      </c>
      <c r="D793" s="14">
        <v>5.9443320000000002</v>
      </c>
      <c r="E793" s="14">
        <v>7.0364810000000002</v>
      </c>
      <c r="F793" s="14">
        <v>4.7293839999999996</v>
      </c>
      <c r="G793" s="14">
        <v>4.0913139999999997</v>
      </c>
      <c r="H793" s="15">
        <v>5.84802</v>
      </c>
      <c r="I793" s="15">
        <v>3.5099550000000002</v>
      </c>
      <c r="J793" s="15">
        <v>13.21935</v>
      </c>
      <c r="K793" s="15">
        <v>5.8577690000000002</v>
      </c>
      <c r="L793" s="16">
        <v>4.8648090000000002</v>
      </c>
      <c r="M793" s="16">
        <v>8.1717829999999996</v>
      </c>
      <c r="N793" s="16">
        <v>8.1343770000000006</v>
      </c>
      <c r="O793" s="16">
        <v>4.6832269999999996</v>
      </c>
      <c r="P793" s="17">
        <v>8.6715250000000008</v>
      </c>
      <c r="Q793" s="17">
        <v>9.6627589999999994</v>
      </c>
      <c r="R793" s="17">
        <v>5.6716819999999997</v>
      </c>
      <c r="S793" s="17">
        <v>11.599299999999999</v>
      </c>
      <c r="AP793" s="35"/>
      <c r="AQ793" s="35"/>
      <c r="AR793" s="35"/>
      <c r="AS793" s="35"/>
    </row>
    <row r="794" spans="2:45" x14ac:dyDescent="0.2">
      <c r="B794" s="2">
        <v>43480.501793981479</v>
      </c>
      <c r="C794" s="5">
        <f t="shared" si="85"/>
        <v>17.999999280000008</v>
      </c>
      <c r="D794" s="14">
        <v>5.9489099999999997</v>
      </c>
      <c r="E794" s="14">
        <v>7.0477819999999998</v>
      </c>
      <c r="F794" s="14">
        <v>4.7332470000000004</v>
      </c>
      <c r="G794" s="14">
        <v>4.1143460000000003</v>
      </c>
      <c r="H794" s="15">
        <v>5.8513099999999998</v>
      </c>
      <c r="I794" s="15">
        <v>3.511314</v>
      </c>
      <c r="J794" s="15">
        <v>13.221360000000001</v>
      </c>
      <c r="K794" s="15">
        <v>5.8589140000000004</v>
      </c>
      <c r="L794" s="16">
        <v>4.8648090000000002</v>
      </c>
      <c r="M794" s="16">
        <v>8.1717829999999996</v>
      </c>
      <c r="N794" s="16">
        <v>8.1446760000000005</v>
      </c>
      <c r="O794" s="16">
        <v>4.7094050000000003</v>
      </c>
      <c r="P794" s="17">
        <v>8.6715250000000008</v>
      </c>
      <c r="Q794" s="17">
        <v>9.6644749999999995</v>
      </c>
      <c r="R794" s="17">
        <v>5.6799790000000003</v>
      </c>
      <c r="S794" s="17">
        <v>11.608169999999999</v>
      </c>
      <c r="V794" s="25">
        <v>18</v>
      </c>
      <c r="W794">
        <f>AVERAGE(D783:D794)</f>
        <v>5.9233206666666662</v>
      </c>
      <c r="X794">
        <f t="shared" ref="X794:AK794" si="87">AVERAGE(E783:E794)</f>
        <v>6.9856264166666664</v>
      </c>
      <c r="Y794">
        <f t="shared" si="87"/>
        <v>4.7120037499999992</v>
      </c>
      <c r="Z794">
        <f t="shared" si="87"/>
        <v>3.9915570833333334</v>
      </c>
      <c r="AA794">
        <f t="shared" si="87"/>
        <v>5.8332138333333345</v>
      </c>
      <c r="AB794">
        <f t="shared" si="87"/>
        <v>3.5038394999999993</v>
      </c>
      <c r="AC794">
        <f t="shared" si="87"/>
        <v>13.210340833333333</v>
      </c>
      <c r="AD794">
        <f t="shared" si="87"/>
        <v>5.8542744166666667</v>
      </c>
      <c r="AE794">
        <f t="shared" si="87"/>
        <v>4.8648090000000002</v>
      </c>
      <c r="AF794">
        <f t="shared" si="87"/>
        <v>8.1717830000000014</v>
      </c>
      <c r="AG794">
        <f t="shared" si="87"/>
        <v>8.0880279166666664</v>
      </c>
      <c r="AH794">
        <f t="shared" si="87"/>
        <v>4.5654240000000001</v>
      </c>
      <c r="AI794">
        <f t="shared" si="87"/>
        <v>8.6715250000000008</v>
      </c>
      <c r="AJ794">
        <f t="shared" si="87"/>
        <v>9.6550340833333319</v>
      </c>
      <c r="AK794">
        <f t="shared" si="87"/>
        <v>5.6343454999999993</v>
      </c>
      <c r="AL794">
        <f>AVERAGE(S783:S794)</f>
        <v>11.559393333333333</v>
      </c>
      <c r="AO794" s="25">
        <v>18</v>
      </c>
      <c r="AP794" s="35">
        <f>AVERAGE(W794:Z794)</f>
        <v>5.4031269791666663</v>
      </c>
      <c r="AQ794" s="35">
        <f>AVERAGE(AA794:AD794)</f>
        <v>7.1004171458333332</v>
      </c>
      <c r="AR794" s="35">
        <f>AVERAGE(AE794:AH794)</f>
        <v>6.4225109791666668</v>
      </c>
      <c r="AS794" s="35">
        <f>AVERAGE(AI794:AL794)</f>
        <v>8.8800744791666659</v>
      </c>
    </row>
    <row r="795" spans="2:45" x14ac:dyDescent="0.2">
      <c r="B795" s="2">
        <v>43480.505266203705</v>
      </c>
      <c r="C795" s="5">
        <f t="shared" si="85"/>
        <v>18.083332610000006</v>
      </c>
      <c r="D795" s="14">
        <v>5.953487</v>
      </c>
      <c r="E795" s="14">
        <v>7.0532060000000003</v>
      </c>
      <c r="F795" s="14">
        <v>4.7371090000000002</v>
      </c>
      <c r="G795" s="14">
        <v>4.1373769999999999</v>
      </c>
      <c r="H795" s="15">
        <v>5.8545999999999996</v>
      </c>
      <c r="I795" s="15">
        <v>3.5126729999999999</v>
      </c>
      <c r="J795" s="15">
        <v>13.22336</v>
      </c>
      <c r="K795" s="15">
        <v>5.8600580000000004</v>
      </c>
      <c r="L795" s="16">
        <v>4.8648090000000002</v>
      </c>
      <c r="M795" s="16">
        <v>8.1717829999999996</v>
      </c>
      <c r="N795" s="16">
        <v>8.1549759999999996</v>
      </c>
      <c r="O795" s="16">
        <v>4.7355830000000001</v>
      </c>
      <c r="P795" s="17">
        <v>8.6715250000000008</v>
      </c>
      <c r="Q795" s="17">
        <v>9.6661920000000006</v>
      </c>
      <c r="R795" s="17">
        <v>5.6882760000000001</v>
      </c>
      <c r="S795" s="17">
        <v>11.617039999999999</v>
      </c>
      <c r="AP795" s="35"/>
      <c r="AQ795" s="35"/>
      <c r="AR795" s="35"/>
      <c r="AS795" s="35"/>
    </row>
    <row r="796" spans="2:45" x14ac:dyDescent="0.2">
      <c r="B796" s="2">
        <v>43480.508738425924</v>
      </c>
      <c r="C796" s="5">
        <f t="shared" si="85"/>
        <v>18.166665940000005</v>
      </c>
      <c r="D796" s="14">
        <v>5.9580650000000004</v>
      </c>
      <c r="E796" s="14">
        <v>7.0553520000000001</v>
      </c>
      <c r="F796" s="14">
        <v>4.7409720000000002</v>
      </c>
      <c r="G796" s="14">
        <v>4.1604080000000003</v>
      </c>
      <c r="H796" s="15">
        <v>5.8578900000000003</v>
      </c>
      <c r="I796" s="15">
        <v>3.5140319999999998</v>
      </c>
      <c r="J796" s="15">
        <v>13.22536</v>
      </c>
      <c r="K796" s="15">
        <v>5.8612029999999997</v>
      </c>
      <c r="L796" s="16">
        <v>4.8648090000000002</v>
      </c>
      <c r="M796" s="16">
        <v>8.1717829999999996</v>
      </c>
      <c r="N796" s="16">
        <v>8.1652760000000004</v>
      </c>
      <c r="O796" s="16">
        <v>4.7617620000000001</v>
      </c>
      <c r="P796" s="17">
        <v>8.6715250000000008</v>
      </c>
      <c r="Q796" s="17">
        <v>9.6672740000000008</v>
      </c>
      <c r="R796" s="17">
        <v>5.6965729999999999</v>
      </c>
      <c r="S796" s="17">
        <v>11.625909999999999</v>
      </c>
      <c r="AP796" s="35"/>
      <c r="AQ796" s="35"/>
      <c r="AR796" s="35"/>
      <c r="AS796" s="35"/>
    </row>
    <row r="797" spans="2:45" x14ac:dyDescent="0.2">
      <c r="B797" s="2">
        <v>43480.51221064815</v>
      </c>
      <c r="C797" s="5">
        <f t="shared" si="85"/>
        <v>18.249999270000004</v>
      </c>
      <c r="D797" s="14">
        <v>5.9626429999999999</v>
      </c>
      <c r="E797" s="14">
        <v>7.0582130000000003</v>
      </c>
      <c r="F797" s="14">
        <v>4.744834</v>
      </c>
      <c r="G797" s="14">
        <v>4.1834389999999999</v>
      </c>
      <c r="H797" s="15">
        <v>5.8611800000000001</v>
      </c>
      <c r="I797" s="15">
        <v>3.5153910000000002</v>
      </c>
      <c r="J797" s="15">
        <v>13.227359999999999</v>
      </c>
      <c r="K797" s="15">
        <v>5.8623469999999998</v>
      </c>
      <c r="L797" s="16">
        <v>4.8648090000000002</v>
      </c>
      <c r="M797" s="16">
        <v>8.1717829999999996</v>
      </c>
      <c r="N797" s="16">
        <v>8.1755750000000003</v>
      </c>
      <c r="O797" s="16">
        <v>4.7879399999999999</v>
      </c>
      <c r="P797" s="17">
        <v>8.6715250000000008</v>
      </c>
      <c r="Q797" s="17">
        <v>9.6672740000000008</v>
      </c>
      <c r="R797" s="17">
        <v>5.7048699999999997</v>
      </c>
      <c r="S797" s="17">
        <v>11.634779999999999</v>
      </c>
      <c r="AP797" s="35"/>
      <c r="AQ797" s="35"/>
      <c r="AR797" s="35"/>
      <c r="AS797" s="35"/>
    </row>
    <row r="798" spans="2:45" x14ac:dyDescent="0.2">
      <c r="B798" s="2">
        <v>43480.515682870369</v>
      </c>
      <c r="C798" s="5">
        <f t="shared" si="85"/>
        <v>18.333332600000002</v>
      </c>
      <c r="D798" s="14">
        <v>5.9672200000000002</v>
      </c>
      <c r="E798" s="14">
        <v>7.0610739999999996</v>
      </c>
      <c r="F798" s="14">
        <v>4.7486959999999998</v>
      </c>
      <c r="G798" s="14">
        <v>4.2064700000000004</v>
      </c>
      <c r="H798" s="15">
        <v>5.8644699999999998</v>
      </c>
      <c r="I798" s="15">
        <v>3.51675</v>
      </c>
      <c r="J798" s="15">
        <v>13.229369999999999</v>
      </c>
      <c r="K798" s="15">
        <v>5.8634919999999999</v>
      </c>
      <c r="L798" s="16">
        <v>4.8648090000000002</v>
      </c>
      <c r="M798" s="16">
        <v>8.1717829999999996</v>
      </c>
      <c r="N798" s="16">
        <v>8.1858749999999993</v>
      </c>
      <c r="O798" s="16">
        <v>4.8141179999999997</v>
      </c>
      <c r="P798" s="17">
        <v>8.6715250000000008</v>
      </c>
      <c r="Q798" s="17">
        <v>9.6720570000000006</v>
      </c>
      <c r="R798" s="17">
        <v>5.7131670000000003</v>
      </c>
      <c r="S798" s="17">
        <v>11.643649999999999</v>
      </c>
      <c r="AP798" s="35"/>
      <c r="AQ798" s="35"/>
      <c r="AR798" s="35"/>
      <c r="AS798" s="35"/>
    </row>
    <row r="799" spans="2:45" x14ac:dyDescent="0.2">
      <c r="B799" s="2">
        <v>43480.519155092596</v>
      </c>
      <c r="C799" s="5">
        <f t="shared" si="85"/>
        <v>18.416665930000001</v>
      </c>
      <c r="D799" s="14">
        <v>5.9717979999999997</v>
      </c>
      <c r="E799" s="14">
        <v>7.0639349999999999</v>
      </c>
      <c r="F799" s="14">
        <v>4.7525589999999998</v>
      </c>
      <c r="G799" s="14">
        <v>4.2295020000000001</v>
      </c>
      <c r="H799" s="15">
        <v>5.8677609999999998</v>
      </c>
      <c r="I799" s="15">
        <v>3.5181089999999999</v>
      </c>
      <c r="J799" s="15">
        <v>13.23137</v>
      </c>
      <c r="K799" s="15">
        <v>5.864636</v>
      </c>
      <c r="L799" s="16">
        <v>4.8648090000000002</v>
      </c>
      <c r="M799" s="16">
        <v>8.1717829999999996</v>
      </c>
      <c r="N799" s="16">
        <v>8.1961750000000002</v>
      </c>
      <c r="O799" s="16">
        <v>4.8402969999999996</v>
      </c>
      <c r="P799" s="17">
        <v>8.6715250000000008</v>
      </c>
      <c r="Q799" s="17">
        <v>9.6739709999999999</v>
      </c>
      <c r="R799" s="17">
        <v>5.7214640000000001</v>
      </c>
      <c r="S799" s="17">
        <v>11.652520000000001</v>
      </c>
      <c r="AP799" s="35"/>
      <c r="AQ799" s="35"/>
      <c r="AR799" s="35"/>
      <c r="AS799" s="35"/>
    </row>
    <row r="800" spans="2:45" x14ac:dyDescent="0.2">
      <c r="B800" s="2">
        <v>43480.522627314815</v>
      </c>
      <c r="C800" s="5">
        <f t="shared" si="85"/>
        <v>18.499999259999999</v>
      </c>
      <c r="D800" s="14">
        <v>5.9763760000000001</v>
      </c>
      <c r="E800" s="14">
        <v>7.0667960000000001</v>
      </c>
      <c r="F800" s="14">
        <v>4.7564209999999996</v>
      </c>
      <c r="G800" s="14">
        <v>4.2525329999999997</v>
      </c>
      <c r="H800" s="15">
        <v>5.8710509999999996</v>
      </c>
      <c r="I800" s="15">
        <v>3.5194679999999998</v>
      </c>
      <c r="J800" s="15">
        <v>13.233370000000001</v>
      </c>
      <c r="K800" s="15">
        <v>5.86578</v>
      </c>
      <c r="L800" s="16">
        <v>4.8648090000000002</v>
      </c>
      <c r="M800" s="16">
        <v>8.1717829999999996</v>
      </c>
      <c r="N800" s="16">
        <v>8.206474</v>
      </c>
      <c r="O800" s="16">
        <v>4.8664750000000003</v>
      </c>
      <c r="P800" s="17">
        <v>8.6715250000000008</v>
      </c>
      <c r="Q800" s="17">
        <v>9.6765460000000001</v>
      </c>
      <c r="R800" s="17">
        <v>5.7297609999999999</v>
      </c>
      <c r="S800" s="17">
        <v>11.661390000000001</v>
      </c>
      <c r="AP800" s="35"/>
      <c r="AQ800" s="35"/>
      <c r="AR800" s="35"/>
      <c r="AS800" s="35"/>
    </row>
    <row r="801" spans="2:45" x14ac:dyDescent="0.2">
      <c r="B801" s="2">
        <v>43480.526099537034</v>
      </c>
      <c r="C801" s="5">
        <f t="shared" si="85"/>
        <v>18.583332589999998</v>
      </c>
      <c r="D801" s="14">
        <v>5.9809530000000004</v>
      </c>
      <c r="E801" s="14">
        <v>7.0696570000000003</v>
      </c>
      <c r="F801" s="14">
        <v>4.7602830000000003</v>
      </c>
      <c r="G801" s="14">
        <v>4.2755640000000001</v>
      </c>
      <c r="H801" s="15">
        <v>5.8743410000000003</v>
      </c>
      <c r="I801" s="15">
        <v>3.5208270000000002</v>
      </c>
      <c r="J801" s="15">
        <v>13.23537</v>
      </c>
      <c r="K801" s="15">
        <v>5.8669250000000002</v>
      </c>
      <c r="L801" s="16">
        <v>4.8648090000000002</v>
      </c>
      <c r="M801" s="16">
        <v>8.1717829999999996</v>
      </c>
      <c r="N801" s="16">
        <v>8.2167739999999991</v>
      </c>
      <c r="O801" s="16">
        <v>4.8926530000000001</v>
      </c>
      <c r="P801" s="17">
        <v>8.6715250000000008</v>
      </c>
      <c r="Q801" s="17">
        <v>9.6791210000000003</v>
      </c>
      <c r="R801" s="17">
        <v>5.7380579999999997</v>
      </c>
      <c r="S801" s="17">
        <v>11.670260000000001</v>
      </c>
      <c r="AP801" s="35"/>
      <c r="AQ801" s="35"/>
      <c r="AR801" s="35"/>
      <c r="AS801" s="35"/>
    </row>
    <row r="802" spans="2:45" x14ac:dyDescent="0.2">
      <c r="B802" s="2">
        <v>43480.52957175926</v>
      </c>
      <c r="C802" s="5">
        <f t="shared" si="85"/>
        <v>18.666665919999996</v>
      </c>
      <c r="D802" s="14">
        <v>5.9855309999999999</v>
      </c>
      <c r="E802" s="14">
        <v>7.0725179999999996</v>
      </c>
      <c r="F802" s="14">
        <v>4.7641460000000002</v>
      </c>
      <c r="G802" s="14">
        <v>4.2985949999999997</v>
      </c>
      <c r="H802" s="15">
        <v>5.877631</v>
      </c>
      <c r="I802" s="15">
        <v>3.522186</v>
      </c>
      <c r="J802" s="15">
        <v>13.23738</v>
      </c>
      <c r="K802" s="15">
        <v>5.8680690000000002</v>
      </c>
      <c r="L802" s="16">
        <v>4.8648090000000002</v>
      </c>
      <c r="M802" s="16">
        <v>8.1717829999999996</v>
      </c>
      <c r="N802" s="16">
        <v>8.227074</v>
      </c>
      <c r="O802" s="16">
        <v>4.9188320000000001</v>
      </c>
      <c r="P802" s="17">
        <v>8.6715250000000008</v>
      </c>
      <c r="Q802" s="17">
        <v>9.6816960000000005</v>
      </c>
      <c r="R802" s="17">
        <v>5.7463550000000003</v>
      </c>
      <c r="S802" s="17">
        <v>11.679130000000001</v>
      </c>
      <c r="AP802" s="35"/>
      <c r="AQ802" s="35"/>
      <c r="AR802" s="35"/>
      <c r="AS802" s="35"/>
    </row>
    <row r="803" spans="2:45" x14ac:dyDescent="0.2">
      <c r="B803" s="2">
        <v>43480.533043981479</v>
      </c>
      <c r="C803" s="5">
        <f t="shared" si="85"/>
        <v>18.749999249999995</v>
      </c>
      <c r="D803" s="14">
        <v>5.9901080000000002</v>
      </c>
      <c r="E803" s="14">
        <v>7.0753789999999999</v>
      </c>
      <c r="F803" s="14">
        <v>4.768008</v>
      </c>
      <c r="G803" s="14">
        <v>4.3216270000000003</v>
      </c>
      <c r="H803" s="15">
        <v>5.8809209999999998</v>
      </c>
      <c r="I803" s="15">
        <v>3.5235449999999999</v>
      </c>
      <c r="J803" s="15">
        <v>13.239380000000001</v>
      </c>
      <c r="K803" s="15">
        <v>5.8692140000000004</v>
      </c>
      <c r="L803" s="16">
        <v>4.8648090000000002</v>
      </c>
      <c r="M803" s="16">
        <v>8.1717829999999996</v>
      </c>
      <c r="N803" s="16">
        <v>8.2373729999999998</v>
      </c>
      <c r="O803" s="16">
        <v>4.9450099999999999</v>
      </c>
      <c r="P803" s="17">
        <v>8.6715250000000008</v>
      </c>
      <c r="Q803" s="17">
        <v>9.6842710000000007</v>
      </c>
      <c r="R803" s="17">
        <v>5.7546520000000001</v>
      </c>
      <c r="S803" s="17">
        <v>11.688000000000001</v>
      </c>
      <c r="AP803" s="35"/>
      <c r="AQ803" s="35"/>
      <c r="AR803" s="35"/>
      <c r="AS803" s="35"/>
    </row>
    <row r="804" spans="2:45" x14ac:dyDescent="0.2">
      <c r="B804" s="2">
        <v>43480.536516203705</v>
      </c>
      <c r="C804" s="5">
        <f t="shared" si="85"/>
        <v>18.833332579999993</v>
      </c>
      <c r="D804" s="14">
        <v>5.9946859999999997</v>
      </c>
      <c r="E804" s="14">
        <v>7.0782400000000001</v>
      </c>
      <c r="F804" s="14">
        <v>4.771871</v>
      </c>
      <c r="G804" s="14">
        <v>4.3446579999999999</v>
      </c>
      <c r="H804" s="15">
        <v>5.8842119999999998</v>
      </c>
      <c r="I804" s="15">
        <v>3.5249039999999998</v>
      </c>
      <c r="J804" s="15">
        <v>13.24058</v>
      </c>
      <c r="K804" s="15">
        <v>5.8703580000000004</v>
      </c>
      <c r="L804" s="16">
        <v>4.8648090000000002</v>
      </c>
      <c r="M804" s="16">
        <v>8.1717829999999996</v>
      </c>
      <c r="N804" s="16">
        <v>8.2476730000000007</v>
      </c>
      <c r="O804" s="16">
        <v>4.9711889999999999</v>
      </c>
      <c r="P804" s="17">
        <v>8.6715250000000008</v>
      </c>
      <c r="Q804" s="17">
        <v>9.6868459999999992</v>
      </c>
      <c r="R804" s="17">
        <v>5.7629489999999999</v>
      </c>
      <c r="S804" s="17">
        <v>11.696870000000001</v>
      </c>
      <c r="AP804" s="35"/>
      <c r="AQ804" s="35"/>
      <c r="AR804" s="35"/>
      <c r="AS804" s="35"/>
    </row>
    <row r="805" spans="2:45" x14ac:dyDescent="0.2">
      <c r="B805" s="2">
        <v>43480.539988425924</v>
      </c>
      <c r="C805" s="5">
        <f t="shared" si="85"/>
        <v>18.916665909999992</v>
      </c>
      <c r="D805" s="14">
        <v>5.9992640000000002</v>
      </c>
      <c r="E805" s="14">
        <v>7.0811010000000003</v>
      </c>
      <c r="F805" s="14">
        <v>4.7757329999999998</v>
      </c>
      <c r="G805" s="14">
        <v>4.3676890000000004</v>
      </c>
      <c r="H805" s="15">
        <v>5.8875019999999996</v>
      </c>
      <c r="I805" s="15">
        <v>3.5262630000000001</v>
      </c>
      <c r="J805" s="15">
        <v>13.24058</v>
      </c>
      <c r="K805" s="15">
        <v>5.8715020000000004</v>
      </c>
      <c r="L805" s="16">
        <v>4.8648090000000002</v>
      </c>
      <c r="M805" s="16">
        <v>8.1717829999999996</v>
      </c>
      <c r="N805" s="16">
        <v>8.2579729999999998</v>
      </c>
      <c r="O805" s="16">
        <v>4.9973669999999997</v>
      </c>
      <c r="P805" s="17">
        <v>8.6715250000000008</v>
      </c>
      <c r="Q805" s="17">
        <v>9.6894209999999994</v>
      </c>
      <c r="R805" s="17">
        <v>5.7712450000000004</v>
      </c>
      <c r="S805" s="17">
        <v>11.705730000000001</v>
      </c>
      <c r="AP805" s="35"/>
      <c r="AQ805" s="35"/>
      <c r="AR805" s="35"/>
      <c r="AS805" s="35"/>
    </row>
    <row r="806" spans="2:45" x14ac:dyDescent="0.2">
      <c r="B806" s="2">
        <v>43480.54346064815</v>
      </c>
      <c r="C806" s="5">
        <f t="shared" si="85"/>
        <v>18.99999923999999</v>
      </c>
      <c r="D806" s="14">
        <v>6.0038410000000004</v>
      </c>
      <c r="E806" s="14">
        <v>7.0839619999999996</v>
      </c>
      <c r="F806" s="14">
        <v>4.7795949999999996</v>
      </c>
      <c r="G806" s="14">
        <v>4.39072</v>
      </c>
      <c r="H806" s="15">
        <v>5.8907920000000003</v>
      </c>
      <c r="I806" s="15">
        <v>3.527622</v>
      </c>
      <c r="J806" s="15">
        <v>13.249280000000001</v>
      </c>
      <c r="K806" s="15">
        <v>5.8726469999999997</v>
      </c>
      <c r="L806" s="16">
        <v>4.8648090000000002</v>
      </c>
      <c r="M806" s="16">
        <v>8.1717829999999996</v>
      </c>
      <c r="N806" s="16">
        <v>8.2682719999999996</v>
      </c>
      <c r="O806" s="16">
        <v>5.0235450000000004</v>
      </c>
      <c r="P806" s="17">
        <v>8.6715250000000008</v>
      </c>
      <c r="Q806" s="17">
        <v>9.6919959999999996</v>
      </c>
      <c r="R806" s="17">
        <v>5.7795420000000002</v>
      </c>
      <c r="S806" s="17">
        <v>11.714600000000001</v>
      </c>
      <c r="V806" s="25">
        <v>19</v>
      </c>
      <c r="W806">
        <f>AVERAGE(D795:D806)</f>
        <v>5.9786643333333336</v>
      </c>
      <c r="X806">
        <f t="shared" ref="X806:AL806" si="88">AVERAGE(E795:E806)</f>
        <v>7.0682860833333336</v>
      </c>
      <c r="Y806">
        <f t="shared" si="88"/>
        <v>4.7583522500000006</v>
      </c>
      <c r="Z806">
        <f t="shared" si="88"/>
        <v>4.2640485000000004</v>
      </c>
      <c r="AA806">
        <f t="shared" si="88"/>
        <v>5.8726959166666672</v>
      </c>
      <c r="AB806">
        <f t="shared" si="88"/>
        <v>3.5201475000000002</v>
      </c>
      <c r="AC806">
        <f t="shared" si="88"/>
        <v>13.234396666666667</v>
      </c>
      <c r="AD806">
        <f t="shared" si="88"/>
        <v>5.8663525833333336</v>
      </c>
      <c r="AE806">
        <f t="shared" si="88"/>
        <v>4.8648090000000002</v>
      </c>
      <c r="AF806">
        <f t="shared" si="88"/>
        <v>8.1717830000000014</v>
      </c>
      <c r="AG806">
        <f t="shared" si="88"/>
        <v>8.2116241666666667</v>
      </c>
      <c r="AH806">
        <f t="shared" si="88"/>
        <v>4.8795642499999996</v>
      </c>
      <c r="AI806">
        <f t="shared" si="88"/>
        <v>8.6715250000000008</v>
      </c>
      <c r="AJ806">
        <f t="shared" si="88"/>
        <v>9.6780554166666679</v>
      </c>
      <c r="AK806">
        <f t="shared" si="88"/>
        <v>5.733909333333334</v>
      </c>
      <c r="AL806">
        <f t="shared" si="88"/>
        <v>11.665823333333334</v>
      </c>
      <c r="AO806" s="25">
        <v>19</v>
      </c>
      <c r="AP806" s="35">
        <f>AVERAGE(W806:Z806)</f>
        <v>5.5173377916666677</v>
      </c>
      <c r="AQ806" s="35">
        <f>AVERAGE(AA806:AD806)</f>
        <v>7.123398166666667</v>
      </c>
      <c r="AR806" s="35">
        <f>AVERAGE(AE806:AH806)</f>
        <v>6.5319451041666667</v>
      </c>
      <c r="AS806" s="35">
        <f>AVERAGE(AI806:AL806)</f>
        <v>8.9373282708333335</v>
      </c>
    </row>
    <row r="807" spans="2:45" x14ac:dyDescent="0.2">
      <c r="B807" s="2">
        <v>43480.546932870369</v>
      </c>
      <c r="C807" s="5">
        <f t="shared" si="85"/>
        <v>19.083332569999989</v>
      </c>
      <c r="D807" s="14">
        <v>6.008419</v>
      </c>
      <c r="E807" s="14">
        <v>7.0868229999999999</v>
      </c>
      <c r="F807" s="14">
        <v>4.7834580000000004</v>
      </c>
      <c r="G807" s="14">
        <v>4.4137519999999997</v>
      </c>
      <c r="H807" s="15">
        <v>5.894082</v>
      </c>
      <c r="I807" s="15">
        <v>3.5289809999999999</v>
      </c>
      <c r="J807" s="15">
        <v>13.266450000000001</v>
      </c>
      <c r="K807" s="15">
        <v>5.8737909999999998</v>
      </c>
      <c r="L807" s="16">
        <v>4.8648090000000002</v>
      </c>
      <c r="M807" s="16">
        <v>8.1717829999999996</v>
      </c>
      <c r="N807" s="16">
        <v>8.2785720000000005</v>
      </c>
      <c r="O807" s="16">
        <v>5.0497240000000003</v>
      </c>
      <c r="P807" s="17">
        <v>8.6715250000000008</v>
      </c>
      <c r="Q807" s="17">
        <v>9.6945709999999998</v>
      </c>
      <c r="R807" s="17">
        <v>5.787839</v>
      </c>
      <c r="S807" s="17">
        <v>11.723470000000001</v>
      </c>
      <c r="AP807" s="35"/>
      <c r="AQ807" s="35"/>
      <c r="AR807" s="35"/>
      <c r="AS807" s="35"/>
    </row>
    <row r="808" spans="2:45" x14ac:dyDescent="0.2">
      <c r="B808" s="2">
        <v>43480.550405092596</v>
      </c>
      <c r="C808" s="5">
        <f t="shared" si="85"/>
        <v>19.166665899999987</v>
      </c>
      <c r="D808" s="14">
        <v>6.0129970000000004</v>
      </c>
      <c r="E808" s="14">
        <v>7.0879490000000001</v>
      </c>
      <c r="F808" s="14">
        <v>4.7873200000000002</v>
      </c>
      <c r="G808" s="14">
        <v>4.4367830000000001</v>
      </c>
      <c r="H808" s="15">
        <v>5.8973719999999998</v>
      </c>
      <c r="I808" s="15">
        <v>3.5303399999999998</v>
      </c>
      <c r="J808" s="15">
        <v>13.283609999999999</v>
      </c>
      <c r="K808" s="15">
        <v>5.8749359999999999</v>
      </c>
      <c r="L808" s="16">
        <v>4.8648090000000002</v>
      </c>
      <c r="M808" s="16">
        <v>8.1717829999999996</v>
      </c>
      <c r="N808" s="16">
        <v>8.2888719999999996</v>
      </c>
      <c r="O808" s="16">
        <v>5.0759020000000001</v>
      </c>
      <c r="P808" s="17">
        <v>8.6715250000000008</v>
      </c>
      <c r="Q808" s="17">
        <v>9.6971450000000008</v>
      </c>
      <c r="R808" s="17">
        <v>5.7961359999999997</v>
      </c>
      <c r="S808" s="17">
        <v>11.732340000000001</v>
      </c>
      <c r="AP808" s="35"/>
      <c r="AQ808" s="35"/>
      <c r="AR808" s="35"/>
      <c r="AS808" s="35"/>
    </row>
    <row r="809" spans="2:45" x14ac:dyDescent="0.2">
      <c r="B809" s="2">
        <v>43480.553877314815</v>
      </c>
      <c r="C809" s="5">
        <f t="shared" si="85"/>
        <v>19.249999229999986</v>
      </c>
      <c r="D809" s="14">
        <v>6.0175739999999998</v>
      </c>
      <c r="E809" s="14">
        <v>7.0879490000000001</v>
      </c>
      <c r="F809" s="14">
        <v>4.7911830000000002</v>
      </c>
      <c r="G809" s="14">
        <v>4.4598139999999997</v>
      </c>
      <c r="H809" s="15">
        <v>5.9006619999999996</v>
      </c>
      <c r="I809" s="15">
        <v>3.5316990000000001</v>
      </c>
      <c r="J809" s="15">
        <v>13.30078</v>
      </c>
      <c r="K809" s="15">
        <v>5.87608</v>
      </c>
      <c r="L809" s="16">
        <v>4.8648090000000002</v>
      </c>
      <c r="M809" s="16">
        <v>8.1717829999999996</v>
      </c>
      <c r="N809" s="16">
        <v>8.2991709999999994</v>
      </c>
      <c r="O809" s="16">
        <v>5.1020799999999999</v>
      </c>
      <c r="P809" s="17">
        <v>8.6715250000000008</v>
      </c>
      <c r="Q809" s="17">
        <v>9.6997199999999992</v>
      </c>
      <c r="R809" s="17">
        <v>5.8044330000000004</v>
      </c>
      <c r="S809" s="17">
        <v>11.741210000000001</v>
      </c>
      <c r="AP809" s="35"/>
      <c r="AQ809" s="35"/>
      <c r="AR809" s="35"/>
      <c r="AS809" s="35"/>
    </row>
    <row r="810" spans="2:45" x14ac:dyDescent="0.2">
      <c r="B810" s="2">
        <v>43480.557349537034</v>
      </c>
      <c r="C810" s="5">
        <f t="shared" si="85"/>
        <v>19.333332559999985</v>
      </c>
      <c r="D810" s="14">
        <v>6.0221520000000002</v>
      </c>
      <c r="E810" s="14">
        <v>7.0879490000000001</v>
      </c>
      <c r="F810" s="14">
        <v>4.7938280000000004</v>
      </c>
      <c r="G810" s="14">
        <v>4.4828450000000002</v>
      </c>
      <c r="H810" s="15">
        <v>5.9039529999999996</v>
      </c>
      <c r="I810" s="15">
        <v>3.533058</v>
      </c>
      <c r="J810" s="15">
        <v>13.31794</v>
      </c>
      <c r="K810" s="15">
        <v>5.877224</v>
      </c>
      <c r="L810" s="16">
        <v>4.8648090000000002</v>
      </c>
      <c r="M810" s="16">
        <v>8.1717829999999996</v>
      </c>
      <c r="N810" s="16">
        <v>8.3094710000000003</v>
      </c>
      <c r="O810" s="16">
        <v>5.1282589999999999</v>
      </c>
      <c r="P810" s="17">
        <v>8.6715250000000008</v>
      </c>
      <c r="Q810" s="17">
        <v>9.7022949999999994</v>
      </c>
      <c r="R810" s="17">
        <v>5.8127300000000002</v>
      </c>
      <c r="S810" s="17">
        <v>11.750080000000001</v>
      </c>
      <c r="AP810" s="35"/>
      <c r="AQ810" s="35"/>
      <c r="AR810" s="35"/>
      <c r="AS810" s="35"/>
    </row>
    <row r="811" spans="2:45" x14ac:dyDescent="0.2">
      <c r="B811" s="2">
        <v>43480.56082175926</v>
      </c>
      <c r="C811" s="5">
        <f t="shared" si="85"/>
        <v>19.416665889999983</v>
      </c>
      <c r="D811" s="14">
        <v>6.0267299999999997</v>
      </c>
      <c r="E811" s="14">
        <v>7.0879490000000001</v>
      </c>
      <c r="F811" s="14">
        <v>4.8022900000000002</v>
      </c>
      <c r="G811" s="14">
        <v>4.5058769999999999</v>
      </c>
      <c r="H811" s="15">
        <v>5.9072430000000002</v>
      </c>
      <c r="I811" s="15">
        <v>3.5344169999999999</v>
      </c>
      <c r="J811" s="15">
        <v>13.33511</v>
      </c>
      <c r="K811" s="15">
        <v>5.8783690000000002</v>
      </c>
      <c r="L811" s="16">
        <v>4.8648090000000002</v>
      </c>
      <c r="M811" s="16">
        <v>8.1717829999999996</v>
      </c>
      <c r="N811" s="16">
        <v>8.3197709999999994</v>
      </c>
      <c r="O811" s="16">
        <v>5.1544369999999997</v>
      </c>
      <c r="P811" s="17">
        <v>8.6715250000000008</v>
      </c>
      <c r="Q811" s="17">
        <v>9.7048699999999997</v>
      </c>
      <c r="R811" s="17">
        <v>5.821027</v>
      </c>
      <c r="S811" s="17">
        <v>11.75895</v>
      </c>
      <c r="AP811" s="35"/>
      <c r="AQ811" s="35"/>
      <c r="AR811" s="35"/>
      <c r="AS811" s="35"/>
    </row>
    <row r="812" spans="2:45" x14ac:dyDescent="0.2">
      <c r="B812" s="2">
        <v>43480.564293981479</v>
      </c>
      <c r="C812" s="5">
        <f t="shared" si="85"/>
        <v>19.499999219999982</v>
      </c>
      <c r="D812" s="14">
        <v>6.031307</v>
      </c>
      <c r="E812" s="14">
        <v>7.0879490000000001</v>
      </c>
      <c r="F812" s="14">
        <v>4.8131620000000002</v>
      </c>
      <c r="G812" s="14">
        <v>4.5289080000000004</v>
      </c>
      <c r="H812" s="15">
        <v>5.910533</v>
      </c>
      <c r="I812" s="15">
        <v>3.5357759999999998</v>
      </c>
      <c r="J812" s="15">
        <v>13.35228</v>
      </c>
      <c r="K812" s="15">
        <v>5.8795130000000002</v>
      </c>
      <c r="L812" s="16">
        <v>4.8648090000000002</v>
      </c>
      <c r="M812" s="16">
        <v>8.1717829999999996</v>
      </c>
      <c r="N812" s="16">
        <v>8.3300699999999992</v>
      </c>
      <c r="O812" s="16">
        <v>5.1806150000000004</v>
      </c>
      <c r="P812" s="17">
        <v>8.6715250000000008</v>
      </c>
      <c r="Q812" s="17">
        <v>9.7074449999999999</v>
      </c>
      <c r="R812" s="17">
        <v>5.8293239999999997</v>
      </c>
      <c r="S812" s="17">
        <v>11.76782</v>
      </c>
      <c r="AP812" s="35"/>
      <c r="AQ812" s="35"/>
      <c r="AR812" s="35"/>
      <c r="AS812" s="35"/>
    </row>
    <row r="813" spans="2:45" x14ac:dyDescent="0.2">
      <c r="B813" s="2">
        <v>43480.567766203705</v>
      </c>
      <c r="C813" s="5">
        <f t="shared" si="85"/>
        <v>19.58333254999998</v>
      </c>
      <c r="D813" s="14">
        <v>6.0358850000000004</v>
      </c>
      <c r="E813" s="14">
        <v>7.0879490000000001</v>
      </c>
      <c r="F813" s="14">
        <v>4.8240340000000002</v>
      </c>
      <c r="G813" s="14">
        <v>4.551939</v>
      </c>
      <c r="H813" s="15">
        <v>5.9138229999999998</v>
      </c>
      <c r="I813" s="15">
        <v>3.5371350000000001</v>
      </c>
      <c r="J813" s="15">
        <v>13.369440000000001</v>
      </c>
      <c r="K813" s="15">
        <v>5.8806580000000004</v>
      </c>
      <c r="L813" s="16">
        <v>4.8648090000000002</v>
      </c>
      <c r="M813" s="16">
        <v>8.1717829999999996</v>
      </c>
      <c r="N813" s="16">
        <v>8.3389109999999995</v>
      </c>
      <c r="O813" s="16">
        <v>5.2035210000000003</v>
      </c>
      <c r="P813" s="17">
        <v>8.6715250000000008</v>
      </c>
      <c r="Q813" s="17">
        <v>9.7100200000000001</v>
      </c>
      <c r="R813" s="17">
        <v>5.8376210000000004</v>
      </c>
      <c r="S813" s="17">
        <v>11.77669</v>
      </c>
      <c r="AP813" s="35"/>
      <c r="AQ813" s="35"/>
      <c r="AR813" s="35"/>
      <c r="AS813" s="35"/>
    </row>
    <row r="814" spans="2:45" x14ac:dyDescent="0.2">
      <c r="B814" s="2">
        <v>43480.571238425924</v>
      </c>
      <c r="C814" s="5">
        <f t="shared" si="85"/>
        <v>19.666665879999979</v>
      </c>
      <c r="D814" s="14">
        <v>6.0404619999999998</v>
      </c>
      <c r="E814" s="14">
        <v>7.0879490000000001</v>
      </c>
      <c r="F814" s="14">
        <v>4.8349060000000001</v>
      </c>
      <c r="G814" s="14">
        <v>4.5749700000000004</v>
      </c>
      <c r="H814" s="15">
        <v>5.9171129999999996</v>
      </c>
      <c r="I814" s="15">
        <v>3.538494</v>
      </c>
      <c r="J814" s="15">
        <v>13.386609999999999</v>
      </c>
      <c r="K814" s="15">
        <v>5.8818020000000004</v>
      </c>
      <c r="L814" s="16">
        <v>4.8648090000000002</v>
      </c>
      <c r="M814" s="16">
        <v>8.1717829999999996</v>
      </c>
      <c r="N814" s="16">
        <v>8.3389109999999995</v>
      </c>
      <c r="O814" s="16">
        <v>5.2076500000000001</v>
      </c>
      <c r="P814" s="17">
        <v>8.6773959999999999</v>
      </c>
      <c r="Q814" s="17">
        <v>9.7125950000000003</v>
      </c>
      <c r="R814" s="17">
        <v>5.8459180000000002</v>
      </c>
      <c r="S814" s="17">
        <v>11.78556</v>
      </c>
      <c r="AP814" s="35"/>
      <c r="AQ814" s="35"/>
      <c r="AR814" s="35"/>
      <c r="AS814" s="35"/>
    </row>
    <row r="815" spans="2:45" x14ac:dyDescent="0.2">
      <c r="B815" s="2">
        <v>43480.57471064815</v>
      </c>
      <c r="C815" s="5">
        <f t="shared" si="85"/>
        <v>19.749999209999977</v>
      </c>
      <c r="D815" s="14">
        <v>6.0450400000000002</v>
      </c>
      <c r="E815" s="14">
        <v>7.0879490000000001</v>
      </c>
      <c r="F815" s="14">
        <v>4.8457780000000001</v>
      </c>
      <c r="G815" s="14">
        <v>4.598001</v>
      </c>
      <c r="H815" s="15">
        <v>5.9204030000000003</v>
      </c>
      <c r="I815" s="15">
        <v>3.5398529999999999</v>
      </c>
      <c r="J815" s="15">
        <v>13.40377</v>
      </c>
      <c r="K815" s="15">
        <v>5.8829459999999996</v>
      </c>
      <c r="L815" s="16">
        <v>4.8648090000000002</v>
      </c>
      <c r="M815" s="16">
        <v>8.1717829999999996</v>
      </c>
      <c r="N815" s="16">
        <v>8.3389109999999995</v>
      </c>
      <c r="O815" s="16">
        <v>5.2150879999999997</v>
      </c>
      <c r="P815" s="17">
        <v>8.6851210000000005</v>
      </c>
      <c r="Q815" s="17">
        <v>9.7151700000000005</v>
      </c>
      <c r="R815" s="17">
        <v>5.8542149999999999</v>
      </c>
      <c r="S815" s="17">
        <v>11.79443</v>
      </c>
      <c r="AP815" s="35"/>
      <c r="AQ815" s="35"/>
      <c r="AR815" s="35"/>
      <c r="AS815" s="35"/>
    </row>
    <row r="816" spans="2:45" x14ac:dyDescent="0.2">
      <c r="B816" s="2">
        <v>43480.578182870369</v>
      </c>
      <c r="C816" s="5">
        <f t="shared" si="85"/>
        <v>19.833332539999976</v>
      </c>
      <c r="D816" s="14">
        <v>6.0487630000000001</v>
      </c>
      <c r="E816" s="14">
        <v>7.0879490000000001</v>
      </c>
      <c r="F816" s="14">
        <v>4.856649</v>
      </c>
      <c r="G816" s="14">
        <v>4.6210329999999997</v>
      </c>
      <c r="H816" s="15">
        <v>5.9236940000000002</v>
      </c>
      <c r="I816" s="15">
        <v>3.5412119999999998</v>
      </c>
      <c r="J816" s="15">
        <v>13.42094</v>
      </c>
      <c r="K816" s="15">
        <v>5.8840909999999997</v>
      </c>
      <c r="L816" s="16">
        <v>4.8648090000000002</v>
      </c>
      <c r="M816" s="16">
        <v>8.1717829999999996</v>
      </c>
      <c r="N816" s="16">
        <v>8.3389109999999995</v>
      </c>
      <c r="O816" s="16">
        <v>5.2225270000000004</v>
      </c>
      <c r="P816" s="17">
        <v>8.6928450000000002</v>
      </c>
      <c r="Q816" s="17">
        <v>9.7177450000000007</v>
      </c>
      <c r="R816" s="17">
        <v>5.8625119999999997</v>
      </c>
      <c r="S816" s="17">
        <v>11.8033</v>
      </c>
      <c r="AP816" s="35"/>
      <c r="AQ816" s="35"/>
      <c r="AR816" s="35"/>
      <c r="AS816" s="35"/>
    </row>
    <row r="817" spans="2:45" x14ac:dyDescent="0.2">
      <c r="B817" s="2">
        <v>43480.581655092596</v>
      </c>
      <c r="C817" s="5">
        <f t="shared" si="85"/>
        <v>19.916665869999974</v>
      </c>
      <c r="D817" s="14">
        <v>6.0487630000000001</v>
      </c>
      <c r="E817" s="14">
        <v>7.0879490000000001</v>
      </c>
      <c r="F817" s="14">
        <v>4.867521</v>
      </c>
      <c r="G817" s="14">
        <v>4.6440640000000002</v>
      </c>
      <c r="H817" s="15">
        <v>5.926984</v>
      </c>
      <c r="I817" s="15">
        <v>3.5425710000000001</v>
      </c>
      <c r="J817" s="15">
        <v>13.43811</v>
      </c>
      <c r="K817" s="15">
        <v>5.8852349999999998</v>
      </c>
      <c r="L817" s="16">
        <v>4.8648090000000002</v>
      </c>
      <c r="M817" s="16">
        <v>8.1717829999999996</v>
      </c>
      <c r="N817" s="16">
        <v>8.3389109999999995</v>
      </c>
      <c r="O817" s="16">
        <v>5.2299660000000001</v>
      </c>
      <c r="P817" s="17">
        <v>8.7005700000000008</v>
      </c>
      <c r="Q817" s="17">
        <v>9.7203199999999992</v>
      </c>
      <c r="R817" s="17">
        <v>5.8708090000000004</v>
      </c>
      <c r="S817" s="17">
        <v>11.81216</v>
      </c>
      <c r="AP817" s="35"/>
      <c r="AQ817" s="35"/>
      <c r="AR817" s="35"/>
      <c r="AS817" s="35"/>
    </row>
    <row r="818" spans="2:45" x14ac:dyDescent="0.2">
      <c r="B818" s="2">
        <v>43480.585127314815</v>
      </c>
      <c r="C818" s="5">
        <f t="shared" si="85"/>
        <v>19.999999199999973</v>
      </c>
      <c r="D818" s="14">
        <v>6.0487630000000001</v>
      </c>
      <c r="E818" s="14">
        <v>7.0879490000000001</v>
      </c>
      <c r="F818" s="14">
        <v>4.878393</v>
      </c>
      <c r="G818" s="14">
        <v>4.6670949999999998</v>
      </c>
      <c r="H818" s="15">
        <v>5.9302739999999998</v>
      </c>
      <c r="I818" s="15">
        <v>3.54393</v>
      </c>
      <c r="J818" s="15">
        <v>13.455270000000001</v>
      </c>
      <c r="K818" s="15">
        <v>5.8863799999999999</v>
      </c>
      <c r="L818" s="16">
        <v>4.8648090000000002</v>
      </c>
      <c r="M818" s="16">
        <v>8.1717829999999996</v>
      </c>
      <c r="N818" s="16">
        <v>8.3606660000000002</v>
      </c>
      <c r="O818" s="16">
        <v>5.2374039999999997</v>
      </c>
      <c r="P818" s="17">
        <v>8.7082949999999997</v>
      </c>
      <c r="Q818" s="17">
        <v>9.7228949999999994</v>
      </c>
      <c r="R818" s="17">
        <v>5.8791060000000002</v>
      </c>
      <c r="S818" s="17">
        <v>11.82103</v>
      </c>
      <c r="V818" s="25">
        <v>20</v>
      </c>
      <c r="W818">
        <f>AVERAGE(D807:D818)</f>
        <v>6.0322379166666655</v>
      </c>
      <c r="X818">
        <f t="shared" ref="X818:AL818" si="89">AVERAGE(E807:E818)</f>
        <v>7.0878551666666665</v>
      </c>
      <c r="Y818">
        <f t="shared" si="89"/>
        <v>4.8232101666666667</v>
      </c>
      <c r="Z818">
        <f t="shared" si="89"/>
        <v>4.5404234166666662</v>
      </c>
      <c r="AA818">
        <f t="shared" si="89"/>
        <v>5.9121779999999999</v>
      </c>
      <c r="AB818">
        <f t="shared" si="89"/>
        <v>3.5364555000000006</v>
      </c>
      <c r="AC818">
        <f t="shared" si="89"/>
        <v>13.360859166666669</v>
      </c>
      <c r="AD818">
        <f t="shared" si="89"/>
        <v>5.8800854166666658</v>
      </c>
      <c r="AE818">
        <f t="shared" si="89"/>
        <v>4.8648090000000002</v>
      </c>
      <c r="AF818">
        <f t="shared" si="89"/>
        <v>8.1717830000000014</v>
      </c>
      <c r="AG818">
        <f t="shared" si="89"/>
        <v>8.3234289999999991</v>
      </c>
      <c r="AH818">
        <f t="shared" si="89"/>
        <v>5.1672644166666659</v>
      </c>
      <c r="AI818">
        <f t="shared" si="89"/>
        <v>8.6804085000000004</v>
      </c>
      <c r="AJ818">
        <f t="shared" si="89"/>
        <v>9.7087325833333331</v>
      </c>
      <c r="AK818">
        <f t="shared" si="89"/>
        <v>5.8334724999999992</v>
      </c>
      <c r="AL818">
        <f t="shared" si="89"/>
        <v>11.772253333333337</v>
      </c>
      <c r="AO818" s="25">
        <v>20</v>
      </c>
      <c r="AP818" s="35">
        <f>AVERAGE(W818:Z818)</f>
        <v>5.6209316666666664</v>
      </c>
      <c r="AQ818" s="35">
        <f>AVERAGE(AA818:AD818)</f>
        <v>7.1723945208333344</v>
      </c>
      <c r="AR818" s="35">
        <f>AVERAGE(AE818:AH818)</f>
        <v>6.6318213541666671</v>
      </c>
      <c r="AS818" s="35">
        <f>AVERAGE(AI818:AL818)</f>
        <v>8.9987167291666683</v>
      </c>
    </row>
    <row r="819" spans="2:45" x14ac:dyDescent="0.2">
      <c r="B819" s="2">
        <v>43480.588599537034</v>
      </c>
      <c r="C819" s="5">
        <f t="shared" si="85"/>
        <v>20.083332529999971</v>
      </c>
      <c r="D819" s="14">
        <v>6.0487630000000001</v>
      </c>
      <c r="E819" s="14">
        <v>7.0879490000000001</v>
      </c>
      <c r="F819" s="14">
        <v>4.889265</v>
      </c>
      <c r="G819" s="14">
        <v>4.6901260000000002</v>
      </c>
      <c r="H819" s="15">
        <v>5.9335639999999996</v>
      </c>
      <c r="I819" s="15">
        <v>3.5452889999999999</v>
      </c>
      <c r="J819" s="15">
        <v>13.472440000000001</v>
      </c>
      <c r="K819" s="15">
        <v>5.887524</v>
      </c>
      <c r="L819" s="16">
        <v>4.8648090000000002</v>
      </c>
      <c r="M819" s="16">
        <v>8.1717829999999996</v>
      </c>
      <c r="N819" s="16">
        <v>8.3964289999999995</v>
      </c>
      <c r="O819" s="16">
        <v>5.2448430000000004</v>
      </c>
      <c r="P819" s="17">
        <v>8.7160200000000003</v>
      </c>
      <c r="Q819" s="17">
        <v>9.7254699999999996</v>
      </c>
      <c r="R819" s="17">
        <v>5.8874029999999999</v>
      </c>
      <c r="S819" s="17">
        <v>11.8299</v>
      </c>
      <c r="AP819" s="35"/>
      <c r="AQ819" s="35"/>
      <c r="AR819" s="35"/>
      <c r="AS819" s="35"/>
    </row>
    <row r="820" spans="2:45" x14ac:dyDescent="0.2">
      <c r="B820" s="2">
        <v>43480.59207175926</v>
      </c>
      <c r="C820" s="5">
        <f t="shared" si="85"/>
        <v>20.16666585999997</v>
      </c>
      <c r="D820" s="14">
        <v>6.0487630000000001</v>
      </c>
      <c r="E820" s="14">
        <v>7.0879490000000001</v>
      </c>
      <c r="F820" s="14">
        <v>4.900137</v>
      </c>
      <c r="G820" s="14">
        <v>4.713158</v>
      </c>
      <c r="H820" s="15">
        <v>5.9368540000000003</v>
      </c>
      <c r="I820" s="15">
        <v>3.5466479999999998</v>
      </c>
      <c r="J820" s="15">
        <v>13.489599999999999</v>
      </c>
      <c r="K820" s="15">
        <v>5.8886690000000002</v>
      </c>
      <c r="L820" s="16">
        <v>4.8648090000000002</v>
      </c>
      <c r="M820" s="16">
        <v>8.1717829999999996</v>
      </c>
      <c r="N820" s="16">
        <v>8.4321920000000006</v>
      </c>
      <c r="O820" s="16">
        <v>5.2504340000000003</v>
      </c>
      <c r="P820" s="17">
        <v>8.7237439999999999</v>
      </c>
      <c r="Q820" s="17">
        <v>9.7280449999999998</v>
      </c>
      <c r="R820" s="17">
        <v>5.8956999999999997</v>
      </c>
      <c r="S820" s="17">
        <v>11.83877</v>
      </c>
      <c r="AP820" s="35"/>
      <c r="AQ820" s="35"/>
      <c r="AR820" s="35"/>
      <c r="AS820" s="35"/>
    </row>
    <row r="821" spans="2:45" x14ac:dyDescent="0.2">
      <c r="B821" s="2">
        <v>43480.595543981479</v>
      </c>
      <c r="C821" s="5">
        <f t="shared" si="85"/>
        <v>20.249999189999969</v>
      </c>
      <c r="D821" s="14">
        <v>6.0487630000000001</v>
      </c>
      <c r="E821" s="14">
        <v>7.0879490000000001</v>
      </c>
      <c r="F821" s="14">
        <v>4.911009</v>
      </c>
      <c r="G821" s="14">
        <v>4.7361890000000004</v>
      </c>
      <c r="H821" s="15">
        <v>5.9401450000000002</v>
      </c>
      <c r="I821" s="15">
        <v>3.5480070000000001</v>
      </c>
      <c r="J821" s="15">
        <v>13.506769999999999</v>
      </c>
      <c r="K821" s="15">
        <v>5.8898130000000002</v>
      </c>
      <c r="L821" s="16">
        <v>4.8648090000000002</v>
      </c>
      <c r="M821" s="16">
        <v>8.1717829999999996</v>
      </c>
      <c r="N821" s="16">
        <v>8.4679549999999999</v>
      </c>
      <c r="O821" s="16">
        <v>5.2504340000000003</v>
      </c>
      <c r="P821" s="17">
        <v>8.7314690000000006</v>
      </c>
      <c r="Q821" s="17">
        <v>9.7306190000000008</v>
      </c>
      <c r="R821" s="17">
        <v>5.9039970000000004</v>
      </c>
      <c r="S821" s="17">
        <v>11.84764</v>
      </c>
      <c r="AP821" s="35"/>
      <c r="AQ821" s="35"/>
      <c r="AR821" s="35"/>
      <c r="AS821" s="35"/>
    </row>
    <row r="822" spans="2:45" x14ac:dyDescent="0.2">
      <c r="B822" s="2">
        <v>43480.599016203705</v>
      </c>
      <c r="C822" s="5">
        <f t="shared" si="85"/>
        <v>20.333332519999967</v>
      </c>
      <c r="D822" s="14">
        <v>6.0487630000000001</v>
      </c>
      <c r="E822" s="14">
        <v>7.0879490000000001</v>
      </c>
      <c r="F822" s="14">
        <v>4.921881</v>
      </c>
      <c r="G822" s="14">
        <v>4.75922</v>
      </c>
      <c r="H822" s="15">
        <v>5.943435</v>
      </c>
      <c r="I822" s="15">
        <v>3.549366</v>
      </c>
      <c r="J822" s="15">
        <v>13.520899999999999</v>
      </c>
      <c r="K822" s="15">
        <v>5.8909570000000002</v>
      </c>
      <c r="L822" s="16">
        <v>4.8648090000000002</v>
      </c>
      <c r="M822" s="16">
        <v>8.1717829999999996</v>
      </c>
      <c r="N822" s="16">
        <v>8.503717</v>
      </c>
      <c r="O822" s="16">
        <v>5.2510079999999997</v>
      </c>
      <c r="P822" s="17">
        <v>8.7391939999999995</v>
      </c>
      <c r="Q822" s="17">
        <v>9.7331939999999992</v>
      </c>
      <c r="R822" s="17">
        <v>5.9122940000000002</v>
      </c>
      <c r="S822" s="17">
        <v>11.85651</v>
      </c>
      <c r="AP822" s="35"/>
      <c r="AQ822" s="35"/>
      <c r="AR822" s="35"/>
      <c r="AS822" s="35"/>
    </row>
    <row r="823" spans="2:45" x14ac:dyDescent="0.2">
      <c r="B823" s="2">
        <v>43480.602488425924</v>
      </c>
      <c r="C823" s="5">
        <f t="shared" si="85"/>
        <v>20.416665849999966</v>
      </c>
      <c r="D823" s="14">
        <v>6.0487630000000001</v>
      </c>
      <c r="E823" s="14">
        <v>7.0879490000000001</v>
      </c>
      <c r="F823" s="14">
        <v>4.9327529999999999</v>
      </c>
      <c r="G823" s="14">
        <v>4.7822509999999996</v>
      </c>
      <c r="H823" s="15">
        <v>5.9467249999999998</v>
      </c>
      <c r="I823" s="15">
        <v>3.5507249999999999</v>
      </c>
      <c r="J823" s="15">
        <v>13.520899999999999</v>
      </c>
      <c r="K823" s="15">
        <v>5.8921020000000004</v>
      </c>
      <c r="L823" s="16">
        <v>4.8648090000000002</v>
      </c>
      <c r="M823" s="16">
        <v>8.1717829999999996</v>
      </c>
      <c r="N823" s="16">
        <v>8.5394799999999993</v>
      </c>
      <c r="O823" s="16">
        <v>5.2552859999999999</v>
      </c>
      <c r="P823" s="17">
        <v>8.7469190000000001</v>
      </c>
      <c r="Q823" s="17">
        <v>9.7357689999999995</v>
      </c>
      <c r="R823" s="17">
        <v>5.9205909999999999</v>
      </c>
      <c r="S823" s="17">
        <v>11.86538</v>
      </c>
      <c r="AP823" s="35"/>
      <c r="AQ823" s="35"/>
      <c r="AR823" s="35"/>
      <c r="AS823" s="35"/>
    </row>
    <row r="824" spans="2:45" x14ac:dyDescent="0.2">
      <c r="B824" s="2">
        <v>43480.60596064815</v>
      </c>
      <c r="C824" s="5">
        <f t="shared" si="85"/>
        <v>20.499999179999964</v>
      </c>
      <c r="D824" s="14">
        <v>6.0487630000000001</v>
      </c>
      <c r="E824" s="14">
        <v>7.0879490000000001</v>
      </c>
      <c r="F824" s="14">
        <v>4.9436239999999998</v>
      </c>
      <c r="G824" s="14">
        <v>4.8052830000000002</v>
      </c>
      <c r="H824" s="15">
        <v>5.9500149999999996</v>
      </c>
      <c r="I824" s="15">
        <v>3.5520839999999998</v>
      </c>
      <c r="J824" s="15">
        <v>13.683909999999999</v>
      </c>
      <c r="K824" s="15">
        <v>5.8929960000000001</v>
      </c>
      <c r="L824" s="16">
        <v>4.8648090000000002</v>
      </c>
      <c r="M824" s="16">
        <v>8.1717829999999996</v>
      </c>
      <c r="N824" s="16">
        <v>8.5752430000000004</v>
      </c>
      <c r="O824" s="16">
        <v>5.2552880000000002</v>
      </c>
      <c r="P824" s="17">
        <v>8.7546429999999997</v>
      </c>
      <c r="Q824" s="17">
        <v>9.7383439999999997</v>
      </c>
      <c r="R824" s="17">
        <v>5.9288879999999997</v>
      </c>
      <c r="S824" s="17">
        <v>11.87425</v>
      </c>
      <c r="AP824" s="35"/>
      <c r="AQ824" s="35"/>
      <c r="AR824" s="35"/>
      <c r="AS824" s="35"/>
    </row>
    <row r="825" spans="2:45" x14ac:dyDescent="0.2">
      <c r="B825" s="2">
        <v>43480.609432870369</v>
      </c>
      <c r="C825" s="5">
        <f t="shared" si="85"/>
        <v>20.583332509999963</v>
      </c>
      <c r="D825" s="14">
        <v>6.0487630000000001</v>
      </c>
      <c r="E825" s="14">
        <v>7.0879490000000001</v>
      </c>
      <c r="F825" s="14">
        <v>4.9544959999999998</v>
      </c>
      <c r="G825" s="14">
        <v>4.8283139999999998</v>
      </c>
      <c r="H825" s="15">
        <v>5.9533050000000003</v>
      </c>
      <c r="I825" s="15">
        <v>3.5534430000000001</v>
      </c>
      <c r="J825" s="15">
        <v>13.88189</v>
      </c>
      <c r="K825" s="15">
        <v>5.8929960000000001</v>
      </c>
      <c r="L825" s="16">
        <v>4.8648090000000002</v>
      </c>
      <c r="M825" s="16">
        <v>8.1717829999999996</v>
      </c>
      <c r="N825" s="16">
        <v>8.6110059999999997</v>
      </c>
      <c r="O825" s="16">
        <v>5.2552880000000002</v>
      </c>
      <c r="P825" s="17">
        <v>8.7623680000000004</v>
      </c>
      <c r="Q825" s="17">
        <v>9.7409189999999999</v>
      </c>
      <c r="R825" s="17">
        <v>5.9371850000000004</v>
      </c>
      <c r="S825" s="17">
        <v>11.88312</v>
      </c>
      <c r="AP825" s="35"/>
      <c r="AQ825" s="35"/>
      <c r="AR825" s="35"/>
      <c r="AS825" s="35"/>
    </row>
    <row r="826" spans="2:45" x14ac:dyDescent="0.2">
      <c r="B826" s="2">
        <v>43480.612905092596</v>
      </c>
      <c r="C826" s="5">
        <f t="shared" si="85"/>
        <v>20.666665839999961</v>
      </c>
      <c r="D826" s="14">
        <v>6.0487630000000001</v>
      </c>
      <c r="E826" s="14">
        <v>7.0879490000000001</v>
      </c>
      <c r="F826" s="14">
        <v>4.9653679999999998</v>
      </c>
      <c r="G826" s="14">
        <v>4.8513450000000002</v>
      </c>
      <c r="H826" s="15">
        <v>5.9565950000000001</v>
      </c>
      <c r="I826" s="15">
        <v>3.554802</v>
      </c>
      <c r="J826" s="15">
        <v>14.058759999999999</v>
      </c>
      <c r="K826" s="15">
        <v>5.8929960000000001</v>
      </c>
      <c r="L826" s="16">
        <v>4.8648090000000002</v>
      </c>
      <c r="M826" s="16">
        <v>8.1717829999999996</v>
      </c>
      <c r="N826" s="16">
        <v>8.6467690000000008</v>
      </c>
      <c r="O826" s="16">
        <v>5.2552880000000002</v>
      </c>
      <c r="P826" s="17">
        <v>8.7700929999999993</v>
      </c>
      <c r="Q826" s="17">
        <v>9.7434940000000001</v>
      </c>
      <c r="R826" s="17">
        <v>5.9454820000000002</v>
      </c>
      <c r="S826" s="17">
        <v>11.8872</v>
      </c>
      <c r="AP826" s="35"/>
      <c r="AQ826" s="35"/>
      <c r="AR826" s="35"/>
      <c r="AS826" s="35"/>
    </row>
    <row r="827" spans="2:45" x14ac:dyDescent="0.2">
      <c r="B827" s="2">
        <v>43480.616377314815</v>
      </c>
      <c r="C827" s="5">
        <f t="shared" si="85"/>
        <v>20.74999916999996</v>
      </c>
      <c r="D827" s="14">
        <v>6.0487630000000001</v>
      </c>
      <c r="E827" s="14">
        <v>7.0879490000000001</v>
      </c>
      <c r="F827" s="14">
        <v>4.9762399999999998</v>
      </c>
      <c r="G827" s="14">
        <v>4.8743759999999998</v>
      </c>
      <c r="H827" s="15">
        <v>5.959886</v>
      </c>
      <c r="I827" s="15">
        <v>3.5561609999999999</v>
      </c>
      <c r="J827" s="15">
        <v>14.058759999999999</v>
      </c>
      <c r="K827" s="15">
        <v>5.8929960000000001</v>
      </c>
      <c r="L827" s="16">
        <v>4.8648090000000002</v>
      </c>
      <c r="M827" s="16">
        <v>8.1717829999999996</v>
      </c>
      <c r="N827" s="16">
        <v>8.6825310000000009</v>
      </c>
      <c r="O827" s="16">
        <v>5.2552880000000002</v>
      </c>
      <c r="P827" s="17">
        <v>8.7778179999999999</v>
      </c>
      <c r="Q827" s="17">
        <v>9.7460690000000003</v>
      </c>
      <c r="R827" s="17">
        <v>5.9537789999999999</v>
      </c>
      <c r="S827" s="17">
        <v>11.8872</v>
      </c>
      <c r="AP827" s="35"/>
      <c r="AQ827" s="35"/>
      <c r="AR827" s="35"/>
      <c r="AS827" s="35"/>
    </row>
    <row r="828" spans="2:45" x14ac:dyDescent="0.2">
      <c r="B828" s="2">
        <v>43480.619849537034</v>
      </c>
      <c r="C828" s="5">
        <f t="shared" si="85"/>
        <v>20.833332499999958</v>
      </c>
      <c r="D828" s="14">
        <v>6.0487630000000001</v>
      </c>
      <c r="E828" s="14">
        <v>7.0879490000000001</v>
      </c>
      <c r="F828" s="14">
        <v>4.9871119999999998</v>
      </c>
      <c r="G828" s="14">
        <v>4.8974080000000004</v>
      </c>
      <c r="H828" s="15">
        <v>5.9631759999999998</v>
      </c>
      <c r="I828" s="15">
        <v>3.5575199999999998</v>
      </c>
      <c r="J828" s="15">
        <v>14.07588</v>
      </c>
      <c r="K828" s="15">
        <v>5.8929960000000001</v>
      </c>
      <c r="L828" s="16">
        <v>4.8648090000000002</v>
      </c>
      <c r="M828" s="16">
        <v>8.1717829999999996</v>
      </c>
      <c r="N828" s="16">
        <v>8.7182940000000002</v>
      </c>
      <c r="O828" s="16">
        <v>5.2552880000000002</v>
      </c>
      <c r="P828" s="17">
        <v>8.7855419999999995</v>
      </c>
      <c r="Q828" s="17">
        <v>9.7486440000000005</v>
      </c>
      <c r="R828" s="17">
        <v>5.9620759999999997</v>
      </c>
      <c r="S828" s="17">
        <v>11.8872</v>
      </c>
      <c r="AP828" s="35"/>
      <c r="AQ828" s="35"/>
      <c r="AR828" s="35"/>
      <c r="AS828" s="35"/>
    </row>
    <row r="829" spans="2:45" x14ac:dyDescent="0.2">
      <c r="B829" s="2">
        <v>43480.62332175926</v>
      </c>
      <c r="C829" s="5">
        <f t="shared" si="85"/>
        <v>20.916665829999957</v>
      </c>
      <c r="D829" s="14">
        <v>6.0487630000000001</v>
      </c>
      <c r="E829" s="14">
        <v>7.0879490000000001</v>
      </c>
      <c r="F829" s="14">
        <v>4.9979839999999998</v>
      </c>
      <c r="G829" s="14">
        <v>4.920439</v>
      </c>
      <c r="H829" s="15">
        <v>5.9664659999999996</v>
      </c>
      <c r="I829" s="15">
        <v>3.5588790000000001</v>
      </c>
      <c r="J829" s="15">
        <v>14.09934</v>
      </c>
      <c r="K829" s="15">
        <v>5.8929960000000001</v>
      </c>
      <c r="L829" s="16">
        <v>4.8648090000000002</v>
      </c>
      <c r="M829" s="16">
        <v>8.1717829999999996</v>
      </c>
      <c r="N829" s="16">
        <v>8.7321829999999991</v>
      </c>
      <c r="O829" s="16">
        <v>5.2552880000000002</v>
      </c>
      <c r="P829" s="17">
        <v>8.7932670000000002</v>
      </c>
      <c r="Q829" s="17">
        <v>9.7512190000000007</v>
      </c>
      <c r="R829" s="17">
        <v>5.9703730000000004</v>
      </c>
      <c r="S829" s="17">
        <v>11.8872</v>
      </c>
      <c r="AP829" s="35"/>
      <c r="AQ829" s="35"/>
      <c r="AR829" s="35"/>
      <c r="AS829" s="35"/>
    </row>
    <row r="830" spans="2:45" x14ac:dyDescent="0.2">
      <c r="B830" s="2">
        <v>43480.626793981479</v>
      </c>
      <c r="C830" s="5">
        <f t="shared" si="85"/>
        <v>20.999999159999955</v>
      </c>
      <c r="D830" s="14">
        <v>6.0487630000000001</v>
      </c>
      <c r="E830" s="14">
        <v>7.0879490000000001</v>
      </c>
      <c r="F830" s="14">
        <v>5.0088559999999998</v>
      </c>
      <c r="G830" s="14">
        <v>4.9434699999999996</v>
      </c>
      <c r="H830" s="15">
        <v>5.9697560000000003</v>
      </c>
      <c r="I830" s="15">
        <v>3.560238</v>
      </c>
      <c r="J830" s="15">
        <v>14.1228</v>
      </c>
      <c r="K830" s="15">
        <v>5.8929960000000001</v>
      </c>
      <c r="L830" s="16">
        <v>4.8648090000000002</v>
      </c>
      <c r="M830" s="16">
        <v>8.1717829999999996</v>
      </c>
      <c r="N830" s="16">
        <v>8.7413270000000001</v>
      </c>
      <c r="O830" s="16">
        <v>5.2552880000000002</v>
      </c>
      <c r="P830" s="17">
        <v>8.8009920000000008</v>
      </c>
      <c r="Q830" s="17">
        <v>9.7537939999999992</v>
      </c>
      <c r="R830" s="17">
        <v>5.9786700000000002</v>
      </c>
      <c r="S830" s="17">
        <v>11.8872</v>
      </c>
      <c r="V830" s="25">
        <v>21</v>
      </c>
      <c r="W830">
        <f>AVERAGE(D819:D830)</f>
        <v>6.0487630000000001</v>
      </c>
      <c r="X830">
        <f t="shared" ref="X830:AL830" si="90">AVERAGE(E819:E830)</f>
        <v>7.0879489999999992</v>
      </c>
      <c r="Y830">
        <f t="shared" si="90"/>
        <v>4.9490604166666667</v>
      </c>
      <c r="Z830">
        <f t="shared" si="90"/>
        <v>4.8167982499999997</v>
      </c>
      <c r="AA830">
        <f t="shared" si="90"/>
        <v>5.9516601666666666</v>
      </c>
      <c r="AB830">
        <f t="shared" si="90"/>
        <v>3.5527634999999993</v>
      </c>
      <c r="AC830">
        <f t="shared" si="90"/>
        <v>13.790995833333335</v>
      </c>
      <c r="AD830">
        <f t="shared" si="90"/>
        <v>5.8916697499999984</v>
      </c>
      <c r="AE830">
        <f t="shared" si="90"/>
        <v>4.8648090000000002</v>
      </c>
      <c r="AF830">
        <f t="shared" si="90"/>
        <v>8.1717830000000014</v>
      </c>
      <c r="AG830">
        <f t="shared" si="90"/>
        <v>8.5872605000000011</v>
      </c>
      <c r="AH830">
        <f t="shared" si="90"/>
        <v>5.2532517500000004</v>
      </c>
      <c r="AI830">
        <f t="shared" si="90"/>
        <v>8.7585057499999994</v>
      </c>
      <c r="AJ830">
        <f t="shared" si="90"/>
        <v>9.739631666666666</v>
      </c>
      <c r="AK830">
        <f t="shared" si="90"/>
        <v>5.9330364999999992</v>
      </c>
      <c r="AL830">
        <f t="shared" si="90"/>
        <v>11.869297500000002</v>
      </c>
      <c r="AO830" s="25">
        <v>21</v>
      </c>
      <c r="AP830" s="35">
        <f>AVERAGE(W830:Z830)</f>
        <v>5.7256426666666655</v>
      </c>
      <c r="AQ830" s="35">
        <f>AVERAGE(AA830:AD830)</f>
        <v>7.2967723124999999</v>
      </c>
      <c r="AR830" s="35">
        <f>AVERAGE(AE830:AH830)</f>
        <v>6.7192760625000014</v>
      </c>
      <c r="AS830" s="35">
        <f>AVERAGE(AI830:AL830)</f>
        <v>9.0751178541666668</v>
      </c>
    </row>
    <row r="831" spans="2:45" x14ac:dyDescent="0.2">
      <c r="B831" s="2">
        <v>43480.630266203705</v>
      </c>
      <c r="C831" s="5">
        <f t="shared" si="85"/>
        <v>21.083332489999954</v>
      </c>
      <c r="D831" s="14">
        <v>6.0487630000000001</v>
      </c>
      <c r="E831" s="14">
        <v>7.0879490000000001</v>
      </c>
      <c r="F831" s="14">
        <v>5.0197279999999997</v>
      </c>
      <c r="G831" s="14">
        <v>4.9513389999999999</v>
      </c>
      <c r="H831" s="15">
        <v>5.9730460000000001</v>
      </c>
      <c r="I831" s="15">
        <v>3.5615969999999999</v>
      </c>
      <c r="J831" s="15">
        <v>14.146269999999999</v>
      </c>
      <c r="K831" s="15">
        <v>5.8929960000000001</v>
      </c>
      <c r="L831" s="16">
        <v>4.8648090000000002</v>
      </c>
      <c r="M831" s="16">
        <v>8.1717829999999996</v>
      </c>
      <c r="N831" s="16">
        <v>8.7659319999999994</v>
      </c>
      <c r="O831" s="16">
        <v>5.2552880000000002</v>
      </c>
      <c r="P831" s="17">
        <v>8.8058840000000007</v>
      </c>
      <c r="Q831" s="17">
        <v>9.7563689999999994</v>
      </c>
      <c r="R831" s="17">
        <v>5.9869669999999999</v>
      </c>
      <c r="S831" s="17">
        <v>11.8872</v>
      </c>
      <c r="AP831" s="35"/>
      <c r="AQ831" s="35"/>
      <c r="AR831" s="35"/>
      <c r="AS831" s="35"/>
    </row>
    <row r="832" spans="2:45" x14ac:dyDescent="0.2">
      <c r="B832" s="2">
        <v>43480.633738425924</v>
      </c>
      <c r="C832" s="5">
        <f t="shared" si="85"/>
        <v>21.166665819999952</v>
      </c>
      <c r="D832" s="14">
        <v>6.0487630000000001</v>
      </c>
      <c r="E832" s="14">
        <v>7.0879490000000001</v>
      </c>
      <c r="F832" s="14">
        <v>5.0305999999999997</v>
      </c>
      <c r="G832" s="14">
        <v>4.9513389999999999</v>
      </c>
      <c r="H832" s="15">
        <v>5.9763359999999999</v>
      </c>
      <c r="I832" s="15">
        <v>3.5629559999999998</v>
      </c>
      <c r="J832" s="15">
        <v>14.169729999999999</v>
      </c>
      <c r="K832" s="15">
        <v>5.8929960000000001</v>
      </c>
      <c r="L832" s="16">
        <v>4.8648090000000002</v>
      </c>
      <c r="M832" s="16">
        <v>8.1717829999999996</v>
      </c>
      <c r="N832" s="16">
        <v>8.7905370000000005</v>
      </c>
      <c r="O832" s="16">
        <v>5.2552880000000002</v>
      </c>
      <c r="P832" s="17">
        <v>8.8058840000000007</v>
      </c>
      <c r="Q832" s="17">
        <v>9.7589439999999996</v>
      </c>
      <c r="R832" s="17">
        <v>5.9952639999999997</v>
      </c>
      <c r="S832" s="17">
        <v>11.8872</v>
      </c>
      <c r="AP832" s="35"/>
      <c r="AQ832" s="35"/>
      <c r="AR832" s="35"/>
      <c r="AS832" s="35"/>
    </row>
    <row r="833" spans="2:45" x14ac:dyDescent="0.2">
      <c r="B833" s="2">
        <v>43480.63721064815</v>
      </c>
      <c r="C833" s="5">
        <f t="shared" si="85"/>
        <v>21.249999149999951</v>
      </c>
      <c r="D833" s="14">
        <v>6.0487630000000001</v>
      </c>
      <c r="E833" s="14">
        <v>7.0879490000000001</v>
      </c>
      <c r="F833" s="14">
        <v>5.0414709999999996</v>
      </c>
      <c r="G833" s="14">
        <v>4.9513389999999999</v>
      </c>
      <c r="H833" s="15">
        <v>5.9796269999999998</v>
      </c>
      <c r="I833" s="15">
        <v>3.5643150000000001</v>
      </c>
      <c r="J833" s="15">
        <v>14.19319</v>
      </c>
      <c r="K833" s="15">
        <v>5.8929960000000001</v>
      </c>
      <c r="L833" s="16">
        <v>4.8648090000000002</v>
      </c>
      <c r="M833" s="16">
        <v>8.1717829999999996</v>
      </c>
      <c r="N833" s="16">
        <v>8.8151419999999998</v>
      </c>
      <c r="O833" s="16">
        <v>5.2552880000000002</v>
      </c>
      <c r="P833" s="17">
        <v>8.8058840000000007</v>
      </c>
      <c r="Q833" s="17">
        <v>9.7615180000000006</v>
      </c>
      <c r="R833" s="17">
        <v>6.0035610000000004</v>
      </c>
      <c r="S833" s="17">
        <v>11.8872</v>
      </c>
      <c r="AP833" s="35"/>
      <c r="AQ833" s="35"/>
      <c r="AR833" s="35"/>
      <c r="AS833" s="35"/>
    </row>
    <row r="834" spans="2:45" x14ac:dyDescent="0.2">
      <c r="B834" s="2">
        <v>43480.640682870369</v>
      </c>
      <c r="C834" s="5">
        <f t="shared" si="85"/>
        <v>21.33333247999995</v>
      </c>
      <c r="D834" s="14">
        <v>6.0487630000000001</v>
      </c>
      <c r="E834" s="14">
        <v>7.0879490000000001</v>
      </c>
      <c r="F834" s="14">
        <v>5.0523429999999996</v>
      </c>
      <c r="G834" s="14">
        <v>4.9513389999999999</v>
      </c>
      <c r="H834" s="15">
        <v>5.9829169999999996</v>
      </c>
      <c r="I834" s="15">
        <v>3.565674</v>
      </c>
      <c r="J834" s="15">
        <v>14.21665</v>
      </c>
      <c r="K834" s="15">
        <v>5.8929960000000001</v>
      </c>
      <c r="L834" s="16">
        <v>4.8648090000000002</v>
      </c>
      <c r="M834" s="16">
        <v>8.1717829999999996</v>
      </c>
      <c r="N834" s="16">
        <v>8.8397459999999999</v>
      </c>
      <c r="O834" s="16">
        <v>5.2552880000000002</v>
      </c>
      <c r="P834" s="17">
        <v>8.8113119999999991</v>
      </c>
      <c r="Q834" s="17">
        <v>9.7631920000000001</v>
      </c>
      <c r="R834" s="17">
        <v>6.0118580000000001</v>
      </c>
      <c r="S834" s="17">
        <v>11.8872</v>
      </c>
      <c r="AP834" s="35"/>
      <c r="AQ834" s="35"/>
      <c r="AR834" s="35"/>
      <c r="AS834" s="35"/>
    </row>
    <row r="835" spans="2:45" x14ac:dyDescent="0.2">
      <c r="B835" s="2">
        <v>43480.644155092596</v>
      </c>
      <c r="C835" s="5">
        <f t="shared" si="85"/>
        <v>21.416665809999948</v>
      </c>
      <c r="D835" s="14">
        <v>6.0487630000000001</v>
      </c>
      <c r="E835" s="14">
        <v>7.0879490000000001</v>
      </c>
      <c r="F835" s="14">
        <v>5.0632149999999996</v>
      </c>
      <c r="G835" s="14">
        <v>4.9513389999999999</v>
      </c>
      <c r="H835" s="15">
        <v>5.9862070000000003</v>
      </c>
      <c r="I835" s="15">
        <v>3.5670329999999999</v>
      </c>
      <c r="J835" s="15">
        <v>14.24011</v>
      </c>
      <c r="K835" s="15">
        <v>5.8929960000000001</v>
      </c>
      <c r="L835" s="16">
        <v>4.8648090000000002</v>
      </c>
      <c r="M835" s="16">
        <v>8.1717829999999996</v>
      </c>
      <c r="N835" s="16">
        <v>8.8643509999999992</v>
      </c>
      <c r="O835" s="16">
        <v>5.2552880000000002</v>
      </c>
      <c r="P835" s="17">
        <v>8.8173200000000005</v>
      </c>
      <c r="Q835" s="17">
        <v>9.7643710000000006</v>
      </c>
      <c r="R835" s="17">
        <v>6.0201539999999998</v>
      </c>
      <c r="S835" s="17">
        <v>11.8872</v>
      </c>
      <c r="AP835" s="35"/>
      <c r="AQ835" s="35"/>
      <c r="AR835" s="35"/>
      <c r="AS835" s="35"/>
    </row>
    <row r="836" spans="2:45" x14ac:dyDescent="0.2">
      <c r="B836" s="2">
        <v>43480.647627314815</v>
      </c>
      <c r="C836" s="5">
        <f t="shared" ref="C836:C899" si="91">C835+0.08333333</f>
        <v>21.499999139999947</v>
      </c>
      <c r="D836" s="14">
        <v>6.0487630000000001</v>
      </c>
      <c r="E836" s="14">
        <v>7.0879490000000001</v>
      </c>
      <c r="F836" s="14">
        <v>5.0740869999999996</v>
      </c>
      <c r="G836" s="14">
        <v>4.9513389999999999</v>
      </c>
      <c r="H836" s="15">
        <v>5.9894970000000001</v>
      </c>
      <c r="I836" s="15">
        <v>3.5683919999999998</v>
      </c>
      <c r="J836" s="15">
        <v>14.26357</v>
      </c>
      <c r="K836" s="15">
        <v>5.8929960000000001</v>
      </c>
      <c r="L836" s="16">
        <v>4.8648090000000002</v>
      </c>
      <c r="M836" s="16">
        <v>8.1717829999999996</v>
      </c>
      <c r="N836" s="16">
        <v>8.8889560000000003</v>
      </c>
      <c r="O836" s="16">
        <v>5.2552880000000002</v>
      </c>
      <c r="P836" s="17">
        <v>8.8233280000000001</v>
      </c>
      <c r="Q836" s="17">
        <v>9.7660879999999999</v>
      </c>
      <c r="R836" s="17">
        <v>6.0284509999999996</v>
      </c>
      <c r="S836" s="17">
        <v>11.8872</v>
      </c>
      <c r="AP836" s="35"/>
      <c r="AQ836" s="35"/>
      <c r="AR836" s="35"/>
      <c r="AS836" s="35"/>
    </row>
    <row r="837" spans="2:45" x14ac:dyDescent="0.2">
      <c r="B837" s="2">
        <v>43480.651099537034</v>
      </c>
      <c r="C837" s="5">
        <f t="shared" si="91"/>
        <v>21.583332469999945</v>
      </c>
      <c r="D837" s="14">
        <v>6.0487630000000001</v>
      </c>
      <c r="E837" s="14">
        <v>7.0879490000000001</v>
      </c>
      <c r="F837" s="14">
        <v>5.0849589999999996</v>
      </c>
      <c r="G837" s="14">
        <v>4.9513389999999999</v>
      </c>
      <c r="H837" s="15">
        <v>5.9927869999999999</v>
      </c>
      <c r="I837" s="15">
        <v>3.5697510000000001</v>
      </c>
      <c r="J837" s="15">
        <v>14.28703</v>
      </c>
      <c r="K837" s="15">
        <v>5.8929960000000001</v>
      </c>
      <c r="L837" s="16">
        <v>4.8648090000000002</v>
      </c>
      <c r="M837" s="16">
        <v>8.1717829999999996</v>
      </c>
      <c r="N837" s="16">
        <v>8.9135609999999996</v>
      </c>
      <c r="O837" s="16">
        <v>5.2552880000000002</v>
      </c>
      <c r="P837" s="17">
        <v>8.8293359999999996</v>
      </c>
      <c r="Q837" s="17">
        <v>9.7678039999999999</v>
      </c>
      <c r="R837" s="17">
        <v>6.0367480000000002</v>
      </c>
      <c r="S837" s="17">
        <v>11.8872</v>
      </c>
      <c r="AP837" s="35"/>
      <c r="AQ837" s="35"/>
      <c r="AR837" s="35"/>
      <c r="AS837" s="35"/>
    </row>
    <row r="838" spans="2:45" x14ac:dyDescent="0.2">
      <c r="B838" s="2">
        <v>43480.65457175926</v>
      </c>
      <c r="C838" s="5">
        <f t="shared" si="91"/>
        <v>21.666665799999944</v>
      </c>
      <c r="D838" s="14">
        <v>6.0487630000000001</v>
      </c>
      <c r="E838" s="14">
        <v>7.0879490000000001</v>
      </c>
      <c r="F838" s="14">
        <v>5.0958310000000004</v>
      </c>
      <c r="G838" s="14">
        <v>4.9513389999999999</v>
      </c>
      <c r="H838" s="15">
        <v>5.9960779999999998</v>
      </c>
      <c r="I838" s="15">
        <v>3.57111</v>
      </c>
      <c r="J838" s="15">
        <v>14.31049</v>
      </c>
      <c r="K838" s="15">
        <v>5.8929960000000001</v>
      </c>
      <c r="L838" s="16">
        <v>4.8648090000000002</v>
      </c>
      <c r="M838" s="16">
        <v>8.1717829999999996</v>
      </c>
      <c r="N838" s="16">
        <v>8.9381660000000007</v>
      </c>
      <c r="O838" s="16">
        <v>5.2552880000000002</v>
      </c>
      <c r="P838" s="17">
        <v>8.8353439999999992</v>
      </c>
      <c r="Q838" s="17">
        <v>9.7695209999999992</v>
      </c>
      <c r="R838" s="17">
        <v>6.045045</v>
      </c>
      <c r="S838" s="17">
        <v>11.8872</v>
      </c>
      <c r="AP838" s="35"/>
      <c r="AQ838" s="35"/>
      <c r="AR838" s="35"/>
      <c r="AS838" s="35"/>
    </row>
    <row r="839" spans="2:45" x14ac:dyDescent="0.2">
      <c r="B839" s="2">
        <v>43480.658043981479</v>
      </c>
      <c r="C839" s="5">
        <f t="shared" si="91"/>
        <v>21.749999129999942</v>
      </c>
      <c r="D839" s="14">
        <v>6.0487630000000001</v>
      </c>
      <c r="E839" s="14">
        <v>7.0879490000000001</v>
      </c>
      <c r="F839" s="14">
        <v>5.1067030000000004</v>
      </c>
      <c r="G839" s="14">
        <v>4.9513389999999999</v>
      </c>
      <c r="H839" s="15">
        <v>5.9993679999999996</v>
      </c>
      <c r="I839" s="15">
        <v>3.5724689999999999</v>
      </c>
      <c r="J839" s="15">
        <v>14.33395</v>
      </c>
      <c r="K839" s="15">
        <v>5.8929960000000001</v>
      </c>
      <c r="L839" s="16">
        <v>4.8648090000000002</v>
      </c>
      <c r="M839" s="16">
        <v>8.1717829999999996</v>
      </c>
      <c r="N839" s="16">
        <v>8.9627700000000008</v>
      </c>
      <c r="O839" s="16">
        <v>5.2552880000000002</v>
      </c>
      <c r="P839" s="17">
        <v>8.8380480000000006</v>
      </c>
      <c r="Q839" s="17">
        <v>9.7712369999999993</v>
      </c>
      <c r="R839" s="17">
        <v>6.0533419999999998</v>
      </c>
      <c r="S839" s="17">
        <v>11.8872</v>
      </c>
      <c r="AP839" s="35"/>
      <c r="AQ839" s="35"/>
      <c r="AR839" s="35"/>
      <c r="AS839" s="35"/>
    </row>
    <row r="840" spans="2:45" x14ac:dyDescent="0.2">
      <c r="B840" s="2">
        <v>43480.661516203705</v>
      </c>
      <c r="C840" s="5">
        <f t="shared" si="91"/>
        <v>21.833332459999941</v>
      </c>
      <c r="D840" s="14">
        <v>6.0487630000000001</v>
      </c>
      <c r="E840" s="14">
        <v>7.0879490000000001</v>
      </c>
      <c r="F840" s="14">
        <v>5.1175750000000004</v>
      </c>
      <c r="G840" s="14">
        <v>4.9513389999999999</v>
      </c>
      <c r="H840" s="15">
        <v>6.0026580000000003</v>
      </c>
      <c r="I840" s="15">
        <v>3.5738279999999998</v>
      </c>
      <c r="J840" s="15">
        <v>14.35741</v>
      </c>
      <c r="K840" s="15">
        <v>5.8929960000000001</v>
      </c>
      <c r="L840" s="16">
        <v>4.8648090000000002</v>
      </c>
      <c r="M840" s="16">
        <v>8.1717829999999996</v>
      </c>
      <c r="N840" s="16">
        <v>8.9873750000000001</v>
      </c>
      <c r="O840" s="16">
        <v>5.2552880000000002</v>
      </c>
      <c r="P840" s="17">
        <v>8.8380480000000006</v>
      </c>
      <c r="Q840" s="17">
        <v>9.7729540000000004</v>
      </c>
      <c r="R840" s="17">
        <v>6.0616390000000004</v>
      </c>
      <c r="S840" s="17">
        <v>11.8872</v>
      </c>
      <c r="AP840" s="35"/>
      <c r="AQ840" s="35"/>
      <c r="AR840" s="35"/>
      <c r="AS840" s="35"/>
    </row>
    <row r="841" spans="2:45" x14ac:dyDescent="0.2">
      <c r="B841" s="2">
        <v>43480.664988425924</v>
      </c>
      <c r="C841" s="5">
        <f t="shared" si="91"/>
        <v>21.916665789999939</v>
      </c>
      <c r="D841" s="14">
        <v>6.0487630000000001</v>
      </c>
      <c r="E841" s="14">
        <v>7.0879490000000001</v>
      </c>
      <c r="F841" s="14">
        <v>5.1284470000000004</v>
      </c>
      <c r="G841" s="14">
        <v>4.9513389999999999</v>
      </c>
      <c r="H841" s="15">
        <v>6.0059480000000001</v>
      </c>
      <c r="I841" s="15">
        <v>3.574897</v>
      </c>
      <c r="J841" s="15">
        <v>14.38087</v>
      </c>
      <c r="K841" s="15">
        <v>5.8929960000000001</v>
      </c>
      <c r="L841" s="16">
        <v>4.8648090000000002</v>
      </c>
      <c r="M841" s="16">
        <v>8.1717829999999996</v>
      </c>
      <c r="N841" s="16">
        <v>9.0119799999999994</v>
      </c>
      <c r="O841" s="16">
        <v>5.2552880000000002</v>
      </c>
      <c r="P841" s="17">
        <v>8.8380480000000006</v>
      </c>
      <c r="Q841" s="17">
        <v>9.7746709999999997</v>
      </c>
      <c r="R841" s="17">
        <v>6.0699360000000002</v>
      </c>
      <c r="S841" s="17">
        <v>11.8872</v>
      </c>
      <c r="AP841" s="35"/>
      <c r="AQ841" s="35"/>
      <c r="AR841" s="35"/>
      <c r="AS841" s="35"/>
    </row>
    <row r="842" spans="2:45" x14ac:dyDescent="0.2">
      <c r="B842" s="2">
        <v>43480.66846064815</v>
      </c>
      <c r="C842" s="5">
        <f t="shared" si="91"/>
        <v>21.999999119999938</v>
      </c>
      <c r="D842" s="14">
        <v>6.0487630000000001</v>
      </c>
      <c r="E842" s="14">
        <v>7.0879490000000001</v>
      </c>
      <c r="F842" s="14">
        <v>5.1393180000000003</v>
      </c>
      <c r="G842" s="14">
        <v>4.9526589999999997</v>
      </c>
      <c r="H842" s="15">
        <v>6.0092379999999999</v>
      </c>
      <c r="I842" s="15">
        <v>3.574897</v>
      </c>
      <c r="J842" s="15">
        <v>14.40433</v>
      </c>
      <c r="K842" s="15">
        <v>5.8929960000000001</v>
      </c>
      <c r="L842" s="16">
        <v>4.8648090000000002</v>
      </c>
      <c r="M842" s="16">
        <v>8.1717829999999996</v>
      </c>
      <c r="N842" s="16">
        <v>9.0365850000000005</v>
      </c>
      <c r="O842" s="16">
        <v>5.2552880000000002</v>
      </c>
      <c r="P842" s="17">
        <v>8.8380480000000006</v>
      </c>
      <c r="Q842" s="17">
        <v>9.7763869999999997</v>
      </c>
      <c r="R842" s="17">
        <v>6.078233</v>
      </c>
      <c r="S842" s="17">
        <v>11.8872</v>
      </c>
      <c r="V842" s="25">
        <v>22</v>
      </c>
      <c r="W842">
        <f>AVERAGE(D831:D842)</f>
        <v>6.0487630000000001</v>
      </c>
      <c r="X842">
        <f t="shared" ref="X842:AL842" si="92">AVERAGE(E831:E842)</f>
        <v>7.0879489999999992</v>
      </c>
      <c r="Y842">
        <f t="shared" si="92"/>
        <v>5.079523083333334</v>
      </c>
      <c r="Z842">
        <f t="shared" si="92"/>
        <v>4.9514489999999993</v>
      </c>
      <c r="AA842">
        <f t="shared" si="92"/>
        <v>5.9911422499999993</v>
      </c>
      <c r="AB842">
        <f t="shared" si="92"/>
        <v>3.5689099166666662</v>
      </c>
      <c r="AC842">
        <f t="shared" si="92"/>
        <v>14.275299999999996</v>
      </c>
      <c r="AD842">
        <f t="shared" si="92"/>
        <v>5.8929959999999992</v>
      </c>
      <c r="AE842">
        <f t="shared" si="92"/>
        <v>4.8648090000000002</v>
      </c>
      <c r="AF842">
        <f t="shared" si="92"/>
        <v>8.1717830000000014</v>
      </c>
      <c r="AG842">
        <f t="shared" si="92"/>
        <v>8.901258416666666</v>
      </c>
      <c r="AH842">
        <f t="shared" si="92"/>
        <v>5.2552880000000002</v>
      </c>
      <c r="AI842">
        <f t="shared" si="92"/>
        <v>8.8238736666666657</v>
      </c>
      <c r="AJ842">
        <f t="shared" si="92"/>
        <v>9.7669213333333325</v>
      </c>
      <c r="AK842">
        <f t="shared" si="92"/>
        <v>6.0325998333333333</v>
      </c>
      <c r="AL842">
        <f t="shared" si="92"/>
        <v>11.887200000000002</v>
      </c>
      <c r="AO842" s="25">
        <v>22</v>
      </c>
      <c r="AP842" s="35">
        <f>AVERAGE(W842:Z842)</f>
        <v>5.7919210208333336</v>
      </c>
      <c r="AQ842" s="35">
        <f>AVERAGE(AA842:AD842)</f>
        <v>7.4320870416666649</v>
      </c>
      <c r="AR842" s="35">
        <f>AVERAGE(AE842:AH842)</f>
        <v>6.7982846041666676</v>
      </c>
      <c r="AS842" s="35">
        <f>AVERAGE(AI842:AL842)</f>
        <v>9.127648708333334</v>
      </c>
    </row>
    <row r="843" spans="2:45" x14ac:dyDescent="0.2">
      <c r="B843" s="2">
        <v>43480.671932870369</v>
      </c>
      <c r="C843" s="5">
        <f t="shared" si="91"/>
        <v>22.083332449999936</v>
      </c>
      <c r="D843" s="14">
        <v>6.0487630000000001</v>
      </c>
      <c r="E843" s="14">
        <v>7.0879490000000001</v>
      </c>
      <c r="F843" s="14">
        <v>5.1501900000000003</v>
      </c>
      <c r="G843" s="14">
        <v>4.9542320000000002</v>
      </c>
      <c r="H843" s="15">
        <v>6.0125279999999997</v>
      </c>
      <c r="I843" s="15">
        <v>3.574897</v>
      </c>
      <c r="J843" s="15">
        <v>14.42779</v>
      </c>
      <c r="K843" s="15">
        <v>5.8929960000000001</v>
      </c>
      <c r="L843" s="16">
        <v>4.8648090000000002</v>
      </c>
      <c r="M843" s="16">
        <v>8.1717829999999996</v>
      </c>
      <c r="N843" s="16">
        <v>9.0611899999999999</v>
      </c>
      <c r="O843" s="16">
        <v>5.2552880000000002</v>
      </c>
      <c r="P843" s="17">
        <v>8.8380480000000006</v>
      </c>
      <c r="Q843" s="17">
        <v>9.7781040000000008</v>
      </c>
      <c r="R843" s="17">
        <v>6.0865299999999998</v>
      </c>
      <c r="S843" s="17">
        <v>11.8872</v>
      </c>
      <c r="AP843" s="35"/>
      <c r="AQ843" s="35"/>
      <c r="AR843" s="35"/>
      <c r="AS843" s="35"/>
    </row>
    <row r="844" spans="2:45" x14ac:dyDescent="0.2">
      <c r="B844" s="2">
        <v>43480.675405092596</v>
      </c>
      <c r="C844" s="5">
        <f t="shared" si="91"/>
        <v>22.166665779999935</v>
      </c>
      <c r="D844" s="14">
        <v>6.0487630000000001</v>
      </c>
      <c r="E844" s="14">
        <v>7.0879490000000001</v>
      </c>
      <c r="F844" s="14">
        <v>5.1527089999999998</v>
      </c>
      <c r="G844" s="14">
        <v>4.9558059999999999</v>
      </c>
      <c r="H844" s="15">
        <v>6.0158189999999996</v>
      </c>
      <c r="I844" s="15">
        <v>3.574897</v>
      </c>
      <c r="J844" s="15">
        <v>14.45125</v>
      </c>
      <c r="K844" s="15">
        <v>5.8929960000000001</v>
      </c>
      <c r="L844" s="16">
        <v>4.8648090000000002</v>
      </c>
      <c r="M844" s="16">
        <v>8.1717829999999996</v>
      </c>
      <c r="N844" s="16">
        <v>9.0857939999999999</v>
      </c>
      <c r="O844" s="16">
        <v>5.2552880000000002</v>
      </c>
      <c r="P844" s="17">
        <v>8.8380480000000006</v>
      </c>
      <c r="Q844" s="17">
        <v>9.77989</v>
      </c>
      <c r="R844" s="17">
        <v>6.0948270000000004</v>
      </c>
      <c r="S844" s="17">
        <v>11.8872</v>
      </c>
      <c r="AP844" s="35"/>
      <c r="AQ844" s="35"/>
      <c r="AR844" s="35"/>
      <c r="AS844" s="35"/>
    </row>
    <row r="845" spans="2:45" x14ac:dyDescent="0.2">
      <c r="B845" s="2">
        <v>43480.678877314815</v>
      </c>
      <c r="C845" s="5">
        <f t="shared" si="91"/>
        <v>22.249999109999933</v>
      </c>
      <c r="D845" s="14">
        <v>6.0487630000000001</v>
      </c>
      <c r="E845" s="14">
        <v>7.0879490000000001</v>
      </c>
      <c r="F845" s="14">
        <v>5.1532109999999998</v>
      </c>
      <c r="G845" s="14">
        <v>4.9573790000000004</v>
      </c>
      <c r="H845" s="15">
        <v>6.0191090000000003</v>
      </c>
      <c r="I845" s="15">
        <v>3.574897</v>
      </c>
      <c r="J845" s="15">
        <v>14.47471</v>
      </c>
      <c r="K845" s="15">
        <v>5.8929960000000001</v>
      </c>
      <c r="L845" s="16">
        <v>4.8648090000000002</v>
      </c>
      <c r="M845" s="16">
        <v>8.1717829999999996</v>
      </c>
      <c r="N845" s="16">
        <v>9.1103989999999992</v>
      </c>
      <c r="O845" s="16">
        <v>5.2552880000000002</v>
      </c>
      <c r="P845" s="17">
        <v>8.8380480000000006</v>
      </c>
      <c r="Q845" s="17">
        <v>9.7799010000000006</v>
      </c>
      <c r="R845" s="17">
        <v>6.1031240000000002</v>
      </c>
      <c r="S845" s="17">
        <v>11.8872</v>
      </c>
      <c r="AP845" s="35"/>
      <c r="AQ845" s="35"/>
      <c r="AR845" s="35"/>
      <c r="AS845" s="35"/>
    </row>
    <row r="846" spans="2:45" x14ac:dyDescent="0.2">
      <c r="B846" s="2">
        <v>43480.682349537034</v>
      </c>
      <c r="C846" s="5">
        <f t="shared" si="91"/>
        <v>22.333332439999932</v>
      </c>
      <c r="D846" s="14">
        <v>6.0487630000000001</v>
      </c>
      <c r="E846" s="14">
        <v>7.0879490000000001</v>
      </c>
      <c r="F846" s="14">
        <v>5.1643689999999998</v>
      </c>
      <c r="G846" s="14">
        <v>4.9589530000000002</v>
      </c>
      <c r="H846" s="15">
        <v>6.0223990000000001</v>
      </c>
      <c r="I846" s="15">
        <v>3.574897</v>
      </c>
      <c r="J846" s="15">
        <v>14.493320000000001</v>
      </c>
      <c r="K846" s="15">
        <v>5.8929960000000001</v>
      </c>
      <c r="L846" s="16">
        <v>4.8648090000000002</v>
      </c>
      <c r="M846" s="16">
        <v>8.1717829999999996</v>
      </c>
      <c r="N846" s="16">
        <v>9.1350040000000003</v>
      </c>
      <c r="O846" s="16">
        <v>5.2552880000000002</v>
      </c>
      <c r="P846" s="17">
        <v>8.8380480000000006</v>
      </c>
      <c r="Q846" s="17">
        <v>9.7799010000000006</v>
      </c>
      <c r="R846" s="17">
        <v>6.111421</v>
      </c>
      <c r="S846" s="17">
        <v>11.89574</v>
      </c>
      <c r="AP846" s="35"/>
      <c r="AQ846" s="35"/>
      <c r="AR846" s="35"/>
      <c r="AS846" s="35"/>
    </row>
    <row r="847" spans="2:45" x14ac:dyDescent="0.2">
      <c r="B847" s="2">
        <v>43480.68582175926</v>
      </c>
      <c r="C847" s="5">
        <f t="shared" si="91"/>
        <v>22.416665769999931</v>
      </c>
      <c r="D847" s="14">
        <v>6.0487630000000001</v>
      </c>
      <c r="E847" s="14">
        <v>7.0879490000000001</v>
      </c>
      <c r="F847" s="14">
        <v>5.1755269999999998</v>
      </c>
      <c r="G847" s="14">
        <v>4.9605259999999998</v>
      </c>
      <c r="H847" s="15">
        <v>6.0256889999999999</v>
      </c>
      <c r="I847" s="15">
        <v>3.574897</v>
      </c>
      <c r="J847" s="15">
        <v>14.493320000000001</v>
      </c>
      <c r="K847" s="15">
        <v>5.8929960000000001</v>
      </c>
      <c r="L847" s="16">
        <v>4.8648090000000002</v>
      </c>
      <c r="M847" s="16">
        <v>8.1717829999999996</v>
      </c>
      <c r="N847" s="16">
        <v>9.1596089999999997</v>
      </c>
      <c r="O847" s="16">
        <v>5.2552880000000002</v>
      </c>
      <c r="P847" s="17">
        <v>8.8380480000000006</v>
      </c>
      <c r="Q847" s="17">
        <v>9.7799010000000006</v>
      </c>
      <c r="R847" s="17">
        <v>6.1197179999999998</v>
      </c>
      <c r="S847" s="17">
        <v>11.908609999999999</v>
      </c>
      <c r="AP847" s="35"/>
      <c r="AQ847" s="35"/>
      <c r="AR847" s="35"/>
      <c r="AS847" s="35"/>
    </row>
    <row r="848" spans="2:45" x14ac:dyDescent="0.2">
      <c r="B848" s="2">
        <v>43480.689293981479</v>
      </c>
      <c r="C848" s="5">
        <f t="shared" si="91"/>
        <v>22.499999099999929</v>
      </c>
      <c r="D848" s="14">
        <v>6.0487630000000001</v>
      </c>
      <c r="E848" s="14">
        <v>7.0879490000000001</v>
      </c>
      <c r="F848" s="14">
        <v>5.1866849999999998</v>
      </c>
      <c r="G848" s="14">
        <v>4.9621000000000004</v>
      </c>
      <c r="H848" s="15">
        <v>6.0289789999999996</v>
      </c>
      <c r="I848" s="15">
        <v>3.574897</v>
      </c>
      <c r="J848" s="15">
        <v>14.49507</v>
      </c>
      <c r="K848" s="15">
        <v>5.8929960000000001</v>
      </c>
      <c r="L848" s="16">
        <v>4.8648090000000002</v>
      </c>
      <c r="M848" s="16">
        <v>8.1717829999999996</v>
      </c>
      <c r="N848" s="16">
        <v>9.1842140000000008</v>
      </c>
      <c r="O848" s="16">
        <v>5.2552880000000002</v>
      </c>
      <c r="P848" s="17">
        <v>8.8380480000000006</v>
      </c>
      <c r="Q848" s="17">
        <v>9.7799010000000006</v>
      </c>
      <c r="R848" s="17">
        <v>6.1280150000000004</v>
      </c>
      <c r="S848" s="17">
        <v>11.92149</v>
      </c>
      <c r="AP848" s="35"/>
      <c r="AQ848" s="35"/>
      <c r="AR848" s="35"/>
      <c r="AS848" s="35"/>
    </row>
    <row r="849" spans="2:45" x14ac:dyDescent="0.2">
      <c r="B849" s="2">
        <v>43480.692766203705</v>
      </c>
      <c r="C849" s="5">
        <f t="shared" si="91"/>
        <v>22.583332429999928</v>
      </c>
      <c r="D849" s="14">
        <v>6.0487630000000001</v>
      </c>
      <c r="E849" s="14">
        <v>7.0879490000000001</v>
      </c>
      <c r="F849" s="14">
        <v>5.1978429999999998</v>
      </c>
      <c r="G849" s="14">
        <v>4.9636740000000001</v>
      </c>
      <c r="H849" s="15">
        <v>6.0322690000000003</v>
      </c>
      <c r="I849" s="15">
        <v>3.574897</v>
      </c>
      <c r="J849" s="15">
        <v>14.49822</v>
      </c>
      <c r="K849" s="15">
        <v>5.8929960000000001</v>
      </c>
      <c r="L849" s="16">
        <v>4.8648090000000002</v>
      </c>
      <c r="M849" s="16">
        <v>8.1717829999999996</v>
      </c>
      <c r="N849" s="16">
        <v>9.2088180000000008</v>
      </c>
      <c r="O849" s="16">
        <v>5.2552880000000002</v>
      </c>
      <c r="P849" s="17">
        <v>8.8380480000000006</v>
      </c>
      <c r="Q849" s="17">
        <v>9.7799010000000006</v>
      </c>
      <c r="R849" s="17">
        <v>6.1363120000000002</v>
      </c>
      <c r="S849" s="17">
        <v>11.93436</v>
      </c>
      <c r="AP849" s="35"/>
      <c r="AQ849" s="35"/>
      <c r="AR849" s="35"/>
      <c r="AS849" s="35"/>
    </row>
    <row r="850" spans="2:45" x14ac:dyDescent="0.2">
      <c r="B850" s="2">
        <v>43480.696238425924</v>
      </c>
      <c r="C850" s="5">
        <f t="shared" si="91"/>
        <v>22.666665759999926</v>
      </c>
      <c r="D850" s="14">
        <v>6.0487630000000001</v>
      </c>
      <c r="E850" s="14">
        <v>7.0879490000000001</v>
      </c>
      <c r="F850" s="14">
        <v>5.2090009999999998</v>
      </c>
      <c r="G850" s="14">
        <v>4.9652469999999997</v>
      </c>
      <c r="H850" s="15">
        <v>6.0355600000000003</v>
      </c>
      <c r="I850" s="15">
        <v>3.574897</v>
      </c>
      <c r="J850" s="15">
        <v>14.50137</v>
      </c>
      <c r="K850" s="15">
        <v>5.8929960000000001</v>
      </c>
      <c r="L850" s="16">
        <v>4.8648090000000002</v>
      </c>
      <c r="M850" s="16">
        <v>8.1717829999999996</v>
      </c>
      <c r="N850" s="16">
        <v>9.2334230000000002</v>
      </c>
      <c r="O850" s="16">
        <v>5.2552880000000002</v>
      </c>
      <c r="P850" s="17">
        <v>8.8380480000000006</v>
      </c>
      <c r="Q850" s="17">
        <v>9.7799010000000006</v>
      </c>
      <c r="R850" s="17">
        <v>6.144609</v>
      </c>
      <c r="S850" s="17">
        <v>11.947240000000001</v>
      </c>
      <c r="AP850" s="35"/>
      <c r="AQ850" s="35"/>
      <c r="AR850" s="35"/>
      <c r="AS850" s="35"/>
    </row>
    <row r="851" spans="2:45" x14ac:dyDescent="0.2">
      <c r="B851" s="2">
        <v>43480.69971064815</v>
      </c>
      <c r="C851" s="5">
        <f t="shared" si="91"/>
        <v>22.749999089999925</v>
      </c>
      <c r="D851" s="14">
        <v>6.0487630000000001</v>
      </c>
      <c r="E851" s="14">
        <v>7.0879490000000001</v>
      </c>
      <c r="F851" s="14">
        <v>5.2201589999999998</v>
      </c>
      <c r="G851" s="14">
        <v>4.9668210000000004</v>
      </c>
      <c r="H851" s="15">
        <v>6.0388500000000001</v>
      </c>
      <c r="I851" s="15">
        <v>3.574897</v>
      </c>
      <c r="J851" s="15">
        <v>14.504519999999999</v>
      </c>
      <c r="K851" s="15">
        <v>5.8929960000000001</v>
      </c>
      <c r="L851" s="16">
        <v>4.8648090000000002</v>
      </c>
      <c r="M851" s="16">
        <v>8.1717829999999996</v>
      </c>
      <c r="N851" s="16">
        <v>9.2580279999999995</v>
      </c>
      <c r="O851" s="16">
        <v>5.2552880000000002</v>
      </c>
      <c r="P851" s="17">
        <v>8.8380480000000006</v>
      </c>
      <c r="Q851" s="17">
        <v>9.7799010000000006</v>
      </c>
      <c r="R851" s="17">
        <v>6.1529059999999998</v>
      </c>
      <c r="S851" s="17">
        <v>11.96011</v>
      </c>
      <c r="AP851" s="35"/>
      <c r="AQ851" s="35"/>
      <c r="AR851" s="35"/>
      <c r="AS851" s="35"/>
    </row>
    <row r="852" spans="2:45" x14ac:dyDescent="0.2">
      <c r="B852" s="2">
        <v>43480.703182870369</v>
      </c>
      <c r="C852" s="5">
        <f t="shared" si="91"/>
        <v>22.833332419999923</v>
      </c>
      <c r="D852" s="14">
        <v>6.0487630000000001</v>
      </c>
      <c r="E852" s="14">
        <v>7.0879490000000001</v>
      </c>
      <c r="F852" s="14">
        <v>5.228955</v>
      </c>
      <c r="G852" s="14">
        <v>4.968394</v>
      </c>
      <c r="H852" s="15">
        <v>6.0421399999999998</v>
      </c>
      <c r="I852" s="15">
        <v>3.574897</v>
      </c>
      <c r="J852" s="15">
        <v>14.50766</v>
      </c>
      <c r="K852" s="15">
        <v>5.8929960000000001</v>
      </c>
      <c r="L852" s="16">
        <v>4.8648090000000002</v>
      </c>
      <c r="M852" s="16">
        <v>8.1717829999999996</v>
      </c>
      <c r="N852" s="16">
        <v>9.2694690000000008</v>
      </c>
      <c r="O852" s="16">
        <v>5.2552880000000002</v>
      </c>
      <c r="P852" s="17">
        <v>8.8380480000000006</v>
      </c>
      <c r="Q852" s="17">
        <v>9.7799010000000006</v>
      </c>
      <c r="R852" s="17">
        <v>6.1612030000000004</v>
      </c>
      <c r="S852" s="17">
        <v>11.972989999999999</v>
      </c>
      <c r="AP852" s="35"/>
      <c r="AQ852" s="35"/>
      <c r="AR852" s="35"/>
      <c r="AS852" s="35"/>
    </row>
    <row r="853" spans="2:45" x14ac:dyDescent="0.2">
      <c r="B853" s="2">
        <v>43480.706655092596</v>
      </c>
      <c r="C853" s="5">
        <f t="shared" si="91"/>
        <v>22.916665749999922</v>
      </c>
      <c r="D853" s="14">
        <v>6.0487630000000001</v>
      </c>
      <c r="E853" s="14">
        <v>7.0879490000000001</v>
      </c>
      <c r="F853" s="14">
        <v>5.228955</v>
      </c>
      <c r="G853" s="14">
        <v>4.9699679999999997</v>
      </c>
      <c r="H853" s="15">
        <v>6.0454299999999996</v>
      </c>
      <c r="I853" s="15">
        <v>3.574897</v>
      </c>
      <c r="J853" s="15">
        <v>14.510809999999999</v>
      </c>
      <c r="K853" s="15">
        <v>5.8929960000000001</v>
      </c>
      <c r="L853" s="16">
        <v>4.8648090000000002</v>
      </c>
      <c r="M853" s="16">
        <v>8.1717829999999996</v>
      </c>
      <c r="N853" s="16">
        <v>9.2694690000000008</v>
      </c>
      <c r="O853" s="16">
        <v>5.2552880000000002</v>
      </c>
      <c r="P853" s="17">
        <v>8.8380480000000006</v>
      </c>
      <c r="Q853" s="17">
        <v>9.7799010000000006</v>
      </c>
      <c r="R853" s="17">
        <v>6.1695000000000002</v>
      </c>
      <c r="S853" s="17">
        <v>11.985860000000001</v>
      </c>
      <c r="AP853" s="35"/>
      <c r="AQ853" s="35"/>
      <c r="AR853" s="35"/>
      <c r="AS853" s="35"/>
    </row>
    <row r="854" spans="2:45" x14ac:dyDescent="0.2">
      <c r="B854" s="2">
        <v>43480.710127314815</v>
      </c>
      <c r="C854" s="5">
        <f t="shared" si="91"/>
        <v>22.99999907999992</v>
      </c>
      <c r="D854" s="14">
        <v>6.0487630000000001</v>
      </c>
      <c r="E854" s="14">
        <v>7.0879490000000001</v>
      </c>
      <c r="F854" s="14">
        <v>5.228955</v>
      </c>
      <c r="G854" s="14">
        <v>4.9715410000000002</v>
      </c>
      <c r="H854" s="15">
        <v>6.0487200000000003</v>
      </c>
      <c r="I854" s="15">
        <v>3.574897</v>
      </c>
      <c r="J854" s="15">
        <v>14.513960000000001</v>
      </c>
      <c r="K854" s="15">
        <v>5.8929960000000001</v>
      </c>
      <c r="L854" s="16">
        <v>4.8648090000000002</v>
      </c>
      <c r="M854" s="16">
        <v>8.1717829999999996</v>
      </c>
      <c r="N854" s="16">
        <v>9.2694690000000008</v>
      </c>
      <c r="O854" s="16">
        <v>5.2552880000000002</v>
      </c>
      <c r="P854" s="17">
        <v>8.8380480000000006</v>
      </c>
      <c r="Q854" s="17">
        <v>9.7799010000000006</v>
      </c>
      <c r="R854" s="17">
        <v>6.177797</v>
      </c>
      <c r="S854" s="17">
        <v>11.99873</v>
      </c>
      <c r="V854" s="25">
        <v>23</v>
      </c>
      <c r="W854">
        <f>AVERAGE(D843:D854)</f>
        <v>6.0487630000000001</v>
      </c>
      <c r="X854">
        <f t="shared" ref="X854:AL854" si="93">AVERAGE(E843:E854)</f>
        <v>7.0879489999999992</v>
      </c>
      <c r="Y854">
        <f t="shared" si="93"/>
        <v>5.1913799166666665</v>
      </c>
      <c r="Z854">
        <f t="shared" si="93"/>
        <v>4.96288675</v>
      </c>
      <c r="AA854">
        <f t="shared" si="93"/>
        <v>6.0306243333333329</v>
      </c>
      <c r="AB854">
        <f t="shared" si="93"/>
        <v>3.574897</v>
      </c>
      <c r="AC854">
        <f t="shared" si="93"/>
        <v>14.489333333333329</v>
      </c>
      <c r="AD854">
        <f t="shared" si="93"/>
        <v>5.8929959999999992</v>
      </c>
      <c r="AE854">
        <f t="shared" si="93"/>
        <v>4.8648090000000002</v>
      </c>
      <c r="AF854">
        <f t="shared" si="93"/>
        <v>8.1717830000000014</v>
      </c>
      <c r="AG854">
        <f t="shared" si="93"/>
        <v>9.1870738333333328</v>
      </c>
      <c r="AH854">
        <f t="shared" si="93"/>
        <v>5.2552880000000002</v>
      </c>
      <c r="AI854">
        <f t="shared" si="93"/>
        <v>8.8380480000000006</v>
      </c>
      <c r="AJ854">
        <f t="shared" si="93"/>
        <v>9.7797503333333324</v>
      </c>
      <c r="AK854">
        <f t="shared" si="93"/>
        <v>6.1321634999999999</v>
      </c>
      <c r="AL854">
        <f t="shared" si="93"/>
        <v>11.932227499999998</v>
      </c>
      <c r="AO854" s="25">
        <v>23</v>
      </c>
      <c r="AP854" s="35">
        <f>AVERAGE(W854:Z854)</f>
        <v>5.822744666666666</v>
      </c>
      <c r="AQ854" s="35">
        <f>AVERAGE(AA854:AD854)</f>
        <v>7.4969626666666658</v>
      </c>
      <c r="AR854" s="35">
        <f>AVERAGE(AE854:AH854)</f>
        <v>6.8697384583333339</v>
      </c>
      <c r="AS854" s="35">
        <f>AVERAGE(AI854:AL854)</f>
        <v>9.1705473333333334</v>
      </c>
    </row>
    <row r="855" spans="2:45" x14ac:dyDescent="0.2">
      <c r="B855" s="2">
        <v>43480.713599537034</v>
      </c>
      <c r="C855" s="5">
        <f t="shared" si="91"/>
        <v>23.083332409999919</v>
      </c>
      <c r="D855" s="14">
        <v>6.0487630000000001</v>
      </c>
      <c r="E855" s="14">
        <v>7.0879490000000001</v>
      </c>
      <c r="F855" s="14">
        <v>5.2310179999999997</v>
      </c>
      <c r="G855" s="14">
        <v>4.973115</v>
      </c>
      <c r="H855" s="15">
        <v>6.0520110000000003</v>
      </c>
      <c r="I855" s="15">
        <v>3.574897</v>
      </c>
      <c r="J855" s="15">
        <v>14.517099999999999</v>
      </c>
      <c r="K855" s="15">
        <v>5.8929960000000001</v>
      </c>
      <c r="L855" s="16">
        <v>4.8648090000000002</v>
      </c>
      <c r="M855" s="16">
        <v>8.1717829999999996</v>
      </c>
      <c r="N855" s="16">
        <v>9.2694690000000008</v>
      </c>
      <c r="O855" s="16">
        <v>5.2552880000000002</v>
      </c>
      <c r="P855" s="17">
        <v>8.8380480000000006</v>
      </c>
      <c r="Q855" s="17">
        <v>9.7799010000000006</v>
      </c>
      <c r="R855" s="17">
        <v>6.1860939999999998</v>
      </c>
      <c r="S855" s="17">
        <v>12.011609999999999</v>
      </c>
      <c r="AP855" s="35"/>
      <c r="AQ855" s="35"/>
      <c r="AR855" s="35"/>
      <c r="AS855" s="35"/>
    </row>
    <row r="856" spans="2:45" x14ac:dyDescent="0.2">
      <c r="B856" s="2">
        <v>43480.71707175926</v>
      </c>
      <c r="C856" s="5">
        <f t="shared" si="91"/>
        <v>23.166665739999917</v>
      </c>
      <c r="D856" s="14">
        <v>6.0487630000000001</v>
      </c>
      <c r="E856" s="14">
        <v>7.0879490000000001</v>
      </c>
      <c r="F856" s="14">
        <v>5.2334500000000004</v>
      </c>
      <c r="G856" s="14">
        <v>4.9746889999999997</v>
      </c>
      <c r="H856" s="15">
        <v>6.055301</v>
      </c>
      <c r="I856" s="15">
        <v>3.574897</v>
      </c>
      <c r="J856" s="15">
        <v>14.520250000000001</v>
      </c>
      <c r="K856" s="15">
        <v>5.8929960000000001</v>
      </c>
      <c r="L856" s="16">
        <v>4.8648090000000002</v>
      </c>
      <c r="M856" s="16">
        <v>8.1717829999999996</v>
      </c>
      <c r="N856" s="16">
        <v>9.2694690000000008</v>
      </c>
      <c r="O856" s="16">
        <v>5.2552880000000002</v>
      </c>
      <c r="P856" s="17">
        <v>8.8380480000000006</v>
      </c>
      <c r="Q856" s="17">
        <v>9.7799010000000006</v>
      </c>
      <c r="R856" s="17">
        <v>6.1943910000000004</v>
      </c>
      <c r="S856" s="17">
        <v>12.024480000000001</v>
      </c>
      <c r="AP856" s="35"/>
      <c r="AQ856" s="35"/>
      <c r="AR856" s="35"/>
      <c r="AS856" s="35"/>
    </row>
    <row r="857" spans="2:45" x14ac:dyDescent="0.2">
      <c r="B857" s="2">
        <v>43480.720543981479</v>
      </c>
      <c r="C857" s="5">
        <f t="shared" si="91"/>
        <v>23.249999069999916</v>
      </c>
      <c r="D857" s="14">
        <v>6.0487630000000001</v>
      </c>
      <c r="E857" s="14">
        <v>7.0879490000000001</v>
      </c>
      <c r="F857" s="14">
        <v>5.2358820000000001</v>
      </c>
      <c r="G857" s="14">
        <v>4.9762620000000002</v>
      </c>
      <c r="H857" s="15">
        <v>6.0585909999999998</v>
      </c>
      <c r="I857" s="15">
        <v>3.574897</v>
      </c>
      <c r="J857" s="15">
        <v>14.52304</v>
      </c>
      <c r="K857" s="15">
        <v>5.8929960000000001</v>
      </c>
      <c r="L857" s="16">
        <v>4.8648090000000002</v>
      </c>
      <c r="M857" s="16">
        <v>8.1717829999999996</v>
      </c>
      <c r="N857" s="16">
        <v>9.2694690000000008</v>
      </c>
      <c r="O857" s="16">
        <v>5.2552880000000002</v>
      </c>
      <c r="P857" s="17">
        <v>8.8380480000000006</v>
      </c>
      <c r="Q857" s="17">
        <v>9.7799010000000006</v>
      </c>
      <c r="R857" s="17">
        <v>6.2026880000000002</v>
      </c>
      <c r="S857" s="17">
        <v>12.03736</v>
      </c>
      <c r="AP857" s="35"/>
      <c r="AQ857" s="35"/>
      <c r="AR857" s="35"/>
      <c r="AS857" s="35"/>
    </row>
    <row r="858" spans="2:45" x14ac:dyDescent="0.2">
      <c r="B858" s="2">
        <v>43480.724016203705</v>
      </c>
      <c r="C858" s="5">
        <f t="shared" si="91"/>
        <v>23.333332399999914</v>
      </c>
      <c r="D858" s="14">
        <v>6.0487630000000001</v>
      </c>
      <c r="E858" s="14">
        <v>7.0879490000000001</v>
      </c>
      <c r="F858" s="14">
        <v>5.2383139999999999</v>
      </c>
      <c r="G858" s="14">
        <v>4.9778359999999999</v>
      </c>
      <c r="H858" s="15">
        <v>6.0618809999999996</v>
      </c>
      <c r="I858" s="15">
        <v>3.574897</v>
      </c>
      <c r="J858" s="15">
        <v>14.52304</v>
      </c>
      <c r="K858" s="15">
        <v>5.8929960000000001</v>
      </c>
      <c r="L858" s="16">
        <v>4.8648090000000002</v>
      </c>
      <c r="M858" s="16">
        <v>8.1717829999999996</v>
      </c>
      <c r="N858" s="16">
        <v>9.2694690000000008</v>
      </c>
      <c r="O858" s="16">
        <v>5.2552880000000002</v>
      </c>
      <c r="P858" s="17">
        <v>8.8380480000000006</v>
      </c>
      <c r="Q858" s="17">
        <v>9.7799010000000006</v>
      </c>
      <c r="R858" s="17">
        <v>6.2053839999999996</v>
      </c>
      <c r="S858" s="17">
        <v>12.050230000000001</v>
      </c>
      <c r="AP858" s="35"/>
      <c r="AQ858" s="35"/>
      <c r="AR858" s="35"/>
      <c r="AS858" s="35"/>
    </row>
    <row r="859" spans="2:45" x14ac:dyDescent="0.2">
      <c r="B859" s="2">
        <v>43480.727488425924</v>
      </c>
      <c r="C859" s="5">
        <f t="shared" si="91"/>
        <v>23.416665729999913</v>
      </c>
      <c r="D859" s="14">
        <v>6.0487630000000001</v>
      </c>
      <c r="E859" s="14">
        <v>7.0879490000000001</v>
      </c>
      <c r="F859" s="14">
        <v>5.2407459999999997</v>
      </c>
      <c r="G859" s="14">
        <v>4.9794090000000004</v>
      </c>
      <c r="H859" s="15">
        <v>6.0651710000000003</v>
      </c>
      <c r="I859" s="15">
        <v>3.574897</v>
      </c>
      <c r="J859" s="15">
        <v>14.52304</v>
      </c>
      <c r="K859" s="15">
        <v>5.8929960000000001</v>
      </c>
      <c r="L859" s="16">
        <v>4.8648090000000002</v>
      </c>
      <c r="M859" s="16">
        <v>8.1717829999999996</v>
      </c>
      <c r="N859" s="16">
        <v>9.2694690000000008</v>
      </c>
      <c r="O859" s="16">
        <v>5.2552880000000002</v>
      </c>
      <c r="P859" s="17">
        <v>8.8380480000000006</v>
      </c>
      <c r="Q859" s="17">
        <v>9.7799010000000006</v>
      </c>
      <c r="R859" s="17">
        <v>6.2053839999999996</v>
      </c>
      <c r="S859" s="17">
        <v>12.06311</v>
      </c>
      <c r="AP859" s="35"/>
      <c r="AQ859" s="35"/>
      <c r="AR859" s="35"/>
      <c r="AS859" s="35"/>
    </row>
    <row r="860" spans="2:45" x14ac:dyDescent="0.2">
      <c r="B860" s="2">
        <v>43480.73096064815</v>
      </c>
      <c r="C860" s="5">
        <f t="shared" si="91"/>
        <v>23.499999059999912</v>
      </c>
      <c r="D860" s="14">
        <v>6.0487630000000001</v>
      </c>
      <c r="E860" s="14">
        <v>7.0879490000000001</v>
      </c>
      <c r="F860" s="14">
        <v>5.2431770000000002</v>
      </c>
      <c r="G860" s="14">
        <v>4.9809830000000002</v>
      </c>
      <c r="H860" s="15">
        <v>6.0684610000000001</v>
      </c>
      <c r="I860" s="15">
        <v>3.574897</v>
      </c>
      <c r="J860" s="15">
        <v>14.52304</v>
      </c>
      <c r="K860" s="15">
        <v>5.8929960000000001</v>
      </c>
      <c r="L860" s="16">
        <v>4.8648090000000002</v>
      </c>
      <c r="M860" s="16">
        <v>8.1717829999999996</v>
      </c>
      <c r="N860" s="16">
        <v>9.2694690000000008</v>
      </c>
      <c r="O860" s="16">
        <v>5.2552880000000002</v>
      </c>
      <c r="P860" s="17">
        <v>8.8380480000000006</v>
      </c>
      <c r="Q860" s="17">
        <v>9.7799010000000006</v>
      </c>
      <c r="R860" s="17">
        <v>6.2053839999999996</v>
      </c>
      <c r="S860" s="17">
        <v>12.075979999999999</v>
      </c>
      <c r="AP860" s="35"/>
      <c r="AQ860" s="35"/>
      <c r="AR860" s="35"/>
      <c r="AS860" s="35"/>
    </row>
    <row r="861" spans="2:45" x14ac:dyDescent="0.2">
      <c r="B861" s="2">
        <v>43480.734432870369</v>
      </c>
      <c r="C861" s="5">
        <f t="shared" si="91"/>
        <v>23.58333238999991</v>
      </c>
      <c r="D861" s="14">
        <v>6.0487630000000001</v>
      </c>
      <c r="E861" s="14">
        <v>7.0879490000000001</v>
      </c>
      <c r="F861" s="14">
        <v>5.245609</v>
      </c>
      <c r="G861" s="14">
        <v>4.9825559999999998</v>
      </c>
      <c r="H861" s="15">
        <v>6.071752</v>
      </c>
      <c r="I861" s="15">
        <v>3.574897</v>
      </c>
      <c r="J861" s="15">
        <v>14.52304</v>
      </c>
      <c r="K861" s="15">
        <v>5.8929960000000001</v>
      </c>
      <c r="L861" s="16">
        <v>4.8648090000000002</v>
      </c>
      <c r="M861" s="16">
        <v>8.1717829999999996</v>
      </c>
      <c r="N861" s="16">
        <v>9.2694690000000008</v>
      </c>
      <c r="O861" s="16">
        <v>5.2552880000000002</v>
      </c>
      <c r="P861" s="17">
        <v>8.8380480000000006</v>
      </c>
      <c r="Q861" s="17">
        <v>9.7799010000000006</v>
      </c>
      <c r="R861" s="17">
        <v>6.2053839999999996</v>
      </c>
      <c r="S861" s="17">
        <v>12.08886</v>
      </c>
      <c r="AP861" s="35"/>
      <c r="AQ861" s="35"/>
      <c r="AR861" s="35"/>
      <c r="AS861" s="35"/>
    </row>
    <row r="862" spans="2:45" x14ac:dyDescent="0.2">
      <c r="B862" s="2">
        <v>43480.737905092596</v>
      </c>
      <c r="C862" s="5">
        <f t="shared" si="91"/>
        <v>23.666665719999909</v>
      </c>
      <c r="D862" s="14">
        <v>6.0487630000000001</v>
      </c>
      <c r="E862" s="14">
        <v>7.0879490000000001</v>
      </c>
      <c r="F862" s="14">
        <v>5.2480409999999997</v>
      </c>
      <c r="G862" s="14">
        <v>4.9841300000000004</v>
      </c>
      <c r="H862" s="15">
        <v>6.0750419999999998</v>
      </c>
      <c r="I862" s="15">
        <v>3.574897</v>
      </c>
      <c r="J862" s="15">
        <v>14.52304</v>
      </c>
      <c r="K862" s="15">
        <v>5.8929960000000001</v>
      </c>
      <c r="L862" s="16">
        <v>4.8744350000000001</v>
      </c>
      <c r="M862" s="16">
        <v>8.1717829999999996</v>
      </c>
      <c r="N862" s="16">
        <v>9.2694690000000008</v>
      </c>
      <c r="O862" s="16">
        <v>5.2552880000000002</v>
      </c>
      <c r="P862" s="17">
        <v>8.8380480000000006</v>
      </c>
      <c r="Q862" s="17">
        <v>9.7799010000000006</v>
      </c>
      <c r="R862" s="17">
        <v>6.2053839999999996</v>
      </c>
      <c r="S862" s="17">
        <v>12.10173</v>
      </c>
      <c r="AP862" s="35"/>
      <c r="AQ862" s="35"/>
      <c r="AR862" s="35"/>
      <c r="AS862" s="35"/>
    </row>
    <row r="863" spans="2:45" x14ac:dyDescent="0.2">
      <c r="B863" s="2">
        <v>43480.741377314815</v>
      </c>
      <c r="C863" s="5">
        <f t="shared" si="91"/>
        <v>23.749999049999907</v>
      </c>
      <c r="D863" s="14">
        <v>6.0487630000000001</v>
      </c>
      <c r="E863" s="14">
        <v>7.0879490000000001</v>
      </c>
      <c r="F863" s="14">
        <v>5.2504730000000004</v>
      </c>
      <c r="G863" s="14">
        <v>4.985703</v>
      </c>
      <c r="H863" s="15">
        <v>6.0783319999999996</v>
      </c>
      <c r="I863" s="15">
        <v>3.574897</v>
      </c>
      <c r="J863" s="15">
        <v>14.52304</v>
      </c>
      <c r="K863" s="15">
        <v>5.8929960000000001</v>
      </c>
      <c r="L863" s="16">
        <v>4.8785610000000004</v>
      </c>
      <c r="M863" s="16">
        <v>8.1749019999999994</v>
      </c>
      <c r="N863" s="16">
        <v>9.2694690000000008</v>
      </c>
      <c r="O863" s="16">
        <v>5.2552880000000002</v>
      </c>
      <c r="P863" s="17">
        <v>8.8380480000000006</v>
      </c>
      <c r="Q863" s="17">
        <v>9.7799010000000006</v>
      </c>
      <c r="R863" s="17">
        <v>6.2053839999999996</v>
      </c>
      <c r="S863" s="17">
        <v>12.114610000000001</v>
      </c>
      <c r="AP863" s="35"/>
      <c r="AQ863" s="35"/>
      <c r="AR863" s="35"/>
      <c r="AS863" s="35"/>
    </row>
    <row r="864" spans="2:45" x14ac:dyDescent="0.2">
      <c r="B864" s="2">
        <v>43480.744849537034</v>
      </c>
      <c r="C864" s="5">
        <f t="shared" si="91"/>
        <v>23.833332379999906</v>
      </c>
      <c r="D864" s="14">
        <v>6.0487630000000001</v>
      </c>
      <c r="E864" s="14">
        <v>7.0879490000000001</v>
      </c>
      <c r="F864" s="14">
        <v>5.2529050000000002</v>
      </c>
      <c r="G864" s="14">
        <v>4.9872769999999997</v>
      </c>
      <c r="H864" s="15">
        <v>6.0816220000000003</v>
      </c>
      <c r="I864" s="15">
        <v>3.574897</v>
      </c>
      <c r="J864" s="15">
        <v>14.52304</v>
      </c>
      <c r="K864" s="15">
        <v>5.8929960000000001</v>
      </c>
      <c r="L864" s="16">
        <v>4.8785610000000004</v>
      </c>
      <c r="M864" s="16">
        <v>8.1786209999999997</v>
      </c>
      <c r="N864" s="16">
        <v>9.2721900000000002</v>
      </c>
      <c r="O864" s="16">
        <v>5.2552880000000002</v>
      </c>
      <c r="P864" s="17">
        <v>8.8380480000000006</v>
      </c>
      <c r="Q864" s="17">
        <v>9.7799010000000006</v>
      </c>
      <c r="R864" s="17">
        <v>6.2053839999999996</v>
      </c>
      <c r="S864" s="17">
        <v>12.12748</v>
      </c>
      <c r="AP864" s="35"/>
      <c r="AQ864" s="35"/>
      <c r="AR864" s="35"/>
      <c r="AS864" s="35"/>
    </row>
    <row r="865" spans="2:48" x14ac:dyDescent="0.2">
      <c r="B865" s="2">
        <v>43480.74832175926</v>
      </c>
      <c r="C865" s="5">
        <f t="shared" si="91"/>
        <v>23.916665709999904</v>
      </c>
      <c r="D865" s="14">
        <v>6.0487630000000001</v>
      </c>
      <c r="E865" s="14">
        <v>7.0879490000000001</v>
      </c>
      <c r="F865" s="14">
        <v>5.2553369999999999</v>
      </c>
      <c r="G865" s="14">
        <v>4.9888510000000004</v>
      </c>
      <c r="H865" s="15">
        <v>6.0849120000000001</v>
      </c>
      <c r="I865" s="15">
        <v>3.574897</v>
      </c>
      <c r="J865" s="15">
        <v>14.52304</v>
      </c>
      <c r="K865" s="15">
        <v>5.8929960000000001</v>
      </c>
      <c r="L865" s="16">
        <v>4.8785610000000004</v>
      </c>
      <c r="M865" s="16">
        <v>8.1823409999999992</v>
      </c>
      <c r="N865" s="16">
        <v>9.2759090000000004</v>
      </c>
      <c r="O865" s="16">
        <v>5.2552880000000002</v>
      </c>
      <c r="P865" s="17">
        <v>8.8380480000000006</v>
      </c>
      <c r="Q865" s="17">
        <v>9.7799010000000006</v>
      </c>
      <c r="R865" s="17">
        <v>6.2053839999999996</v>
      </c>
      <c r="S865" s="17">
        <v>12.140359999999999</v>
      </c>
      <c r="AP865" s="35"/>
      <c r="AQ865" s="35"/>
      <c r="AR865" s="35"/>
      <c r="AS865" s="35"/>
    </row>
    <row r="866" spans="2:48" x14ac:dyDescent="0.2">
      <c r="B866" s="10">
        <v>43480.751793981479</v>
      </c>
      <c r="C866" s="11">
        <v>0</v>
      </c>
      <c r="D866" s="14">
        <v>6.0487630000000001</v>
      </c>
      <c r="E866" s="14">
        <v>7.0879490000000001</v>
      </c>
      <c r="F866" s="14">
        <v>5.2577689999999997</v>
      </c>
      <c r="G866" s="14">
        <v>4.990424</v>
      </c>
      <c r="H866" s="15">
        <v>6.0882019999999999</v>
      </c>
      <c r="I866" s="15">
        <v>3.574897</v>
      </c>
      <c r="J866" s="15">
        <v>14.52304</v>
      </c>
      <c r="K866" s="15">
        <v>5.8929960000000001</v>
      </c>
      <c r="L866" s="16">
        <v>4.8785610000000004</v>
      </c>
      <c r="M866" s="16">
        <v>8.1860599999999994</v>
      </c>
      <c r="N866" s="16">
        <v>9.2796289999999999</v>
      </c>
      <c r="O866" s="16">
        <v>5.2552880000000002</v>
      </c>
      <c r="P866" s="17">
        <v>8.8380480000000006</v>
      </c>
      <c r="Q866" s="17">
        <v>9.7799010000000006</v>
      </c>
      <c r="R866" s="17">
        <v>6.2053839999999996</v>
      </c>
      <c r="S866" s="17">
        <v>12.153230000000001</v>
      </c>
      <c r="V866" s="29">
        <v>0</v>
      </c>
      <c r="W866">
        <f>AVERAGE(D855:D866)</f>
        <v>6.0487630000000001</v>
      </c>
      <c r="X866">
        <f t="shared" ref="X866:AL866" si="94">AVERAGE(E855:E866)</f>
        <v>7.0879489999999992</v>
      </c>
      <c r="Y866">
        <f t="shared" si="94"/>
        <v>5.2443934166666653</v>
      </c>
      <c r="Z866">
        <f t="shared" si="94"/>
        <v>4.9817695833333335</v>
      </c>
      <c r="AA866">
        <f t="shared" si="94"/>
        <v>6.0701064999999987</v>
      </c>
      <c r="AB866">
        <f t="shared" si="94"/>
        <v>3.574897</v>
      </c>
      <c r="AC866">
        <f t="shared" si="94"/>
        <v>14.5223125</v>
      </c>
      <c r="AD866">
        <f t="shared" si="94"/>
        <v>5.8929959999999992</v>
      </c>
      <c r="AE866">
        <f t="shared" si="94"/>
        <v>4.8701951666666661</v>
      </c>
      <c r="AF866">
        <f t="shared" si="94"/>
        <v>8.1746823333333332</v>
      </c>
      <c r="AG866">
        <f t="shared" si="94"/>
        <v>9.2710790833333334</v>
      </c>
      <c r="AH866">
        <f t="shared" si="94"/>
        <v>5.2552880000000002</v>
      </c>
      <c r="AI866">
        <f t="shared" si="94"/>
        <v>8.8380480000000006</v>
      </c>
      <c r="AJ866">
        <f t="shared" si="94"/>
        <v>9.7799009999999988</v>
      </c>
      <c r="AK866">
        <f t="shared" si="94"/>
        <v>6.2026357499999998</v>
      </c>
      <c r="AL866">
        <f t="shared" si="94"/>
        <v>12.082420000000001</v>
      </c>
      <c r="AO866" s="29">
        <v>0</v>
      </c>
      <c r="AP866" s="35">
        <f>AVERAGE(W866:Z866)</f>
        <v>5.8407187499999988</v>
      </c>
      <c r="AQ866" s="35">
        <f>AVERAGE(AA866:AD866)</f>
        <v>7.5150779999999999</v>
      </c>
      <c r="AR866" s="35">
        <f>AVERAGE(AE866:AH866)</f>
        <v>6.892811145833333</v>
      </c>
      <c r="AS866" s="35">
        <f>AVERAGE(AI866:AL866)</f>
        <v>9.2257511875000002</v>
      </c>
      <c r="AV866" s="29"/>
    </row>
    <row r="867" spans="2:48" x14ac:dyDescent="0.2">
      <c r="B867" s="2">
        <v>43480.755266203705</v>
      </c>
      <c r="C867" s="5">
        <f t="shared" si="91"/>
        <v>8.3333329999999997E-2</v>
      </c>
      <c r="D867" s="14">
        <v>6.0487630000000001</v>
      </c>
      <c r="E867" s="14">
        <v>7.0879490000000001</v>
      </c>
      <c r="F867" s="14">
        <v>5.2602010000000003</v>
      </c>
      <c r="G867" s="14">
        <v>4.9919979999999997</v>
      </c>
      <c r="H867" s="15">
        <v>6.0914929999999998</v>
      </c>
      <c r="I867" s="15">
        <v>3.574897</v>
      </c>
      <c r="J867" s="15">
        <v>14.52304</v>
      </c>
      <c r="K867" s="15">
        <v>5.8929960000000001</v>
      </c>
      <c r="L867" s="16">
        <v>4.8785610000000004</v>
      </c>
      <c r="M867" s="16">
        <v>8.1897789999999997</v>
      </c>
      <c r="N867" s="16">
        <v>9.2833480000000002</v>
      </c>
      <c r="O867" s="16">
        <v>5.2552880000000002</v>
      </c>
      <c r="P867" s="17">
        <v>8.8380480000000006</v>
      </c>
      <c r="Q867" s="17">
        <v>9.7799010000000006</v>
      </c>
      <c r="R867" s="17">
        <v>6.2053839999999996</v>
      </c>
      <c r="S867" s="17">
        <v>12.1661</v>
      </c>
      <c r="AP867" s="35"/>
      <c r="AQ867" s="35"/>
      <c r="AR867" s="35"/>
      <c r="AS867" s="35"/>
    </row>
    <row r="868" spans="2:48" x14ac:dyDescent="0.2">
      <c r="B868" s="2">
        <v>43480.758738425924</v>
      </c>
      <c r="C868" s="5">
        <f t="shared" si="91"/>
        <v>0.16666665999999999</v>
      </c>
      <c r="D868" s="14">
        <v>6.0487630000000001</v>
      </c>
      <c r="E868" s="14">
        <v>7.0879490000000001</v>
      </c>
      <c r="F868" s="14">
        <v>5.262632</v>
      </c>
      <c r="G868" s="14">
        <v>4.9935710000000002</v>
      </c>
      <c r="H868" s="15">
        <v>6.0947829999999996</v>
      </c>
      <c r="I868" s="15">
        <v>3.574897</v>
      </c>
      <c r="J868" s="15">
        <v>14.52304</v>
      </c>
      <c r="K868" s="15">
        <v>5.8929960000000001</v>
      </c>
      <c r="L868" s="16">
        <v>4.8785610000000004</v>
      </c>
      <c r="M868" s="16">
        <v>8.1934989999999992</v>
      </c>
      <c r="N868" s="16">
        <v>9.2870670000000004</v>
      </c>
      <c r="O868" s="16">
        <v>5.2552880000000002</v>
      </c>
      <c r="P868" s="17">
        <v>8.8380480000000006</v>
      </c>
      <c r="Q868" s="17">
        <v>9.7799010000000006</v>
      </c>
      <c r="R868" s="17">
        <v>6.2053839999999996</v>
      </c>
      <c r="S868" s="17">
        <v>12.178979999999999</v>
      </c>
      <c r="AP868" s="35"/>
      <c r="AQ868" s="35"/>
      <c r="AR868" s="35"/>
      <c r="AS868" s="35"/>
    </row>
    <row r="869" spans="2:48" x14ac:dyDescent="0.2">
      <c r="B869" s="2">
        <v>43480.76221064815</v>
      </c>
      <c r="C869" s="5">
        <f t="shared" si="91"/>
        <v>0.24999999000000001</v>
      </c>
      <c r="D869" s="14">
        <v>6.0487630000000001</v>
      </c>
      <c r="E869" s="14">
        <v>7.0879490000000001</v>
      </c>
      <c r="F869" s="14">
        <v>5.2650639999999997</v>
      </c>
      <c r="G869" s="14">
        <v>4.9951449999999999</v>
      </c>
      <c r="H869" s="15">
        <v>6.0980730000000003</v>
      </c>
      <c r="I869" s="15">
        <v>3.574897</v>
      </c>
      <c r="J869" s="15">
        <v>14.52304</v>
      </c>
      <c r="K869" s="15">
        <v>5.8929960000000001</v>
      </c>
      <c r="L869" s="16">
        <v>4.8785610000000004</v>
      </c>
      <c r="M869" s="16">
        <v>8.1966289999999997</v>
      </c>
      <c r="N869" s="16">
        <v>9.2907869999999999</v>
      </c>
      <c r="O869" s="16">
        <v>5.2552880000000002</v>
      </c>
      <c r="P869" s="17">
        <v>8.8380480000000006</v>
      </c>
      <c r="Q869" s="17">
        <v>9.7799010000000006</v>
      </c>
      <c r="R869" s="17">
        <v>6.2053839999999996</v>
      </c>
      <c r="S869" s="17">
        <v>12.191850000000001</v>
      </c>
      <c r="AP869" s="35"/>
      <c r="AQ869" s="35"/>
      <c r="AR869" s="35"/>
      <c r="AS869" s="35"/>
    </row>
    <row r="870" spans="2:48" x14ac:dyDescent="0.2">
      <c r="B870" s="2">
        <v>43480.765682870369</v>
      </c>
      <c r="C870" s="5">
        <f t="shared" si="91"/>
        <v>0.33333331999999999</v>
      </c>
      <c r="D870" s="14">
        <v>6.0487630000000001</v>
      </c>
      <c r="E870" s="14">
        <v>7.0879490000000001</v>
      </c>
      <c r="F870" s="14">
        <v>5.2674960000000004</v>
      </c>
      <c r="G870" s="14">
        <v>4.9967180000000004</v>
      </c>
      <c r="H870" s="15">
        <v>6.1013630000000001</v>
      </c>
      <c r="I870" s="15">
        <v>3.574897</v>
      </c>
      <c r="J870" s="15">
        <v>14.52304</v>
      </c>
      <c r="K870" s="15">
        <v>5.8929960000000001</v>
      </c>
      <c r="L870" s="16">
        <v>4.8785610000000004</v>
      </c>
      <c r="M870" s="16">
        <v>8.1966289999999997</v>
      </c>
      <c r="N870" s="16">
        <v>9.2945060000000002</v>
      </c>
      <c r="O870" s="16">
        <v>5.2552880000000002</v>
      </c>
      <c r="P870" s="17">
        <v>8.8380480000000006</v>
      </c>
      <c r="Q870" s="17">
        <v>9.7799010000000006</v>
      </c>
      <c r="R870" s="17">
        <v>6.2053839999999996</v>
      </c>
      <c r="S870" s="17">
        <v>12.20473</v>
      </c>
      <c r="AP870" s="35"/>
      <c r="AQ870" s="35"/>
      <c r="AR870" s="35"/>
      <c r="AS870" s="35"/>
    </row>
    <row r="871" spans="2:48" x14ac:dyDescent="0.2">
      <c r="B871" s="2">
        <v>43480.769155092596</v>
      </c>
      <c r="C871" s="5">
        <f t="shared" si="91"/>
        <v>0.41666664999999997</v>
      </c>
      <c r="D871" s="14">
        <v>6.0487630000000001</v>
      </c>
      <c r="E871" s="14">
        <v>7.0879490000000001</v>
      </c>
      <c r="F871" s="14">
        <v>5.2699280000000002</v>
      </c>
      <c r="G871" s="14">
        <v>4.9982920000000002</v>
      </c>
      <c r="H871" s="15">
        <v>6.1046529999999999</v>
      </c>
      <c r="I871" s="15">
        <v>3.574897</v>
      </c>
      <c r="J871" s="15">
        <v>14.52304</v>
      </c>
      <c r="K871" s="15">
        <v>5.8929960000000001</v>
      </c>
      <c r="L871" s="16">
        <v>4.8785610000000004</v>
      </c>
      <c r="M871" s="16">
        <v>8.2043739999999996</v>
      </c>
      <c r="N871" s="16">
        <v>9.2982250000000004</v>
      </c>
      <c r="O871" s="16">
        <v>5.2552880000000002</v>
      </c>
      <c r="P871" s="17">
        <v>8.8380480000000006</v>
      </c>
      <c r="Q871" s="17">
        <v>9.7799010000000006</v>
      </c>
      <c r="R871" s="17">
        <v>6.2053839999999996</v>
      </c>
      <c r="S871" s="17">
        <v>12.217599999999999</v>
      </c>
      <c r="AP871" s="35"/>
      <c r="AQ871" s="35"/>
      <c r="AR871" s="35"/>
      <c r="AS871" s="35"/>
    </row>
    <row r="872" spans="2:48" x14ac:dyDescent="0.2">
      <c r="B872" s="2">
        <v>43480.772627314815</v>
      </c>
      <c r="C872" s="5">
        <f t="shared" si="91"/>
        <v>0.49999997999999996</v>
      </c>
      <c r="D872" s="14">
        <v>6.0487630000000001</v>
      </c>
      <c r="E872" s="14">
        <v>7.0879490000000001</v>
      </c>
      <c r="F872" s="14">
        <v>5.2723599999999999</v>
      </c>
      <c r="G872" s="14">
        <v>4.9998659999999999</v>
      </c>
      <c r="H872" s="15">
        <v>6.1079439999999998</v>
      </c>
      <c r="I872" s="15">
        <v>3.574897</v>
      </c>
      <c r="J872" s="15">
        <v>14.52304</v>
      </c>
      <c r="K872" s="15">
        <v>5.8929960000000001</v>
      </c>
      <c r="L872" s="16">
        <v>4.8785610000000004</v>
      </c>
      <c r="M872" s="16">
        <v>8.220682</v>
      </c>
      <c r="N872" s="16">
        <v>9.3019449999999999</v>
      </c>
      <c r="O872" s="16">
        <v>5.2552880000000002</v>
      </c>
      <c r="P872" s="17">
        <v>8.8380480000000006</v>
      </c>
      <c r="Q872" s="17">
        <v>9.7799010000000006</v>
      </c>
      <c r="R872" s="17">
        <v>6.2053839999999996</v>
      </c>
      <c r="S872" s="17">
        <v>12.23048</v>
      </c>
      <c r="AP872" s="35"/>
      <c r="AQ872" s="35"/>
      <c r="AR872" s="35"/>
      <c r="AS872" s="35"/>
    </row>
    <row r="873" spans="2:48" x14ac:dyDescent="0.2">
      <c r="B873" s="2">
        <v>43480.776099537034</v>
      </c>
      <c r="C873" s="5">
        <f t="shared" si="91"/>
        <v>0.58333330999999999</v>
      </c>
      <c r="D873" s="14">
        <v>6.0487630000000001</v>
      </c>
      <c r="E873" s="14">
        <v>7.0879490000000001</v>
      </c>
      <c r="F873" s="14">
        <v>5.2747919999999997</v>
      </c>
      <c r="G873" s="14">
        <v>5.0014390000000004</v>
      </c>
      <c r="H873" s="15">
        <v>6.1112339999999996</v>
      </c>
      <c r="I873" s="15">
        <v>3.574897</v>
      </c>
      <c r="J873" s="15">
        <v>14.52304</v>
      </c>
      <c r="K873" s="15">
        <v>5.8929960000000001</v>
      </c>
      <c r="L873" s="16">
        <v>4.8785610000000004</v>
      </c>
      <c r="M873" s="16">
        <v>8.2369900000000005</v>
      </c>
      <c r="N873" s="16">
        <v>9.3056640000000002</v>
      </c>
      <c r="O873" s="16">
        <v>5.2552880000000002</v>
      </c>
      <c r="P873" s="17">
        <v>8.8380480000000006</v>
      </c>
      <c r="Q873" s="17">
        <v>9.7799010000000006</v>
      </c>
      <c r="R873" s="17">
        <v>6.2053839999999996</v>
      </c>
      <c r="S873" s="17">
        <v>12.24335</v>
      </c>
      <c r="AP873" s="35"/>
      <c r="AQ873" s="35"/>
      <c r="AR873" s="35"/>
      <c r="AS873" s="35"/>
    </row>
    <row r="874" spans="2:48" x14ac:dyDescent="0.2">
      <c r="B874" s="2">
        <v>43480.77957175926</v>
      </c>
      <c r="C874" s="5">
        <f t="shared" si="91"/>
        <v>0.66666663999999998</v>
      </c>
      <c r="D874" s="14">
        <v>6.0487630000000001</v>
      </c>
      <c r="E874" s="14">
        <v>7.0879490000000001</v>
      </c>
      <c r="F874" s="14">
        <v>5.2772240000000004</v>
      </c>
      <c r="G874" s="14">
        <v>5.0030130000000002</v>
      </c>
      <c r="H874" s="15">
        <v>6.1145240000000003</v>
      </c>
      <c r="I874" s="15">
        <v>3.574897</v>
      </c>
      <c r="J874" s="15">
        <v>14.52304</v>
      </c>
      <c r="K874" s="15">
        <v>5.8929960000000001</v>
      </c>
      <c r="L874" s="16">
        <v>4.8785610000000004</v>
      </c>
      <c r="M874" s="16">
        <v>8.2532979999999991</v>
      </c>
      <c r="N874" s="16">
        <v>9.3093830000000004</v>
      </c>
      <c r="O874" s="16">
        <v>5.2552880000000002</v>
      </c>
      <c r="P874" s="17">
        <v>8.8380480000000006</v>
      </c>
      <c r="Q874" s="17">
        <v>9.7799010000000006</v>
      </c>
      <c r="R874" s="17">
        <v>6.2053839999999996</v>
      </c>
      <c r="S874" s="17">
        <v>12.25623</v>
      </c>
      <c r="AP874" s="35"/>
      <c r="AQ874" s="35"/>
      <c r="AR874" s="35"/>
      <c r="AS874" s="35"/>
    </row>
    <row r="875" spans="2:48" x14ac:dyDescent="0.2">
      <c r="B875" s="2">
        <v>43480.783043981479</v>
      </c>
      <c r="C875" s="5">
        <f t="shared" si="91"/>
        <v>0.74999996999999996</v>
      </c>
      <c r="D875" s="14">
        <v>6.0487630000000001</v>
      </c>
      <c r="E875" s="14">
        <v>7.0879490000000001</v>
      </c>
      <c r="F875" s="14">
        <v>5.279655</v>
      </c>
      <c r="G875" s="14">
        <v>5.0045859999999998</v>
      </c>
      <c r="H875" s="15">
        <v>6.1178140000000001</v>
      </c>
      <c r="I875" s="15">
        <v>3.574897</v>
      </c>
      <c r="J875" s="15">
        <v>14.52304</v>
      </c>
      <c r="K875" s="15">
        <v>5.8929960000000001</v>
      </c>
      <c r="L875" s="16">
        <v>4.8785610000000004</v>
      </c>
      <c r="M875" s="16">
        <v>8.2696059999999996</v>
      </c>
      <c r="N875" s="16">
        <v>9.3131029999999999</v>
      </c>
      <c r="O875" s="16">
        <v>5.2552880000000002</v>
      </c>
      <c r="P875" s="17">
        <v>8.8380480000000006</v>
      </c>
      <c r="Q875" s="17">
        <v>9.7799010000000006</v>
      </c>
      <c r="R875" s="17">
        <v>6.2053839999999996</v>
      </c>
      <c r="S875" s="17">
        <v>12.2691</v>
      </c>
      <c r="AP875" s="35"/>
      <c r="AQ875" s="35"/>
      <c r="AR875" s="35"/>
      <c r="AS875" s="35"/>
    </row>
    <row r="876" spans="2:48" x14ac:dyDescent="0.2">
      <c r="B876" s="2">
        <v>43480.786516203705</v>
      </c>
      <c r="C876" s="5">
        <f t="shared" si="91"/>
        <v>0.83333329999999994</v>
      </c>
      <c r="D876" s="14">
        <v>6.0487630000000001</v>
      </c>
      <c r="E876" s="14">
        <v>7.0879490000000001</v>
      </c>
      <c r="F876" s="14">
        <v>5.2820869999999998</v>
      </c>
      <c r="G876" s="14">
        <v>5.0061600000000004</v>
      </c>
      <c r="H876" s="15">
        <v>6.1211039999999999</v>
      </c>
      <c r="I876" s="15">
        <v>3.574897</v>
      </c>
      <c r="J876" s="15">
        <v>14.52304</v>
      </c>
      <c r="K876" s="15">
        <v>5.8929960000000001</v>
      </c>
      <c r="L876" s="16">
        <v>4.8785610000000004</v>
      </c>
      <c r="M876" s="16">
        <v>8.2859130000000007</v>
      </c>
      <c r="N876" s="16">
        <v>9.3168220000000002</v>
      </c>
      <c r="O876" s="16">
        <v>5.2552880000000002</v>
      </c>
      <c r="P876" s="17">
        <v>8.8380480000000006</v>
      </c>
      <c r="Q876" s="17">
        <v>9.7799010000000006</v>
      </c>
      <c r="R876" s="17">
        <v>6.2053839999999996</v>
      </c>
      <c r="S876" s="17">
        <v>12.281980000000001</v>
      </c>
      <c r="AP876" s="35"/>
      <c r="AQ876" s="35"/>
      <c r="AR876" s="35"/>
      <c r="AS876" s="35"/>
    </row>
    <row r="877" spans="2:48" x14ac:dyDescent="0.2">
      <c r="B877" s="2">
        <v>43480.789988425924</v>
      </c>
      <c r="C877" s="5">
        <f t="shared" si="91"/>
        <v>0.91666662999999993</v>
      </c>
      <c r="D877" s="14">
        <v>6.0487630000000001</v>
      </c>
      <c r="E877" s="14">
        <v>7.0879490000000001</v>
      </c>
      <c r="F877" s="14">
        <v>5.2845190000000004</v>
      </c>
      <c r="G877" s="14">
        <v>5.007733</v>
      </c>
      <c r="H877" s="15">
        <v>6.1243939999999997</v>
      </c>
      <c r="I877" s="15">
        <v>3.574897</v>
      </c>
      <c r="J877" s="15">
        <v>14.52304</v>
      </c>
      <c r="K877" s="15">
        <v>5.8929960000000001</v>
      </c>
      <c r="L877" s="16">
        <v>4.8785610000000004</v>
      </c>
      <c r="M877" s="16">
        <v>8.2998569999999994</v>
      </c>
      <c r="N877" s="16">
        <v>9.3205410000000004</v>
      </c>
      <c r="O877" s="16">
        <v>5.2552880000000002</v>
      </c>
      <c r="P877" s="17">
        <v>8.8380480000000006</v>
      </c>
      <c r="Q877" s="17">
        <v>9.7799010000000006</v>
      </c>
      <c r="R877" s="17">
        <v>6.2053839999999996</v>
      </c>
      <c r="S877" s="17">
        <v>12.29485</v>
      </c>
      <c r="AP877" s="35"/>
      <c r="AQ877" s="35"/>
      <c r="AR877" s="35"/>
      <c r="AS877" s="35"/>
    </row>
    <row r="878" spans="2:48" x14ac:dyDescent="0.2">
      <c r="B878" s="2">
        <v>43480.79346064815</v>
      </c>
      <c r="C878" s="5">
        <f t="shared" si="91"/>
        <v>0.99999995999999991</v>
      </c>
      <c r="D878" s="14">
        <v>6.0487630000000001</v>
      </c>
      <c r="E878" s="14">
        <v>7.0879490000000001</v>
      </c>
      <c r="F878" s="14">
        <v>5.2869510000000002</v>
      </c>
      <c r="G878" s="14">
        <v>5.0093069999999997</v>
      </c>
      <c r="H878" s="15">
        <v>6.1276849999999996</v>
      </c>
      <c r="I878" s="15">
        <v>3.574897</v>
      </c>
      <c r="J878" s="15">
        <v>14.52304</v>
      </c>
      <c r="K878" s="15">
        <v>5.8929960000000001</v>
      </c>
      <c r="L878" s="16">
        <v>4.8785610000000004</v>
      </c>
      <c r="M878" s="16">
        <v>8.2998569999999994</v>
      </c>
      <c r="N878" s="16">
        <v>9.3242609999999999</v>
      </c>
      <c r="O878" s="16">
        <v>5.2552880000000002</v>
      </c>
      <c r="P878" s="17">
        <v>8.8380480000000006</v>
      </c>
      <c r="Q878" s="17">
        <v>9.7799010000000006</v>
      </c>
      <c r="R878" s="17">
        <v>6.2053839999999996</v>
      </c>
      <c r="S878" s="17">
        <v>12.30772</v>
      </c>
      <c r="V878" s="25">
        <v>1</v>
      </c>
      <c r="W878">
        <f>AVERAGE(D867:D878)</f>
        <v>6.0487630000000001</v>
      </c>
      <c r="X878">
        <f t="shared" ref="X878:AL878" si="95">AVERAGE(E867:E878)</f>
        <v>7.0879489999999992</v>
      </c>
      <c r="Y878">
        <f t="shared" si="95"/>
        <v>5.27357575</v>
      </c>
      <c r="Z878">
        <f t="shared" si="95"/>
        <v>5.0006523333333339</v>
      </c>
      <c r="AA878">
        <f t="shared" si="95"/>
        <v>6.1095886666666672</v>
      </c>
      <c r="AB878">
        <f t="shared" si="95"/>
        <v>3.574897</v>
      </c>
      <c r="AC878">
        <f t="shared" si="95"/>
        <v>14.523040000000002</v>
      </c>
      <c r="AD878">
        <f t="shared" si="95"/>
        <v>5.8929959999999992</v>
      </c>
      <c r="AE878">
        <f t="shared" si="95"/>
        <v>4.8785609999999995</v>
      </c>
      <c r="AF878">
        <f t="shared" si="95"/>
        <v>8.2372594166666673</v>
      </c>
      <c r="AG878">
        <f t="shared" si="95"/>
        <v>9.3038043333333338</v>
      </c>
      <c r="AH878">
        <f t="shared" si="95"/>
        <v>5.2552880000000002</v>
      </c>
      <c r="AI878">
        <f t="shared" si="95"/>
        <v>8.8380480000000006</v>
      </c>
      <c r="AJ878">
        <f t="shared" si="95"/>
        <v>9.7799009999999988</v>
      </c>
      <c r="AK878">
        <f t="shared" si="95"/>
        <v>6.2053839999999996</v>
      </c>
      <c r="AL878">
        <f t="shared" si="95"/>
        <v>12.236914166666665</v>
      </c>
      <c r="AO878" s="25">
        <v>1</v>
      </c>
      <c r="AP878" s="35">
        <f>AVERAGE(W878:Z878)</f>
        <v>5.8527350208333333</v>
      </c>
      <c r="AQ878" s="35">
        <f>AVERAGE(AA878:AD878)</f>
        <v>7.5251304166666673</v>
      </c>
      <c r="AR878" s="35">
        <f>AVERAGE(AE878:AH878)</f>
        <v>6.9187281875000002</v>
      </c>
      <c r="AS878" s="35">
        <f>AVERAGE(AI878:AL878)</f>
        <v>9.2650617916666658</v>
      </c>
    </row>
    <row r="879" spans="2:48" x14ac:dyDescent="0.2">
      <c r="B879" s="2">
        <v>43480.796932870369</v>
      </c>
      <c r="C879" s="5">
        <f t="shared" si="91"/>
        <v>1.0833332899999999</v>
      </c>
      <c r="D879" s="14">
        <v>6.0487630000000001</v>
      </c>
      <c r="E879" s="14">
        <v>7.0879490000000001</v>
      </c>
      <c r="F879" s="14">
        <v>5.2893829999999999</v>
      </c>
      <c r="G879" s="14">
        <v>5.0108800000000002</v>
      </c>
      <c r="H879" s="15">
        <v>6.1309750000000003</v>
      </c>
      <c r="I879" s="15">
        <v>3.574897</v>
      </c>
      <c r="J879" s="15">
        <v>14.52304</v>
      </c>
      <c r="K879" s="15">
        <v>5.8929960000000001</v>
      </c>
      <c r="L879" s="16">
        <v>4.8785610000000004</v>
      </c>
      <c r="M879" s="16">
        <v>8.2998569999999994</v>
      </c>
      <c r="N879" s="16">
        <v>9.3279800000000002</v>
      </c>
      <c r="O879" s="16">
        <v>5.2552880000000002</v>
      </c>
      <c r="P879" s="17">
        <v>8.8380480000000006</v>
      </c>
      <c r="Q879" s="17">
        <v>9.7799010000000006</v>
      </c>
      <c r="R879" s="17">
        <v>6.2053839999999996</v>
      </c>
      <c r="S879" s="17">
        <v>12.320600000000001</v>
      </c>
      <c r="AP879" s="35"/>
      <c r="AQ879" s="35"/>
      <c r="AR879" s="35"/>
      <c r="AS879" s="35"/>
    </row>
    <row r="880" spans="2:48" x14ac:dyDescent="0.2">
      <c r="B880" s="2">
        <v>43480.800405092596</v>
      </c>
      <c r="C880" s="5">
        <f t="shared" si="91"/>
        <v>1.16666662</v>
      </c>
      <c r="D880" s="14">
        <v>6.0487630000000001</v>
      </c>
      <c r="E880" s="14">
        <v>7.0879490000000001</v>
      </c>
      <c r="F880" s="14">
        <v>5.2918149999999997</v>
      </c>
      <c r="G880" s="14">
        <v>5.012454</v>
      </c>
      <c r="H880" s="15">
        <v>6.1342650000000001</v>
      </c>
      <c r="I880" s="15">
        <v>3.574897</v>
      </c>
      <c r="J880" s="15">
        <v>14.52304</v>
      </c>
      <c r="K880" s="15">
        <v>5.8929960000000001</v>
      </c>
      <c r="L880" s="16">
        <v>4.8785610000000004</v>
      </c>
      <c r="M880" s="16">
        <v>8.3090630000000001</v>
      </c>
      <c r="N880" s="16">
        <v>9.3316990000000004</v>
      </c>
      <c r="O880" s="16">
        <v>5.2552880000000002</v>
      </c>
      <c r="P880" s="17">
        <v>8.8380480000000006</v>
      </c>
      <c r="Q880" s="17">
        <v>9.7799010000000006</v>
      </c>
      <c r="R880" s="17">
        <v>6.2053839999999996</v>
      </c>
      <c r="S880" s="17">
        <v>12.33347</v>
      </c>
      <c r="AP880" s="35"/>
      <c r="AQ880" s="35"/>
      <c r="AR880" s="35"/>
      <c r="AS880" s="35"/>
    </row>
    <row r="881" spans="2:45" x14ac:dyDescent="0.2">
      <c r="B881" s="2">
        <v>43480.803877314815</v>
      </c>
      <c r="C881" s="5">
        <f t="shared" si="91"/>
        <v>1.2499999500000001</v>
      </c>
      <c r="D881" s="14">
        <v>6.0487630000000001</v>
      </c>
      <c r="E881" s="14">
        <v>7.0879490000000001</v>
      </c>
      <c r="F881" s="14">
        <v>5.2942470000000004</v>
      </c>
      <c r="G881" s="14">
        <v>5.0140279999999997</v>
      </c>
      <c r="H881" s="15">
        <v>6.1375549999999999</v>
      </c>
      <c r="I881" s="15">
        <v>3.574897</v>
      </c>
      <c r="J881" s="15">
        <v>14.52304</v>
      </c>
      <c r="K881" s="15">
        <v>5.8929960000000001</v>
      </c>
      <c r="L881" s="16">
        <v>4.8785610000000004</v>
      </c>
      <c r="M881" s="16">
        <v>8.3185040000000008</v>
      </c>
      <c r="N881" s="16">
        <v>9.3354189999999999</v>
      </c>
      <c r="O881" s="16">
        <v>5.2552880000000002</v>
      </c>
      <c r="P881" s="17">
        <v>8.8380480000000006</v>
      </c>
      <c r="Q881" s="17">
        <v>9.7799010000000006</v>
      </c>
      <c r="R881" s="17">
        <v>6.2053839999999996</v>
      </c>
      <c r="S881" s="17">
        <v>12.346349999999999</v>
      </c>
      <c r="AP881" s="35"/>
      <c r="AQ881" s="35"/>
      <c r="AR881" s="35"/>
      <c r="AS881" s="35"/>
    </row>
    <row r="882" spans="2:45" x14ac:dyDescent="0.2">
      <c r="B882" s="2">
        <v>43480.807349537034</v>
      </c>
      <c r="C882" s="5">
        <f t="shared" si="91"/>
        <v>1.3333332800000002</v>
      </c>
      <c r="D882" s="14">
        <v>6.0487630000000001</v>
      </c>
      <c r="E882" s="14">
        <v>7.0879490000000001</v>
      </c>
      <c r="F882" s="14">
        <v>5.2966790000000001</v>
      </c>
      <c r="G882" s="14">
        <v>5.0156010000000002</v>
      </c>
      <c r="H882" s="15">
        <v>6.1408449999999997</v>
      </c>
      <c r="I882" s="15">
        <v>3.574897</v>
      </c>
      <c r="J882" s="15">
        <v>14.52304</v>
      </c>
      <c r="K882" s="15">
        <v>5.8929960000000001</v>
      </c>
      <c r="L882" s="16">
        <v>4.8785610000000004</v>
      </c>
      <c r="M882" s="16">
        <v>8.3279460000000007</v>
      </c>
      <c r="N882" s="16">
        <v>9.3391380000000002</v>
      </c>
      <c r="O882" s="16">
        <v>5.2552880000000002</v>
      </c>
      <c r="P882" s="17">
        <v>8.8380480000000006</v>
      </c>
      <c r="Q882" s="17">
        <v>9.7799010000000006</v>
      </c>
      <c r="R882" s="17">
        <v>6.2053839999999996</v>
      </c>
      <c r="S882" s="17">
        <v>12.359220000000001</v>
      </c>
      <c r="AP882" s="35"/>
      <c r="AQ882" s="35"/>
      <c r="AR882" s="35"/>
      <c r="AS882" s="35"/>
    </row>
    <row r="883" spans="2:45" x14ac:dyDescent="0.2">
      <c r="B883" s="2">
        <v>43480.81082175926</v>
      </c>
      <c r="C883" s="5">
        <f t="shared" si="91"/>
        <v>1.4166666100000003</v>
      </c>
      <c r="D883" s="14">
        <v>6.0487630000000001</v>
      </c>
      <c r="E883" s="14">
        <v>7.0879490000000001</v>
      </c>
      <c r="F883" s="14">
        <v>5.2991099999999998</v>
      </c>
      <c r="G883" s="14">
        <v>5.0171749999999999</v>
      </c>
      <c r="H883" s="15">
        <v>6.1441350000000003</v>
      </c>
      <c r="I883" s="15">
        <v>3.574897</v>
      </c>
      <c r="J883" s="15">
        <v>14.52304</v>
      </c>
      <c r="K883" s="15">
        <v>5.8929960000000001</v>
      </c>
      <c r="L883" s="16">
        <v>4.8785610000000004</v>
      </c>
      <c r="M883" s="16">
        <v>8.3373869999999997</v>
      </c>
      <c r="N883" s="16">
        <v>9.3428570000000004</v>
      </c>
      <c r="O883" s="16">
        <v>5.2552880000000002</v>
      </c>
      <c r="P883" s="17">
        <v>8.8380480000000006</v>
      </c>
      <c r="Q883" s="17">
        <v>9.7799010000000006</v>
      </c>
      <c r="R883" s="17">
        <v>6.2053839999999996</v>
      </c>
      <c r="S883" s="17">
        <v>12.3721</v>
      </c>
      <c r="AP883" s="35"/>
      <c r="AQ883" s="35"/>
      <c r="AR883" s="35"/>
      <c r="AS883" s="35"/>
    </row>
    <row r="884" spans="2:45" x14ac:dyDescent="0.2">
      <c r="B884" s="2">
        <v>43480.814293981479</v>
      </c>
      <c r="C884" s="5">
        <f t="shared" si="91"/>
        <v>1.4999999400000004</v>
      </c>
      <c r="D884" s="14">
        <v>6.0487630000000001</v>
      </c>
      <c r="E884" s="14">
        <v>7.0879490000000001</v>
      </c>
      <c r="F884" s="14">
        <v>5.3015420000000004</v>
      </c>
      <c r="G884" s="14">
        <v>5.0187480000000004</v>
      </c>
      <c r="H884" s="15">
        <v>6.1474260000000003</v>
      </c>
      <c r="I884" s="15">
        <v>3.574897</v>
      </c>
      <c r="J884" s="15">
        <v>14.52304</v>
      </c>
      <c r="K884" s="15">
        <v>5.8929960000000001</v>
      </c>
      <c r="L884" s="16">
        <v>4.8785610000000004</v>
      </c>
      <c r="M884" s="16">
        <v>8.3468280000000004</v>
      </c>
      <c r="N884" s="16">
        <v>9.3465769999999999</v>
      </c>
      <c r="O884" s="16">
        <v>5.2552880000000002</v>
      </c>
      <c r="P884" s="17">
        <v>8.8380480000000006</v>
      </c>
      <c r="Q884" s="17">
        <v>9.7799010000000006</v>
      </c>
      <c r="R884" s="17">
        <v>6.2053839999999996</v>
      </c>
      <c r="S884" s="17">
        <v>12.384969999999999</v>
      </c>
      <c r="AP884" s="35"/>
      <c r="AQ884" s="35"/>
      <c r="AR884" s="35"/>
      <c r="AS884" s="35"/>
    </row>
    <row r="885" spans="2:45" x14ac:dyDescent="0.2">
      <c r="B885" s="2">
        <v>43480.817766203705</v>
      </c>
      <c r="C885" s="5">
        <f t="shared" si="91"/>
        <v>1.5833332700000005</v>
      </c>
      <c r="D885" s="14">
        <v>6.0487630000000001</v>
      </c>
      <c r="E885" s="14">
        <v>7.0879490000000001</v>
      </c>
      <c r="F885" s="14">
        <v>5.3039740000000002</v>
      </c>
      <c r="G885" s="14">
        <v>5.0203220000000002</v>
      </c>
      <c r="H885" s="15">
        <v>6.1507160000000001</v>
      </c>
      <c r="I885" s="15">
        <v>3.574897</v>
      </c>
      <c r="J885" s="15">
        <v>14.52304</v>
      </c>
      <c r="K885" s="15">
        <v>5.8929960000000001</v>
      </c>
      <c r="L885" s="16">
        <v>4.8785610000000004</v>
      </c>
      <c r="M885" s="16">
        <v>8.3562700000000003</v>
      </c>
      <c r="N885" s="16">
        <v>9.3502960000000002</v>
      </c>
      <c r="O885" s="16">
        <v>5.2552880000000002</v>
      </c>
      <c r="P885" s="17">
        <v>8.8380480000000006</v>
      </c>
      <c r="Q885" s="17">
        <v>9.7799010000000006</v>
      </c>
      <c r="R885" s="17">
        <v>6.2053839999999996</v>
      </c>
      <c r="S885" s="17">
        <v>12.39785</v>
      </c>
      <c r="AP885" s="35"/>
      <c r="AQ885" s="35"/>
      <c r="AR885" s="35"/>
      <c r="AS885" s="35"/>
    </row>
    <row r="886" spans="2:45" x14ac:dyDescent="0.2">
      <c r="B886" s="2">
        <v>43480.821238425924</v>
      </c>
      <c r="C886" s="5">
        <f t="shared" si="91"/>
        <v>1.6666666000000006</v>
      </c>
      <c r="D886" s="14">
        <v>6.0487630000000001</v>
      </c>
      <c r="E886" s="14">
        <v>7.0879490000000001</v>
      </c>
      <c r="F886" s="14">
        <v>5.306406</v>
      </c>
      <c r="G886" s="14">
        <v>5.0218949999999998</v>
      </c>
      <c r="H886" s="15">
        <v>6.1540059999999999</v>
      </c>
      <c r="I886" s="15">
        <v>3.574897</v>
      </c>
      <c r="J886" s="15">
        <v>14.52304</v>
      </c>
      <c r="K886" s="15">
        <v>5.8929960000000001</v>
      </c>
      <c r="L886" s="16">
        <v>4.8785610000000004</v>
      </c>
      <c r="M886" s="16">
        <v>8.3657109999999992</v>
      </c>
      <c r="N886" s="16">
        <v>9.3540150000000004</v>
      </c>
      <c r="O886" s="16">
        <v>5.2552880000000002</v>
      </c>
      <c r="P886" s="17">
        <v>8.8380480000000006</v>
      </c>
      <c r="Q886" s="17">
        <v>9.7799010000000006</v>
      </c>
      <c r="R886" s="17">
        <v>6.2053839999999996</v>
      </c>
      <c r="S886" s="17">
        <v>12.41072</v>
      </c>
      <c r="AP886" s="35"/>
      <c r="AQ886" s="35"/>
      <c r="AR886" s="35"/>
      <c r="AS886" s="35"/>
    </row>
    <row r="887" spans="2:45" x14ac:dyDescent="0.2">
      <c r="B887" s="2">
        <v>43480.82471064815</v>
      </c>
      <c r="C887" s="5">
        <f t="shared" si="91"/>
        <v>1.7499999300000006</v>
      </c>
      <c r="D887" s="14">
        <v>6.0487630000000001</v>
      </c>
      <c r="E887" s="14">
        <v>7.0879490000000001</v>
      </c>
      <c r="F887" s="14">
        <v>5.3088379999999997</v>
      </c>
      <c r="G887" s="14">
        <v>5.0234690000000004</v>
      </c>
      <c r="H887" s="15">
        <v>6.1572959999999997</v>
      </c>
      <c r="I887" s="15">
        <v>3.574897</v>
      </c>
      <c r="J887" s="15">
        <v>14.52304</v>
      </c>
      <c r="K887" s="15">
        <v>5.8929960000000001</v>
      </c>
      <c r="L887" s="16">
        <v>4.8785610000000004</v>
      </c>
      <c r="M887" s="16">
        <v>8.3751529999999992</v>
      </c>
      <c r="N887" s="16">
        <v>9.3577349999999999</v>
      </c>
      <c r="O887" s="16">
        <v>5.2552880000000002</v>
      </c>
      <c r="P887" s="17">
        <v>8.8380480000000006</v>
      </c>
      <c r="Q887" s="17">
        <v>9.7799010000000006</v>
      </c>
      <c r="R887" s="17">
        <v>6.2053839999999996</v>
      </c>
      <c r="S887" s="17">
        <v>12.4236</v>
      </c>
      <c r="AP887" s="35"/>
      <c r="AQ887" s="35"/>
      <c r="AR887" s="35"/>
      <c r="AS887" s="35"/>
    </row>
    <row r="888" spans="2:45" x14ac:dyDescent="0.2">
      <c r="B888" s="2">
        <v>43480.828182870369</v>
      </c>
      <c r="C888" s="5">
        <f t="shared" si="91"/>
        <v>1.8333332600000007</v>
      </c>
      <c r="D888" s="14">
        <v>6.0487630000000001</v>
      </c>
      <c r="E888" s="14">
        <v>7.0879490000000001</v>
      </c>
      <c r="F888" s="14">
        <v>5.3112700000000004</v>
      </c>
      <c r="G888" s="14">
        <v>5.0250430000000001</v>
      </c>
      <c r="H888" s="15">
        <v>6.1605860000000003</v>
      </c>
      <c r="I888" s="15">
        <v>3.574897</v>
      </c>
      <c r="J888" s="15">
        <v>14.52304</v>
      </c>
      <c r="K888" s="15">
        <v>5.8929960000000001</v>
      </c>
      <c r="L888" s="16">
        <v>4.8785610000000004</v>
      </c>
      <c r="M888" s="16">
        <v>8.3845939999999999</v>
      </c>
      <c r="N888" s="16">
        <v>9.3614540000000002</v>
      </c>
      <c r="O888" s="16">
        <v>5.2552880000000002</v>
      </c>
      <c r="P888" s="17">
        <v>8.8380480000000006</v>
      </c>
      <c r="Q888" s="17">
        <v>9.7799010000000006</v>
      </c>
      <c r="R888" s="17">
        <v>6.2053839999999996</v>
      </c>
      <c r="S888" s="17">
        <v>12.43647</v>
      </c>
      <c r="AP888" s="35"/>
      <c r="AQ888" s="35"/>
      <c r="AR888" s="35"/>
      <c r="AS888" s="35"/>
    </row>
    <row r="889" spans="2:45" x14ac:dyDescent="0.2">
      <c r="B889" s="2">
        <v>43480.831655092596</v>
      </c>
      <c r="C889" s="5">
        <f t="shared" si="91"/>
        <v>1.9166665900000008</v>
      </c>
      <c r="D889" s="14">
        <v>6.050179</v>
      </c>
      <c r="E889" s="14">
        <v>7.0879490000000001</v>
      </c>
      <c r="F889" s="14">
        <v>5.3137020000000001</v>
      </c>
      <c r="G889" s="14">
        <v>5.0266159999999998</v>
      </c>
      <c r="H889" s="15">
        <v>6.1638770000000003</v>
      </c>
      <c r="I889" s="15">
        <v>3.574897</v>
      </c>
      <c r="J889" s="15">
        <v>14.52304</v>
      </c>
      <c r="K889" s="15">
        <v>5.8929960000000001</v>
      </c>
      <c r="L889" s="16">
        <v>4.8785610000000004</v>
      </c>
      <c r="M889" s="16">
        <v>8.3940350000000006</v>
      </c>
      <c r="N889" s="16">
        <v>9.3651730000000004</v>
      </c>
      <c r="O889" s="16">
        <v>5.2552880000000002</v>
      </c>
      <c r="P889" s="17">
        <v>8.8380480000000006</v>
      </c>
      <c r="Q889" s="17">
        <v>9.7799010000000006</v>
      </c>
      <c r="R889" s="17">
        <v>6.2053839999999996</v>
      </c>
      <c r="S889" s="17">
        <v>12.449350000000001</v>
      </c>
      <c r="AP889" s="35"/>
      <c r="AQ889" s="35"/>
      <c r="AR889" s="35"/>
      <c r="AS889" s="35"/>
    </row>
    <row r="890" spans="2:45" x14ac:dyDescent="0.2">
      <c r="B890" s="2">
        <v>43480.835127314815</v>
      </c>
      <c r="C890" s="5">
        <f t="shared" si="91"/>
        <v>1.9999999200000009</v>
      </c>
      <c r="D890" s="14">
        <v>6.0518749999999999</v>
      </c>
      <c r="E890" s="14">
        <v>7.0879490000000001</v>
      </c>
      <c r="F890" s="14">
        <v>5.3161329999999998</v>
      </c>
      <c r="G890" s="14">
        <v>5.0281900000000004</v>
      </c>
      <c r="H890" s="15">
        <v>6.1671670000000001</v>
      </c>
      <c r="I890" s="15">
        <v>3.574897</v>
      </c>
      <c r="J890" s="15">
        <v>14.52304</v>
      </c>
      <c r="K890" s="15">
        <v>5.8929960000000001</v>
      </c>
      <c r="L890" s="16">
        <v>4.8785610000000004</v>
      </c>
      <c r="M890" s="16">
        <v>8.4034770000000005</v>
      </c>
      <c r="N890" s="16">
        <v>9.3688929999999999</v>
      </c>
      <c r="O890" s="16">
        <v>5.2552880000000002</v>
      </c>
      <c r="P890" s="17">
        <v>8.8380480000000006</v>
      </c>
      <c r="Q890" s="17">
        <v>9.7799010000000006</v>
      </c>
      <c r="R890" s="17">
        <v>6.2053839999999996</v>
      </c>
      <c r="S890" s="17">
        <v>12.46222</v>
      </c>
      <c r="V890" s="25">
        <v>2</v>
      </c>
      <c r="W890">
        <f>AVERAGE(D879:D890)</f>
        <v>6.0491403333333338</v>
      </c>
      <c r="X890">
        <f t="shared" ref="X890:AL890" si="96">AVERAGE(E879:E890)</f>
        <v>7.0879489999999992</v>
      </c>
      <c r="Y890">
        <f t="shared" si="96"/>
        <v>5.302758250000001</v>
      </c>
      <c r="Z890">
        <f t="shared" si="96"/>
        <v>5.0195350833333334</v>
      </c>
      <c r="AA890">
        <f t="shared" si="96"/>
        <v>6.1490707500000026</v>
      </c>
      <c r="AB890">
        <f t="shared" si="96"/>
        <v>3.574897</v>
      </c>
      <c r="AC890">
        <f t="shared" si="96"/>
        <v>14.523040000000002</v>
      </c>
      <c r="AD890">
        <f t="shared" si="96"/>
        <v>5.8929959999999992</v>
      </c>
      <c r="AE890">
        <f t="shared" si="96"/>
        <v>4.8785609999999995</v>
      </c>
      <c r="AF890">
        <f t="shared" si="96"/>
        <v>8.3515687500000002</v>
      </c>
      <c r="AG890">
        <f t="shared" si="96"/>
        <v>9.3484363333333338</v>
      </c>
      <c r="AH890">
        <f t="shared" si="96"/>
        <v>5.2552880000000002</v>
      </c>
      <c r="AI890">
        <f t="shared" si="96"/>
        <v>8.8380480000000006</v>
      </c>
      <c r="AJ890">
        <f t="shared" si="96"/>
        <v>9.7799009999999988</v>
      </c>
      <c r="AK890">
        <f t="shared" si="96"/>
        <v>6.2053839999999996</v>
      </c>
      <c r="AL890">
        <f t="shared" si="96"/>
        <v>12.39141</v>
      </c>
      <c r="AO890" s="25">
        <v>2</v>
      </c>
      <c r="AP890" s="35">
        <f>AVERAGE(W890:Z890)</f>
        <v>5.8648456666666666</v>
      </c>
      <c r="AQ890" s="35">
        <f>AVERAGE(AA890:AD890)</f>
        <v>7.5350009375000013</v>
      </c>
      <c r="AR890" s="35">
        <f>AVERAGE(AE890:AH890)</f>
        <v>6.9584635208333339</v>
      </c>
      <c r="AS890" s="35">
        <f>AVERAGE(AI890:AL890)</f>
        <v>9.3036857499999996</v>
      </c>
    </row>
    <row r="891" spans="2:45" x14ac:dyDescent="0.2">
      <c r="B891" s="2">
        <v>43480.838599537034</v>
      </c>
      <c r="C891" s="5">
        <f t="shared" si="91"/>
        <v>2.0833332500000008</v>
      </c>
      <c r="D891" s="14">
        <v>6.0518749999999999</v>
      </c>
      <c r="E891" s="14">
        <v>7.0879490000000001</v>
      </c>
      <c r="F891" s="14">
        <v>5.3185650000000004</v>
      </c>
      <c r="G891" s="14">
        <v>5.029763</v>
      </c>
      <c r="H891" s="15">
        <v>6.1704569999999999</v>
      </c>
      <c r="I891" s="15">
        <v>3.574897</v>
      </c>
      <c r="J891" s="15">
        <v>14.52304</v>
      </c>
      <c r="K891" s="15">
        <v>5.8929960000000001</v>
      </c>
      <c r="L891" s="16">
        <v>4.8785610000000004</v>
      </c>
      <c r="M891" s="16">
        <v>8.4129179999999995</v>
      </c>
      <c r="N891" s="16">
        <v>9.3726120000000002</v>
      </c>
      <c r="O891" s="16">
        <v>5.2552880000000002</v>
      </c>
      <c r="P891" s="17">
        <v>8.8380480000000006</v>
      </c>
      <c r="Q891" s="17">
        <v>9.7799010000000006</v>
      </c>
      <c r="R891" s="17">
        <v>6.2053839999999996</v>
      </c>
      <c r="S891" s="17">
        <v>12.47509</v>
      </c>
      <c r="AP891" s="35"/>
      <c r="AQ891" s="35"/>
      <c r="AR891" s="35"/>
      <c r="AS891" s="35"/>
    </row>
    <row r="892" spans="2:45" x14ac:dyDescent="0.2">
      <c r="B892" s="2">
        <v>43480.84207175926</v>
      </c>
      <c r="C892" s="5">
        <f t="shared" si="91"/>
        <v>2.1666665800000007</v>
      </c>
      <c r="D892" s="14">
        <v>6.0518749999999999</v>
      </c>
      <c r="E892" s="14">
        <v>7.0879490000000001</v>
      </c>
      <c r="F892" s="14">
        <v>5.3209970000000002</v>
      </c>
      <c r="G892" s="14">
        <v>5.0313369999999997</v>
      </c>
      <c r="H892" s="15">
        <v>6.1737469999999997</v>
      </c>
      <c r="I892" s="15">
        <v>3.574897</v>
      </c>
      <c r="J892" s="15">
        <v>14.52304</v>
      </c>
      <c r="K892" s="15">
        <v>5.8929960000000001</v>
      </c>
      <c r="L892" s="16">
        <v>4.8785610000000004</v>
      </c>
      <c r="M892" s="16">
        <v>8.4223590000000002</v>
      </c>
      <c r="N892" s="16">
        <v>9.3763310000000004</v>
      </c>
      <c r="O892" s="16">
        <v>5.2552880000000002</v>
      </c>
      <c r="P892" s="17">
        <v>8.8380480000000006</v>
      </c>
      <c r="Q892" s="17">
        <v>9.7799010000000006</v>
      </c>
      <c r="R892" s="17">
        <v>6.2053839999999996</v>
      </c>
      <c r="S892" s="17">
        <v>12.487970000000001</v>
      </c>
      <c r="AP892" s="35"/>
      <c r="AQ892" s="35"/>
      <c r="AR892" s="35"/>
      <c r="AS892" s="35"/>
    </row>
    <row r="893" spans="2:45" x14ac:dyDescent="0.2">
      <c r="B893" s="2">
        <v>43480.845543981479</v>
      </c>
      <c r="C893" s="5">
        <f t="shared" si="91"/>
        <v>2.2499999100000005</v>
      </c>
      <c r="D893" s="14">
        <v>6.0518749999999999</v>
      </c>
      <c r="E893" s="14">
        <v>7.0879490000000001</v>
      </c>
      <c r="F893" s="14">
        <v>5.323429</v>
      </c>
      <c r="G893" s="14">
        <v>5.0329100000000002</v>
      </c>
      <c r="H893" s="15">
        <v>6.1770370000000003</v>
      </c>
      <c r="I893" s="15">
        <v>3.574897</v>
      </c>
      <c r="J893" s="15">
        <v>14.52304</v>
      </c>
      <c r="K893" s="15">
        <v>5.8929960000000001</v>
      </c>
      <c r="L893" s="16">
        <v>4.8785610000000004</v>
      </c>
      <c r="M893" s="16">
        <v>8.4318010000000001</v>
      </c>
      <c r="N893" s="16">
        <v>9.3800509999999999</v>
      </c>
      <c r="O893" s="16">
        <v>5.2552880000000002</v>
      </c>
      <c r="P893" s="17">
        <v>8.8380480000000006</v>
      </c>
      <c r="Q893" s="17">
        <v>9.7799010000000006</v>
      </c>
      <c r="R893" s="17">
        <v>6.2053839999999996</v>
      </c>
      <c r="S893" s="17">
        <v>12.50084</v>
      </c>
      <c r="AP893" s="35"/>
      <c r="AQ893" s="35"/>
      <c r="AR893" s="35"/>
      <c r="AS893" s="35"/>
    </row>
    <row r="894" spans="2:45" x14ac:dyDescent="0.2">
      <c r="B894" s="2">
        <v>43480.849016203705</v>
      </c>
      <c r="C894" s="5">
        <f t="shared" si="91"/>
        <v>2.3333332400000004</v>
      </c>
      <c r="D894" s="14">
        <v>6.0518749999999999</v>
      </c>
      <c r="E894" s="14">
        <v>7.0879490000000001</v>
      </c>
      <c r="F894" s="14">
        <v>5.3258609999999997</v>
      </c>
      <c r="G894" s="14">
        <v>5.034484</v>
      </c>
      <c r="H894" s="15">
        <v>6.1803270000000001</v>
      </c>
      <c r="I894" s="15">
        <v>3.574897</v>
      </c>
      <c r="J894" s="15">
        <v>14.52304</v>
      </c>
      <c r="K894" s="15">
        <v>5.8929960000000001</v>
      </c>
      <c r="L894" s="16">
        <v>4.8785610000000004</v>
      </c>
      <c r="M894" s="16">
        <v>8.4412420000000008</v>
      </c>
      <c r="N894" s="16">
        <v>9.3837700000000002</v>
      </c>
      <c r="O894" s="16">
        <v>5.2552880000000002</v>
      </c>
      <c r="P894" s="17">
        <v>8.8380480000000006</v>
      </c>
      <c r="Q894" s="17">
        <v>9.7799010000000006</v>
      </c>
      <c r="R894" s="17">
        <v>6.2053839999999996</v>
      </c>
      <c r="S894" s="17">
        <v>12.513719999999999</v>
      </c>
      <c r="AP894" s="35"/>
      <c r="AQ894" s="35"/>
      <c r="AR894" s="35"/>
      <c r="AS894" s="35"/>
    </row>
    <row r="895" spans="2:45" x14ac:dyDescent="0.2">
      <c r="B895" s="2">
        <v>43480.852488425924</v>
      </c>
      <c r="C895" s="5">
        <f t="shared" si="91"/>
        <v>2.4166665700000003</v>
      </c>
      <c r="D895" s="14">
        <v>6.0518749999999999</v>
      </c>
      <c r="E895" s="14">
        <v>7.0879490000000001</v>
      </c>
      <c r="F895" s="14">
        <v>5.3282930000000004</v>
      </c>
      <c r="G895" s="14">
        <v>5.0360569999999996</v>
      </c>
      <c r="H895" s="15">
        <v>6.1837669999999996</v>
      </c>
      <c r="I895" s="15">
        <v>3.574897</v>
      </c>
      <c r="J895" s="15">
        <v>14.52304</v>
      </c>
      <c r="K895" s="15">
        <v>5.8929960000000001</v>
      </c>
      <c r="L895" s="16">
        <v>4.8785610000000004</v>
      </c>
      <c r="M895" s="16">
        <v>8.4506840000000008</v>
      </c>
      <c r="N895" s="16">
        <v>9.3874890000000004</v>
      </c>
      <c r="O895" s="16">
        <v>5.2552880000000002</v>
      </c>
      <c r="P895" s="17">
        <v>8.8380480000000006</v>
      </c>
      <c r="Q895" s="17">
        <v>9.7799010000000006</v>
      </c>
      <c r="R895" s="17">
        <v>6.2053839999999996</v>
      </c>
      <c r="S895" s="17">
        <v>12.526590000000001</v>
      </c>
      <c r="AP895" s="35"/>
      <c r="AQ895" s="35"/>
      <c r="AR895" s="35"/>
      <c r="AS895" s="35"/>
    </row>
    <row r="896" spans="2:45" x14ac:dyDescent="0.2">
      <c r="B896" s="2">
        <v>43480.85596064815</v>
      </c>
      <c r="C896" s="5">
        <f t="shared" si="91"/>
        <v>2.4999999000000002</v>
      </c>
      <c r="D896" s="14">
        <v>6.0518749999999999</v>
      </c>
      <c r="E896" s="14">
        <v>7.0879490000000001</v>
      </c>
      <c r="F896" s="14">
        <v>5.3307250000000002</v>
      </c>
      <c r="G896" s="14">
        <v>5.0376310000000002</v>
      </c>
      <c r="H896" s="15">
        <v>6.1837980000000003</v>
      </c>
      <c r="I896" s="15">
        <v>3.574897</v>
      </c>
      <c r="J896" s="15">
        <v>14.52304</v>
      </c>
      <c r="K896" s="15">
        <v>5.8929960000000001</v>
      </c>
      <c r="L896" s="16">
        <v>4.8785610000000004</v>
      </c>
      <c r="M896" s="16">
        <v>8.4601249999999997</v>
      </c>
      <c r="N896" s="16">
        <v>9.3912089999999999</v>
      </c>
      <c r="O896" s="16">
        <v>5.2552880000000002</v>
      </c>
      <c r="P896" s="17">
        <v>8.8380480000000006</v>
      </c>
      <c r="Q896" s="17">
        <v>9.7799010000000006</v>
      </c>
      <c r="R896" s="17">
        <v>6.2053839999999996</v>
      </c>
      <c r="S896" s="17">
        <v>12.53947</v>
      </c>
      <c r="AP896" s="35"/>
      <c r="AQ896" s="35"/>
      <c r="AR896" s="35"/>
      <c r="AS896" s="35"/>
    </row>
    <row r="897" spans="2:45" x14ac:dyDescent="0.2">
      <c r="B897" s="2">
        <v>43480.859432870369</v>
      </c>
      <c r="C897" s="5">
        <f t="shared" si="91"/>
        <v>2.58333323</v>
      </c>
      <c r="D897" s="14">
        <v>6.0518749999999999</v>
      </c>
      <c r="E897" s="14">
        <v>7.0879490000000001</v>
      </c>
      <c r="F897" s="14">
        <v>5.3331569999999999</v>
      </c>
      <c r="G897" s="14">
        <v>5.0392049999999999</v>
      </c>
      <c r="H897" s="15">
        <v>6.1837980000000003</v>
      </c>
      <c r="I897" s="15">
        <v>3.574897</v>
      </c>
      <c r="J897" s="15">
        <v>14.52304</v>
      </c>
      <c r="K897" s="15">
        <v>5.8929960000000001</v>
      </c>
      <c r="L897" s="16">
        <v>4.8785610000000004</v>
      </c>
      <c r="M897" s="16">
        <v>8.4695660000000004</v>
      </c>
      <c r="N897" s="16">
        <v>9.3949280000000002</v>
      </c>
      <c r="O897" s="16">
        <v>5.2552880000000002</v>
      </c>
      <c r="P897" s="17">
        <v>8.8380480000000006</v>
      </c>
      <c r="Q897" s="17">
        <v>9.7799010000000006</v>
      </c>
      <c r="R897" s="17">
        <v>6.2053839999999996</v>
      </c>
      <c r="S897" s="17">
        <v>12.552339999999999</v>
      </c>
      <c r="AP897" s="35"/>
      <c r="AQ897" s="35"/>
      <c r="AR897" s="35"/>
      <c r="AS897" s="35"/>
    </row>
    <row r="898" spans="2:45" x14ac:dyDescent="0.2">
      <c r="B898" s="2">
        <v>43480.862905092596</v>
      </c>
      <c r="C898" s="5">
        <f t="shared" si="91"/>
        <v>2.6666665599999999</v>
      </c>
      <c r="D898" s="14">
        <v>6.0518749999999999</v>
      </c>
      <c r="E898" s="14">
        <v>7.0879490000000001</v>
      </c>
      <c r="F898" s="14">
        <v>5.3355880000000004</v>
      </c>
      <c r="G898" s="14">
        <v>5.0407780000000004</v>
      </c>
      <c r="H898" s="15">
        <v>6.1837980000000003</v>
      </c>
      <c r="I898" s="15">
        <v>3.574897</v>
      </c>
      <c r="J898" s="15">
        <v>14.52304</v>
      </c>
      <c r="K898" s="15">
        <v>5.8929960000000001</v>
      </c>
      <c r="L898" s="16">
        <v>4.8785610000000004</v>
      </c>
      <c r="M898" s="16">
        <v>8.4790080000000003</v>
      </c>
      <c r="N898" s="16">
        <v>9.3986470000000004</v>
      </c>
      <c r="O898" s="16">
        <v>5.2552880000000002</v>
      </c>
      <c r="P898" s="17">
        <v>8.8380480000000006</v>
      </c>
      <c r="Q898" s="17">
        <v>9.7799010000000006</v>
      </c>
      <c r="R898" s="17">
        <v>6.2053839999999996</v>
      </c>
      <c r="S898" s="17">
        <v>12.56522</v>
      </c>
      <c r="AP898" s="35"/>
      <c r="AQ898" s="35"/>
      <c r="AR898" s="35"/>
      <c r="AS898" s="35"/>
    </row>
    <row r="899" spans="2:45" x14ac:dyDescent="0.2">
      <c r="B899" s="2">
        <v>43480.866377314815</v>
      </c>
      <c r="C899" s="5">
        <f t="shared" si="91"/>
        <v>2.7499998899999998</v>
      </c>
      <c r="D899" s="14">
        <v>6.0518749999999999</v>
      </c>
      <c r="E899" s="14">
        <v>7.0879490000000001</v>
      </c>
      <c r="F899" s="14">
        <v>5.3363550000000002</v>
      </c>
      <c r="G899" s="14">
        <v>5.0423520000000002</v>
      </c>
      <c r="H899" s="15">
        <v>6.1837980000000003</v>
      </c>
      <c r="I899" s="15">
        <v>3.574897</v>
      </c>
      <c r="J899" s="15">
        <v>14.52304</v>
      </c>
      <c r="K899" s="15">
        <v>5.8929960000000001</v>
      </c>
      <c r="L899" s="16">
        <v>4.8785610000000004</v>
      </c>
      <c r="M899" s="16">
        <v>8.4884489999999992</v>
      </c>
      <c r="N899" s="16">
        <v>9.4023669999999999</v>
      </c>
      <c r="O899" s="16">
        <v>5.2552880000000002</v>
      </c>
      <c r="P899" s="17">
        <v>8.8380480000000006</v>
      </c>
      <c r="Q899" s="17">
        <v>9.7799010000000006</v>
      </c>
      <c r="R899" s="17">
        <v>6.2053839999999996</v>
      </c>
      <c r="S899" s="17">
        <v>12.57809</v>
      </c>
      <c r="AP899" s="35"/>
      <c r="AQ899" s="35"/>
      <c r="AR899" s="35"/>
      <c r="AS899" s="35"/>
    </row>
    <row r="900" spans="2:45" x14ac:dyDescent="0.2">
      <c r="B900" s="2">
        <v>43480.869849537034</v>
      </c>
      <c r="C900" s="5">
        <f t="shared" ref="C900:C963" si="97">C899+0.08333333</f>
        <v>2.8333332199999997</v>
      </c>
      <c r="D900" s="14">
        <v>6.0518749999999999</v>
      </c>
      <c r="E900" s="14">
        <v>7.0879490000000001</v>
      </c>
      <c r="F900" s="14">
        <v>5.3363550000000002</v>
      </c>
      <c r="G900" s="14">
        <v>5.0427210000000002</v>
      </c>
      <c r="H900" s="15">
        <v>6.1837980000000003</v>
      </c>
      <c r="I900" s="15">
        <v>3.574897</v>
      </c>
      <c r="J900" s="15">
        <v>14.52304</v>
      </c>
      <c r="K900" s="15">
        <v>5.8929960000000001</v>
      </c>
      <c r="L900" s="16">
        <v>4.8785610000000004</v>
      </c>
      <c r="M900" s="16">
        <v>8.4978899999999999</v>
      </c>
      <c r="N900" s="16">
        <v>9.4060860000000002</v>
      </c>
      <c r="O900" s="16">
        <v>5.2552880000000002</v>
      </c>
      <c r="P900" s="17">
        <v>8.8380480000000006</v>
      </c>
      <c r="Q900" s="17">
        <v>9.7799010000000006</v>
      </c>
      <c r="R900" s="17">
        <v>6.2053839999999996</v>
      </c>
      <c r="S900" s="17">
        <v>12.59097</v>
      </c>
      <c r="AP900" s="35"/>
      <c r="AQ900" s="35"/>
      <c r="AR900" s="35"/>
      <c r="AS900" s="35"/>
    </row>
    <row r="901" spans="2:45" x14ac:dyDescent="0.2">
      <c r="B901" s="2">
        <v>43480.87332175926</v>
      </c>
      <c r="C901" s="5">
        <f t="shared" si="97"/>
        <v>2.9166665499999995</v>
      </c>
      <c r="D901" s="14">
        <v>6.0518749999999999</v>
      </c>
      <c r="E901" s="14">
        <v>7.0879490000000001</v>
      </c>
      <c r="F901" s="14">
        <v>5.3363550000000002</v>
      </c>
      <c r="G901" s="14">
        <v>5.0427210000000002</v>
      </c>
      <c r="H901" s="15">
        <v>6.1837980000000003</v>
      </c>
      <c r="I901" s="15">
        <v>3.574897</v>
      </c>
      <c r="J901" s="15">
        <v>14.52304</v>
      </c>
      <c r="K901" s="15">
        <v>5.8929960000000001</v>
      </c>
      <c r="L901" s="16">
        <v>4.8785610000000004</v>
      </c>
      <c r="M901" s="16">
        <v>8.5073319999999999</v>
      </c>
      <c r="N901" s="16">
        <v>9.4098050000000004</v>
      </c>
      <c r="O901" s="16">
        <v>5.2552880000000002</v>
      </c>
      <c r="P901" s="17">
        <v>8.8380480000000006</v>
      </c>
      <c r="Q901" s="17">
        <v>9.7799010000000006</v>
      </c>
      <c r="R901" s="17">
        <v>6.2053839999999996</v>
      </c>
      <c r="S901" s="17">
        <v>12.60384</v>
      </c>
      <c r="AP901" s="35"/>
      <c r="AQ901" s="35"/>
      <c r="AR901" s="35"/>
      <c r="AS901" s="35"/>
    </row>
    <row r="902" spans="2:45" x14ac:dyDescent="0.2">
      <c r="B902" s="2">
        <v>43480.876793981479</v>
      </c>
      <c r="C902" s="5">
        <f t="shared" si="97"/>
        <v>2.9999998799999994</v>
      </c>
      <c r="D902" s="14">
        <v>6.0518749999999999</v>
      </c>
      <c r="E902" s="14">
        <v>7.0879490000000001</v>
      </c>
      <c r="F902" s="14">
        <v>5.3363550000000002</v>
      </c>
      <c r="G902" s="14">
        <v>5.0427210000000002</v>
      </c>
      <c r="H902" s="15">
        <v>6.1837980000000003</v>
      </c>
      <c r="I902" s="15">
        <v>3.574897</v>
      </c>
      <c r="J902" s="15">
        <v>14.52304</v>
      </c>
      <c r="K902" s="15">
        <v>5.8929960000000001</v>
      </c>
      <c r="L902" s="16">
        <v>4.8785610000000004</v>
      </c>
      <c r="M902" s="16">
        <v>8.5167730000000006</v>
      </c>
      <c r="N902" s="16">
        <v>9.4135249999999999</v>
      </c>
      <c r="O902" s="16">
        <v>5.2552880000000002</v>
      </c>
      <c r="P902" s="17">
        <v>8.8380480000000006</v>
      </c>
      <c r="Q902" s="17">
        <v>9.7799010000000006</v>
      </c>
      <c r="R902" s="17">
        <v>6.2053839999999996</v>
      </c>
      <c r="S902" s="17">
        <v>12.616720000000001</v>
      </c>
      <c r="V902" s="25">
        <v>3</v>
      </c>
      <c r="W902">
        <f>AVERAGE(D891:D902)</f>
        <v>6.0518749999999999</v>
      </c>
      <c r="X902">
        <f t="shared" ref="X902:AK902" si="98">AVERAGE(E891:E902)</f>
        <v>7.0879489999999992</v>
      </c>
      <c r="Y902">
        <f t="shared" si="98"/>
        <v>5.3301695833333325</v>
      </c>
      <c r="Z902">
        <f t="shared" si="98"/>
        <v>5.037723333333334</v>
      </c>
      <c r="AA902">
        <f t="shared" si="98"/>
        <v>6.1809934166666674</v>
      </c>
      <c r="AB902">
        <f t="shared" si="98"/>
        <v>3.574897</v>
      </c>
      <c r="AC902">
        <f t="shared" si="98"/>
        <v>14.523040000000002</v>
      </c>
      <c r="AD902">
        <f t="shared" si="98"/>
        <v>5.8929959999999992</v>
      </c>
      <c r="AE902">
        <f t="shared" si="98"/>
        <v>4.8785609999999995</v>
      </c>
      <c r="AF902">
        <f t="shared" si="98"/>
        <v>8.464845583333334</v>
      </c>
      <c r="AG902">
        <f t="shared" si="98"/>
        <v>9.393068333333332</v>
      </c>
      <c r="AH902">
        <f t="shared" si="98"/>
        <v>5.2552880000000002</v>
      </c>
      <c r="AI902">
        <f t="shared" si="98"/>
        <v>8.8380480000000006</v>
      </c>
      <c r="AJ902">
        <f t="shared" si="98"/>
        <v>9.7799009999999988</v>
      </c>
      <c r="AK902">
        <f t="shared" si="98"/>
        <v>6.2053839999999996</v>
      </c>
      <c r="AL902">
        <f>AVERAGE(S891:S902)</f>
        <v>12.545904999999999</v>
      </c>
      <c r="AO902" s="25">
        <v>3</v>
      </c>
      <c r="AP902" s="35">
        <f>AVERAGE(W902:Z902)</f>
        <v>5.8769292291666666</v>
      </c>
      <c r="AQ902" s="35">
        <f>AVERAGE(AA902:AD902)</f>
        <v>7.5429816041666671</v>
      </c>
      <c r="AR902" s="35">
        <f>AVERAGE(AE902:AH902)</f>
        <v>6.9979407291666664</v>
      </c>
      <c r="AS902" s="35">
        <f>AVERAGE(AI902:AL902)</f>
        <v>9.3423094999999989</v>
      </c>
    </row>
    <row r="903" spans="2:45" x14ac:dyDescent="0.2">
      <c r="B903" s="2">
        <v>43480.880266203705</v>
      </c>
      <c r="C903" s="5">
        <f t="shared" si="97"/>
        <v>3.0833332099999993</v>
      </c>
      <c r="D903" s="14">
        <v>6.0518749999999999</v>
      </c>
      <c r="E903" s="14">
        <v>7.0879490000000001</v>
      </c>
      <c r="F903" s="14">
        <v>5.3363550000000002</v>
      </c>
      <c r="G903" s="14">
        <v>5.0427210000000002</v>
      </c>
      <c r="H903" s="15">
        <v>6.1837980000000003</v>
      </c>
      <c r="I903" s="15">
        <v>3.574897</v>
      </c>
      <c r="J903" s="15">
        <v>14.52304</v>
      </c>
      <c r="K903" s="15">
        <v>5.8929960000000001</v>
      </c>
      <c r="L903" s="16">
        <v>4.8785610000000004</v>
      </c>
      <c r="M903" s="16">
        <v>8.5262150000000005</v>
      </c>
      <c r="N903" s="16">
        <v>9.4172440000000002</v>
      </c>
      <c r="O903" s="16">
        <v>5.2552880000000002</v>
      </c>
      <c r="P903" s="17">
        <v>8.8380480000000006</v>
      </c>
      <c r="Q903" s="17">
        <v>9.7799010000000006</v>
      </c>
      <c r="R903" s="17">
        <v>6.2053839999999996</v>
      </c>
      <c r="S903" s="17">
        <v>12.62959</v>
      </c>
      <c r="AP903" s="35"/>
      <c r="AQ903" s="35"/>
      <c r="AR903" s="35"/>
      <c r="AS903" s="35"/>
    </row>
    <row r="904" spans="2:45" x14ac:dyDescent="0.2">
      <c r="B904" s="2">
        <v>43480.883738425924</v>
      </c>
      <c r="C904" s="5">
        <f t="shared" si="97"/>
        <v>3.1666665399999991</v>
      </c>
      <c r="D904" s="14">
        <v>6.0518749999999999</v>
      </c>
      <c r="E904" s="14">
        <v>7.0879490000000001</v>
      </c>
      <c r="F904" s="14">
        <v>5.3363550000000002</v>
      </c>
      <c r="G904" s="14">
        <v>5.0427210000000002</v>
      </c>
      <c r="H904" s="15">
        <v>6.1837980000000003</v>
      </c>
      <c r="I904" s="15">
        <v>3.574897</v>
      </c>
      <c r="J904" s="15">
        <v>14.52304</v>
      </c>
      <c r="K904" s="15">
        <v>5.8929960000000001</v>
      </c>
      <c r="L904" s="16">
        <v>4.8785610000000004</v>
      </c>
      <c r="M904" s="16">
        <v>8.5356559999999995</v>
      </c>
      <c r="N904" s="16">
        <v>9.4209630000000004</v>
      </c>
      <c r="O904" s="16">
        <v>5.2552880000000002</v>
      </c>
      <c r="P904" s="17">
        <v>8.8380480000000006</v>
      </c>
      <c r="Q904" s="17">
        <v>9.7799010000000006</v>
      </c>
      <c r="R904" s="17">
        <v>6.2053839999999996</v>
      </c>
      <c r="S904" s="17">
        <v>12.64246</v>
      </c>
      <c r="AP904" s="35"/>
      <c r="AQ904" s="35"/>
      <c r="AR904" s="35"/>
      <c r="AS904" s="35"/>
    </row>
    <row r="905" spans="2:45" x14ac:dyDescent="0.2">
      <c r="B905" s="2">
        <v>43480.88721064815</v>
      </c>
      <c r="C905" s="5">
        <f t="shared" si="97"/>
        <v>3.249999869999999</v>
      </c>
      <c r="D905" s="14">
        <v>6.0518749999999999</v>
      </c>
      <c r="E905" s="14">
        <v>7.0879490000000001</v>
      </c>
      <c r="F905" s="14">
        <v>5.3363550000000002</v>
      </c>
      <c r="G905" s="14">
        <v>5.0427210000000002</v>
      </c>
      <c r="H905" s="15">
        <v>6.1837980000000003</v>
      </c>
      <c r="I905" s="15">
        <v>3.574897</v>
      </c>
      <c r="J905" s="15">
        <v>14.53952</v>
      </c>
      <c r="K905" s="15">
        <v>5.8929960000000001</v>
      </c>
      <c r="L905" s="16">
        <v>4.8785610000000004</v>
      </c>
      <c r="M905" s="16">
        <v>8.5450970000000002</v>
      </c>
      <c r="N905" s="16">
        <v>9.4246829999999999</v>
      </c>
      <c r="O905" s="16">
        <v>5.2552880000000002</v>
      </c>
      <c r="P905" s="17">
        <v>8.8380480000000006</v>
      </c>
      <c r="Q905" s="17">
        <v>9.7799010000000006</v>
      </c>
      <c r="R905" s="17">
        <v>6.2053839999999996</v>
      </c>
      <c r="S905" s="17">
        <v>12.655340000000001</v>
      </c>
      <c r="AP905" s="35"/>
      <c r="AQ905" s="35"/>
      <c r="AR905" s="35"/>
      <c r="AS905" s="35"/>
    </row>
    <row r="906" spans="2:45" x14ac:dyDescent="0.2">
      <c r="B906" s="2">
        <v>43480.890682870369</v>
      </c>
      <c r="C906" s="5">
        <f t="shared" si="97"/>
        <v>3.3333331999999989</v>
      </c>
      <c r="D906" s="14">
        <v>6.0518749999999999</v>
      </c>
      <c r="E906" s="14">
        <v>7.0879490000000001</v>
      </c>
      <c r="F906" s="14">
        <v>5.3363550000000002</v>
      </c>
      <c r="G906" s="14">
        <v>5.0427210000000002</v>
      </c>
      <c r="H906" s="15">
        <v>6.1837980000000003</v>
      </c>
      <c r="I906" s="15">
        <v>3.5750459999999999</v>
      </c>
      <c r="J906" s="15">
        <v>14.569850000000001</v>
      </c>
      <c r="K906" s="15">
        <v>5.8929960000000001</v>
      </c>
      <c r="L906" s="16">
        <v>4.8785610000000004</v>
      </c>
      <c r="M906" s="16">
        <v>8.5545390000000001</v>
      </c>
      <c r="N906" s="16">
        <v>9.4267230000000009</v>
      </c>
      <c r="O906" s="16">
        <v>5.2552880000000002</v>
      </c>
      <c r="P906" s="17">
        <v>8.8380480000000006</v>
      </c>
      <c r="Q906" s="17">
        <v>9.7799010000000006</v>
      </c>
      <c r="R906" s="17">
        <v>6.2053839999999996</v>
      </c>
      <c r="S906" s="17">
        <v>12.66821</v>
      </c>
      <c r="AP906" s="35"/>
      <c r="AQ906" s="35"/>
      <c r="AR906" s="35"/>
      <c r="AS906" s="35"/>
    </row>
    <row r="907" spans="2:45" x14ac:dyDescent="0.2">
      <c r="B907" s="2">
        <v>43480.894155092596</v>
      </c>
      <c r="C907" s="5">
        <f t="shared" si="97"/>
        <v>3.4166665299999988</v>
      </c>
      <c r="D907" s="14">
        <v>6.0518749999999999</v>
      </c>
      <c r="E907" s="14">
        <v>7.0879490000000001</v>
      </c>
      <c r="F907" s="14">
        <v>5.3363550000000002</v>
      </c>
      <c r="G907" s="14">
        <v>5.0427210000000002</v>
      </c>
      <c r="H907" s="15">
        <v>6.1837980000000003</v>
      </c>
      <c r="I907" s="15">
        <v>3.5752609999999998</v>
      </c>
      <c r="J907" s="15">
        <v>14.60017</v>
      </c>
      <c r="K907" s="15">
        <v>5.8929960000000001</v>
      </c>
      <c r="L907" s="16">
        <v>4.8785610000000004</v>
      </c>
      <c r="M907" s="16">
        <v>8.5639800000000008</v>
      </c>
      <c r="N907" s="16">
        <v>9.4267230000000009</v>
      </c>
      <c r="O907" s="16">
        <v>5.2552880000000002</v>
      </c>
      <c r="P907" s="17">
        <v>8.8380480000000006</v>
      </c>
      <c r="Q907" s="17">
        <v>9.7799010000000006</v>
      </c>
      <c r="R907" s="17">
        <v>6.2053839999999996</v>
      </c>
      <c r="S907" s="17">
        <v>12.681089999999999</v>
      </c>
      <c r="AP907" s="35"/>
      <c r="AQ907" s="35"/>
      <c r="AR907" s="35"/>
      <c r="AS907" s="35"/>
    </row>
    <row r="908" spans="2:45" x14ac:dyDescent="0.2">
      <c r="B908" s="2">
        <v>43480.897627314815</v>
      </c>
      <c r="C908" s="5">
        <f t="shared" si="97"/>
        <v>3.4999998599999986</v>
      </c>
      <c r="D908" s="14">
        <v>6.0518749999999999</v>
      </c>
      <c r="E908" s="14">
        <v>7.0879490000000001</v>
      </c>
      <c r="F908" s="14">
        <v>5.3363550000000002</v>
      </c>
      <c r="G908" s="14">
        <v>5.0427210000000002</v>
      </c>
      <c r="H908" s="15">
        <v>6.1837980000000003</v>
      </c>
      <c r="I908" s="15">
        <v>3.575475</v>
      </c>
      <c r="J908" s="15">
        <v>14.6305</v>
      </c>
      <c r="K908" s="15">
        <v>5.8929960000000001</v>
      </c>
      <c r="L908" s="16">
        <v>4.8785610000000004</v>
      </c>
      <c r="M908" s="16">
        <v>8.5734209999999997</v>
      </c>
      <c r="N908" s="16">
        <v>9.4267230000000009</v>
      </c>
      <c r="O908" s="16">
        <v>5.2552880000000002</v>
      </c>
      <c r="P908" s="17">
        <v>8.8380480000000006</v>
      </c>
      <c r="Q908" s="17">
        <v>9.7883230000000001</v>
      </c>
      <c r="R908" s="17">
        <v>6.2053839999999996</v>
      </c>
      <c r="S908" s="17">
        <v>12.693960000000001</v>
      </c>
      <c r="AP908" s="35"/>
      <c r="AQ908" s="35"/>
      <c r="AR908" s="35"/>
      <c r="AS908" s="35"/>
    </row>
    <row r="909" spans="2:45" x14ac:dyDescent="0.2">
      <c r="B909" s="2">
        <v>43480.901099537034</v>
      </c>
      <c r="C909" s="5">
        <f t="shared" si="97"/>
        <v>3.5833331899999985</v>
      </c>
      <c r="D909" s="14">
        <v>6.0518749999999999</v>
      </c>
      <c r="E909" s="14">
        <v>7.0879490000000001</v>
      </c>
      <c r="F909" s="14">
        <v>5.3363550000000002</v>
      </c>
      <c r="G909" s="14">
        <v>5.0427210000000002</v>
      </c>
      <c r="H909" s="15">
        <v>6.1837980000000003</v>
      </c>
      <c r="I909" s="15">
        <v>3.5756899999999998</v>
      </c>
      <c r="J909" s="15">
        <v>14.660830000000001</v>
      </c>
      <c r="K909" s="15">
        <v>5.8929960000000001</v>
      </c>
      <c r="L909" s="16">
        <v>4.8785610000000004</v>
      </c>
      <c r="M909" s="16">
        <v>8.5828629999999997</v>
      </c>
      <c r="N909" s="16">
        <v>9.4267230000000009</v>
      </c>
      <c r="O909" s="16">
        <v>5.2568229999999998</v>
      </c>
      <c r="P909" s="17">
        <v>8.8380480000000006</v>
      </c>
      <c r="Q909" s="17">
        <v>9.8014840000000003</v>
      </c>
      <c r="R909" s="17">
        <v>6.2053839999999996</v>
      </c>
      <c r="S909" s="17">
        <v>12.70684</v>
      </c>
      <c r="AP909" s="35"/>
      <c r="AQ909" s="35"/>
      <c r="AR909" s="35"/>
      <c r="AS909" s="35"/>
    </row>
    <row r="910" spans="2:45" x14ac:dyDescent="0.2">
      <c r="B910" s="2">
        <v>43480.90457175926</v>
      </c>
      <c r="C910" s="5">
        <f t="shared" si="97"/>
        <v>3.6666665199999984</v>
      </c>
      <c r="D910" s="14">
        <v>6.0518749999999999</v>
      </c>
      <c r="E910" s="14">
        <v>7.0879490000000001</v>
      </c>
      <c r="F910" s="14">
        <v>5.3363550000000002</v>
      </c>
      <c r="G910" s="14">
        <v>5.0427210000000002</v>
      </c>
      <c r="H910" s="15">
        <v>6.1837980000000003</v>
      </c>
      <c r="I910" s="15">
        <v>3.575904</v>
      </c>
      <c r="J910" s="15">
        <v>14.69115</v>
      </c>
      <c r="K910" s="15">
        <v>5.8929960000000001</v>
      </c>
      <c r="L910" s="16">
        <v>4.8785610000000004</v>
      </c>
      <c r="M910" s="16">
        <v>8.5923040000000004</v>
      </c>
      <c r="N910" s="16">
        <v>9.4267230000000009</v>
      </c>
      <c r="O910" s="16">
        <v>5.2583960000000003</v>
      </c>
      <c r="P910" s="17">
        <v>8.8380480000000006</v>
      </c>
      <c r="Q910" s="17">
        <v>9.8146450000000005</v>
      </c>
      <c r="R910" s="17">
        <v>6.2053839999999996</v>
      </c>
      <c r="S910" s="17">
        <v>12.719709999999999</v>
      </c>
      <c r="AP910" s="35"/>
      <c r="AQ910" s="35"/>
      <c r="AR910" s="35"/>
      <c r="AS910" s="35"/>
    </row>
    <row r="911" spans="2:45" x14ac:dyDescent="0.2">
      <c r="B911" s="2">
        <v>43480.908043981479</v>
      </c>
      <c r="C911" s="5">
        <f t="shared" si="97"/>
        <v>3.7499998499999982</v>
      </c>
      <c r="D911" s="14">
        <v>6.0518749999999999</v>
      </c>
      <c r="E911" s="14">
        <v>7.0879490000000001</v>
      </c>
      <c r="F911" s="14">
        <v>5.3363550000000002</v>
      </c>
      <c r="G911" s="14">
        <v>5.0427210000000002</v>
      </c>
      <c r="H911" s="15">
        <v>6.1837980000000003</v>
      </c>
      <c r="I911" s="15">
        <v>3.5761189999999998</v>
      </c>
      <c r="J911" s="15">
        <v>14.72148</v>
      </c>
      <c r="K911" s="15">
        <v>5.8929960000000001</v>
      </c>
      <c r="L911" s="16">
        <v>4.8785610000000004</v>
      </c>
      <c r="M911" s="16">
        <v>8.6017460000000003</v>
      </c>
      <c r="N911" s="16">
        <v>9.4267230000000009</v>
      </c>
      <c r="O911" s="16">
        <v>5.25997</v>
      </c>
      <c r="P911" s="17">
        <v>8.8380480000000006</v>
      </c>
      <c r="Q911" s="17">
        <v>9.8278060000000007</v>
      </c>
      <c r="R911" s="17">
        <v>6.2053839999999996</v>
      </c>
      <c r="S911" s="17">
        <v>12.73259</v>
      </c>
      <c r="AP911" s="35"/>
      <c r="AQ911" s="35"/>
      <c r="AR911" s="35"/>
      <c r="AS911" s="35"/>
    </row>
    <row r="912" spans="2:45" x14ac:dyDescent="0.2">
      <c r="B912" s="2">
        <v>43480.911516203705</v>
      </c>
      <c r="C912" s="5">
        <f t="shared" si="97"/>
        <v>3.8333331799999981</v>
      </c>
      <c r="D912" s="14">
        <v>6.0518749999999999</v>
      </c>
      <c r="E912" s="14">
        <v>7.0879490000000001</v>
      </c>
      <c r="F912" s="14">
        <v>5.3363550000000002</v>
      </c>
      <c r="G912" s="14">
        <v>5.0427210000000002</v>
      </c>
      <c r="H912" s="15">
        <v>6.1837980000000003</v>
      </c>
      <c r="I912" s="15">
        <v>3.5763340000000001</v>
      </c>
      <c r="J912" s="15">
        <v>14.751810000000001</v>
      </c>
      <c r="K912" s="15">
        <v>5.8929960000000001</v>
      </c>
      <c r="L912" s="16">
        <v>4.8785610000000004</v>
      </c>
      <c r="M912" s="16">
        <v>8.6111869999999993</v>
      </c>
      <c r="N912" s="16">
        <v>9.4267230000000009</v>
      </c>
      <c r="O912" s="16">
        <v>5.2615429999999996</v>
      </c>
      <c r="P912" s="17">
        <v>8.8380480000000006</v>
      </c>
      <c r="Q912" s="17">
        <v>9.8409659999999999</v>
      </c>
      <c r="R912" s="17">
        <v>6.2053839999999996</v>
      </c>
      <c r="S912" s="17">
        <v>12.74546</v>
      </c>
      <c r="AP912" s="35"/>
      <c r="AQ912" s="35"/>
      <c r="AR912" s="35"/>
      <c r="AS912" s="35"/>
    </row>
    <row r="913" spans="2:45" x14ac:dyDescent="0.2">
      <c r="B913" s="2">
        <v>43480.914988425924</v>
      </c>
      <c r="C913" s="5">
        <f t="shared" si="97"/>
        <v>3.916666509999998</v>
      </c>
      <c r="D913" s="14">
        <v>6.0518749999999999</v>
      </c>
      <c r="E913" s="14">
        <v>7.0879490000000001</v>
      </c>
      <c r="F913" s="14">
        <v>5.3363550000000002</v>
      </c>
      <c r="G913" s="14">
        <v>5.0427210000000002</v>
      </c>
      <c r="H913" s="15">
        <v>6.1837980000000003</v>
      </c>
      <c r="I913" s="15">
        <v>3.5765479999999998</v>
      </c>
      <c r="J913" s="15">
        <v>14.78213</v>
      </c>
      <c r="K913" s="15">
        <v>5.8929960000000001</v>
      </c>
      <c r="L913" s="16">
        <v>4.8785610000000004</v>
      </c>
      <c r="M913" s="16">
        <v>8.620628</v>
      </c>
      <c r="N913" s="16">
        <v>9.4267230000000009</v>
      </c>
      <c r="O913" s="16">
        <v>5.2631170000000003</v>
      </c>
      <c r="P913" s="17">
        <v>8.8380480000000006</v>
      </c>
      <c r="Q913" s="17">
        <v>9.8541270000000001</v>
      </c>
      <c r="R913" s="17">
        <v>6.2053839999999996</v>
      </c>
      <c r="S913" s="17">
        <v>12.75834</v>
      </c>
      <c r="AP913" s="35"/>
      <c r="AQ913" s="35"/>
      <c r="AR913" s="35"/>
      <c r="AS913" s="35"/>
    </row>
    <row r="914" spans="2:45" x14ac:dyDescent="0.2">
      <c r="B914" s="2">
        <v>43480.91846064815</v>
      </c>
      <c r="C914" s="5">
        <f t="shared" si="97"/>
        <v>3.9999998399999979</v>
      </c>
      <c r="D914" s="14">
        <v>6.0518749999999999</v>
      </c>
      <c r="E914" s="14">
        <v>7.0889480000000002</v>
      </c>
      <c r="F914" s="14">
        <v>5.3363550000000002</v>
      </c>
      <c r="G914" s="14">
        <v>5.0427210000000002</v>
      </c>
      <c r="H914" s="15">
        <v>6.1837980000000003</v>
      </c>
      <c r="I914" s="15">
        <v>3.5767630000000001</v>
      </c>
      <c r="J914" s="15">
        <v>14.81246</v>
      </c>
      <c r="K914" s="15">
        <v>5.8929960000000001</v>
      </c>
      <c r="L914" s="16">
        <v>4.8785610000000004</v>
      </c>
      <c r="M914" s="16">
        <v>8.6300699999999999</v>
      </c>
      <c r="N914" s="16">
        <v>9.4267230000000009</v>
      </c>
      <c r="O914" s="16">
        <v>5.2646899999999999</v>
      </c>
      <c r="P914" s="17">
        <v>8.8380480000000006</v>
      </c>
      <c r="Q914" s="17">
        <v>9.8672880000000003</v>
      </c>
      <c r="R914" s="17">
        <v>6.2053839999999996</v>
      </c>
      <c r="S914" s="17">
        <v>12.77121</v>
      </c>
      <c r="V914" s="25">
        <v>4</v>
      </c>
      <c r="W914">
        <f>AVERAGE(D903:D914)</f>
        <v>6.0518749999999999</v>
      </c>
      <c r="X914">
        <f t="shared" ref="X914:AL914" si="99">AVERAGE(E903:E914)</f>
        <v>7.0880322500000004</v>
      </c>
      <c r="Y914">
        <f t="shared" si="99"/>
        <v>5.3363549999999984</v>
      </c>
      <c r="Z914">
        <f t="shared" si="99"/>
        <v>5.0427210000000002</v>
      </c>
      <c r="AA914">
        <f t="shared" si="99"/>
        <v>6.1837980000000003</v>
      </c>
      <c r="AB914">
        <f t="shared" si="99"/>
        <v>3.5756525833333339</v>
      </c>
      <c r="AC914">
        <f t="shared" si="99"/>
        <v>14.650498333333333</v>
      </c>
      <c r="AD914">
        <f t="shared" si="99"/>
        <v>5.8929959999999992</v>
      </c>
      <c r="AE914">
        <f t="shared" si="99"/>
        <v>4.8785609999999995</v>
      </c>
      <c r="AF914">
        <f t="shared" si="99"/>
        <v>8.5781421666666677</v>
      </c>
      <c r="AG914">
        <f t="shared" si="99"/>
        <v>9.4252830833333316</v>
      </c>
      <c r="AH914">
        <f t="shared" si="99"/>
        <v>5.2580222500000007</v>
      </c>
      <c r="AI914">
        <f t="shared" si="99"/>
        <v>8.8380480000000006</v>
      </c>
      <c r="AJ914">
        <f t="shared" si="99"/>
        <v>9.8078453333333329</v>
      </c>
      <c r="AK914">
        <f t="shared" si="99"/>
        <v>6.2053839999999996</v>
      </c>
      <c r="AL914">
        <f t="shared" si="99"/>
        <v>12.7004</v>
      </c>
      <c r="AO914" s="25">
        <v>4</v>
      </c>
      <c r="AP914" s="35">
        <f>AVERAGE(W914:Z914)</f>
        <v>5.8797458124999995</v>
      </c>
      <c r="AQ914" s="35">
        <f>AVERAGE(AA914:AD914)</f>
        <v>7.575736229166667</v>
      </c>
      <c r="AR914" s="35">
        <f>AVERAGE(AE914:AH914)</f>
        <v>7.0350021249999992</v>
      </c>
      <c r="AS914" s="35">
        <f>AVERAGE(AI914:AL914)</f>
        <v>9.3879193333333326</v>
      </c>
    </row>
    <row r="915" spans="2:45" x14ac:dyDescent="0.2">
      <c r="B915" s="2">
        <v>43480.921932870369</v>
      </c>
      <c r="C915" s="5">
        <f t="shared" si="97"/>
        <v>4.0833331699999977</v>
      </c>
      <c r="D915" s="14">
        <v>6.0518749999999999</v>
      </c>
      <c r="E915" s="14">
        <v>7.0900930000000004</v>
      </c>
      <c r="F915" s="14">
        <v>5.3363550000000002</v>
      </c>
      <c r="G915" s="14">
        <v>5.0427210000000002</v>
      </c>
      <c r="H915" s="15">
        <v>6.1837980000000003</v>
      </c>
      <c r="I915" s="15">
        <v>3.5769769999999999</v>
      </c>
      <c r="J915" s="15">
        <v>14.842790000000001</v>
      </c>
      <c r="K915" s="15">
        <v>5.8929960000000001</v>
      </c>
      <c r="L915" s="16">
        <v>4.8785610000000004</v>
      </c>
      <c r="M915" s="16">
        <v>8.6395110000000006</v>
      </c>
      <c r="N915" s="16">
        <v>9.4267230000000009</v>
      </c>
      <c r="O915" s="16">
        <v>5.2662639999999996</v>
      </c>
      <c r="P915" s="17">
        <v>8.8380480000000006</v>
      </c>
      <c r="Q915" s="17">
        <v>9.8804479999999995</v>
      </c>
      <c r="R915" s="17">
        <v>6.2053839999999996</v>
      </c>
      <c r="S915" s="17">
        <v>12.784090000000001</v>
      </c>
      <c r="AP915" s="35"/>
      <c r="AQ915" s="35"/>
      <c r="AR915" s="35"/>
      <c r="AS915" s="35"/>
    </row>
    <row r="916" spans="2:45" x14ac:dyDescent="0.2">
      <c r="B916" s="2">
        <v>43480.925405092596</v>
      </c>
      <c r="C916" s="5">
        <f t="shared" si="97"/>
        <v>4.1666664999999981</v>
      </c>
      <c r="D916" s="14">
        <v>6.0518749999999999</v>
      </c>
      <c r="E916" s="14">
        <v>7.0912369999999996</v>
      </c>
      <c r="F916" s="14">
        <v>5.3363550000000002</v>
      </c>
      <c r="G916" s="14">
        <v>5.0427210000000002</v>
      </c>
      <c r="H916" s="15">
        <v>6.1837980000000003</v>
      </c>
      <c r="I916" s="15">
        <v>3.5771920000000001</v>
      </c>
      <c r="J916" s="15">
        <v>14.87311</v>
      </c>
      <c r="K916" s="15">
        <v>5.8929960000000001</v>
      </c>
      <c r="L916" s="16">
        <v>4.8785610000000004</v>
      </c>
      <c r="M916" s="16">
        <v>8.6489519999999995</v>
      </c>
      <c r="N916" s="16">
        <v>9.4267230000000009</v>
      </c>
      <c r="O916" s="16">
        <v>5.2678380000000002</v>
      </c>
      <c r="P916" s="17">
        <v>8.8380480000000006</v>
      </c>
      <c r="Q916" s="17">
        <v>9.8936089999999997</v>
      </c>
      <c r="R916" s="17">
        <v>6.2053839999999996</v>
      </c>
      <c r="S916" s="17">
        <v>12.78932</v>
      </c>
      <c r="AP916" s="35"/>
      <c r="AQ916" s="35"/>
      <c r="AR916" s="35"/>
      <c r="AS916" s="35"/>
    </row>
    <row r="917" spans="2:45" x14ac:dyDescent="0.2">
      <c r="B917" s="2">
        <v>43480.928877314815</v>
      </c>
      <c r="C917" s="5">
        <f t="shared" si="97"/>
        <v>4.2499998299999984</v>
      </c>
      <c r="D917" s="14">
        <v>6.0518749999999999</v>
      </c>
      <c r="E917" s="14">
        <v>7.0923809999999996</v>
      </c>
      <c r="F917" s="14">
        <v>5.3363550000000002</v>
      </c>
      <c r="G917" s="14">
        <v>5.0427210000000002</v>
      </c>
      <c r="H917" s="15">
        <v>6.1837980000000003</v>
      </c>
      <c r="I917" s="15">
        <v>3.5774059999999999</v>
      </c>
      <c r="J917" s="15">
        <v>14.90344</v>
      </c>
      <c r="K917" s="15">
        <v>5.8929960000000001</v>
      </c>
      <c r="L917" s="16">
        <v>4.8785610000000004</v>
      </c>
      <c r="M917" s="16">
        <v>8.6583939999999995</v>
      </c>
      <c r="N917" s="16">
        <v>9.4267230000000009</v>
      </c>
      <c r="O917" s="16">
        <v>5.2694109999999998</v>
      </c>
      <c r="P917" s="17">
        <v>8.8380480000000006</v>
      </c>
      <c r="Q917" s="17">
        <v>9.9067699999999999</v>
      </c>
      <c r="R917" s="17">
        <v>6.2053839999999996</v>
      </c>
      <c r="S917" s="17">
        <v>12.78932</v>
      </c>
      <c r="AP917" s="35"/>
      <c r="AQ917" s="35"/>
      <c r="AR917" s="35"/>
      <c r="AS917" s="35"/>
    </row>
    <row r="918" spans="2:45" x14ac:dyDescent="0.2">
      <c r="B918" s="2">
        <v>43480.932349537034</v>
      </c>
      <c r="C918" s="5">
        <f t="shared" si="97"/>
        <v>4.3333331599999987</v>
      </c>
      <c r="D918" s="14">
        <v>6.0518749999999999</v>
      </c>
      <c r="E918" s="14">
        <v>7.0935259999999998</v>
      </c>
      <c r="F918" s="14">
        <v>5.3363550000000002</v>
      </c>
      <c r="G918" s="14">
        <v>5.0427210000000002</v>
      </c>
      <c r="H918" s="15">
        <v>6.1837980000000003</v>
      </c>
      <c r="I918" s="15">
        <v>3.5776210000000002</v>
      </c>
      <c r="J918" s="15">
        <v>14.921329999999999</v>
      </c>
      <c r="K918" s="15">
        <v>5.8929960000000001</v>
      </c>
      <c r="L918" s="16">
        <v>4.8785610000000004</v>
      </c>
      <c r="M918" s="16">
        <v>8.6678350000000002</v>
      </c>
      <c r="N918" s="16">
        <v>9.4267230000000009</v>
      </c>
      <c r="O918" s="16">
        <v>5.2709849999999996</v>
      </c>
      <c r="P918" s="17">
        <v>8.8380480000000006</v>
      </c>
      <c r="Q918" s="17">
        <v>9.9199300000000008</v>
      </c>
      <c r="R918" s="17">
        <v>6.2053839999999996</v>
      </c>
      <c r="S918" s="17">
        <v>12.78932</v>
      </c>
      <c r="AP918" s="35"/>
      <c r="AQ918" s="35"/>
      <c r="AR918" s="35"/>
      <c r="AS918" s="35"/>
    </row>
    <row r="919" spans="2:45" x14ac:dyDescent="0.2">
      <c r="B919" s="2">
        <v>43480.93582175926</v>
      </c>
      <c r="C919" s="5">
        <f t="shared" si="97"/>
        <v>4.416666489999999</v>
      </c>
      <c r="D919" s="14">
        <v>6.0518749999999999</v>
      </c>
      <c r="E919" s="14">
        <v>7.0936440000000003</v>
      </c>
      <c r="F919" s="14">
        <v>5.3363550000000002</v>
      </c>
      <c r="G919" s="14">
        <v>5.0427210000000002</v>
      </c>
      <c r="H919" s="15">
        <v>6.1837980000000003</v>
      </c>
      <c r="I919" s="15">
        <v>3.577836</v>
      </c>
      <c r="J919" s="15">
        <v>14.921329999999999</v>
      </c>
      <c r="K919" s="15">
        <v>5.8929960000000001</v>
      </c>
      <c r="L919" s="16">
        <v>4.8785610000000004</v>
      </c>
      <c r="M919" s="16">
        <v>8.6772770000000001</v>
      </c>
      <c r="N919" s="16">
        <v>9.4267230000000009</v>
      </c>
      <c r="O919" s="16">
        <v>5.2725580000000001</v>
      </c>
      <c r="P919" s="17">
        <v>8.8380480000000006</v>
      </c>
      <c r="Q919" s="17">
        <v>9.9330909999999992</v>
      </c>
      <c r="R919" s="17">
        <v>6.2053839999999996</v>
      </c>
      <c r="S919" s="17">
        <v>12.78932</v>
      </c>
      <c r="AP919" s="35"/>
      <c r="AQ919" s="35"/>
      <c r="AR919" s="35"/>
      <c r="AS919" s="35"/>
    </row>
    <row r="920" spans="2:45" x14ac:dyDescent="0.2">
      <c r="B920" s="2">
        <v>43480.939293981479</v>
      </c>
      <c r="C920" s="5">
        <f t="shared" si="97"/>
        <v>4.4999998199999993</v>
      </c>
      <c r="D920" s="14">
        <v>6.0518749999999999</v>
      </c>
      <c r="E920" s="14">
        <v>7.0936440000000003</v>
      </c>
      <c r="F920" s="14">
        <v>5.3363550000000002</v>
      </c>
      <c r="G920" s="14">
        <v>5.0427210000000002</v>
      </c>
      <c r="H920" s="15">
        <v>6.1837980000000003</v>
      </c>
      <c r="I920" s="15">
        <v>3.5780500000000002</v>
      </c>
      <c r="J920" s="15">
        <v>14.9335</v>
      </c>
      <c r="K920" s="15">
        <v>5.8929960000000001</v>
      </c>
      <c r="L920" s="16">
        <v>4.8785610000000004</v>
      </c>
      <c r="M920" s="16">
        <v>8.6867180000000008</v>
      </c>
      <c r="N920" s="16">
        <v>9.4267230000000009</v>
      </c>
      <c r="O920" s="16">
        <v>5.2741319999999998</v>
      </c>
      <c r="P920" s="17">
        <v>8.8380480000000006</v>
      </c>
      <c r="Q920" s="17">
        <v>9.9462519999999994</v>
      </c>
      <c r="R920" s="17">
        <v>6.2053839999999996</v>
      </c>
      <c r="S920" s="17">
        <v>12.78932</v>
      </c>
      <c r="AP920" s="35"/>
      <c r="AQ920" s="35"/>
      <c r="AR920" s="35"/>
      <c r="AS920" s="35"/>
    </row>
    <row r="921" spans="2:45" x14ac:dyDescent="0.2">
      <c r="B921" s="2">
        <v>43480.942766203705</v>
      </c>
      <c r="C921" s="5">
        <f t="shared" si="97"/>
        <v>4.5833331499999996</v>
      </c>
      <c r="D921" s="14">
        <v>6.0518749999999999</v>
      </c>
      <c r="E921" s="14">
        <v>7.0936440000000003</v>
      </c>
      <c r="F921" s="14">
        <v>5.3363550000000002</v>
      </c>
      <c r="G921" s="14">
        <v>5.0427210000000002</v>
      </c>
      <c r="H921" s="15">
        <v>6.1837980000000003</v>
      </c>
      <c r="I921" s="15">
        <v>3.5781459999999998</v>
      </c>
      <c r="J921" s="15">
        <v>14.950100000000001</v>
      </c>
      <c r="K921" s="15">
        <v>5.8929960000000001</v>
      </c>
      <c r="L921" s="16">
        <v>4.8785610000000004</v>
      </c>
      <c r="M921" s="16">
        <v>8.6961589999999998</v>
      </c>
      <c r="N921" s="16">
        <v>9.4267230000000009</v>
      </c>
      <c r="O921" s="16">
        <v>5.2757050000000003</v>
      </c>
      <c r="P921" s="17">
        <v>8.8380480000000006</v>
      </c>
      <c r="Q921" s="17">
        <v>9.9594129999999996</v>
      </c>
      <c r="R921" s="17">
        <v>6.2053839999999996</v>
      </c>
      <c r="S921" s="17">
        <v>12.78932</v>
      </c>
      <c r="AP921" s="35"/>
      <c r="AQ921" s="35"/>
      <c r="AR921" s="35"/>
      <c r="AS921" s="35"/>
    </row>
    <row r="922" spans="2:45" x14ac:dyDescent="0.2">
      <c r="B922" s="2">
        <v>43480.946238425924</v>
      </c>
      <c r="C922" s="5">
        <f t="shared" si="97"/>
        <v>4.66666648</v>
      </c>
      <c r="D922" s="14">
        <v>6.0518749999999999</v>
      </c>
      <c r="E922" s="14">
        <v>7.0936440000000003</v>
      </c>
      <c r="F922" s="14">
        <v>5.3363550000000002</v>
      </c>
      <c r="G922" s="14">
        <v>5.0427210000000002</v>
      </c>
      <c r="H922" s="15">
        <v>6.1837980000000003</v>
      </c>
      <c r="I922" s="15">
        <v>3.5781459999999998</v>
      </c>
      <c r="J922" s="15">
        <v>14.96669</v>
      </c>
      <c r="K922" s="15">
        <v>5.8930879999999997</v>
      </c>
      <c r="L922" s="16">
        <v>4.8785610000000004</v>
      </c>
      <c r="M922" s="16">
        <v>8.7056009999999997</v>
      </c>
      <c r="N922" s="16">
        <v>9.4267230000000009</v>
      </c>
      <c r="O922" s="16">
        <v>5.2772790000000001</v>
      </c>
      <c r="P922" s="17">
        <v>8.8380480000000006</v>
      </c>
      <c r="Q922" s="17">
        <v>9.9725730000000006</v>
      </c>
      <c r="R922" s="17">
        <v>6.2057549999999999</v>
      </c>
      <c r="S922" s="17">
        <v>12.80829</v>
      </c>
      <c r="AP922" s="35"/>
      <c r="AQ922" s="35"/>
      <c r="AR922" s="35"/>
      <c r="AS922" s="35"/>
    </row>
    <row r="923" spans="2:45" x14ac:dyDescent="0.2">
      <c r="B923" s="2">
        <v>43480.94971064815</v>
      </c>
      <c r="C923" s="5">
        <f t="shared" si="97"/>
        <v>4.7499998100000003</v>
      </c>
      <c r="D923" s="14">
        <v>6.0518749999999999</v>
      </c>
      <c r="E923" s="14">
        <v>7.0936440000000003</v>
      </c>
      <c r="F923" s="14">
        <v>5.3363550000000002</v>
      </c>
      <c r="G923" s="14">
        <v>5.0427210000000002</v>
      </c>
      <c r="H923" s="15">
        <v>6.1837980000000003</v>
      </c>
      <c r="I923" s="15">
        <v>3.5781459999999998</v>
      </c>
      <c r="J923" s="15">
        <v>14.983280000000001</v>
      </c>
      <c r="K923" s="15">
        <v>5.8979489999999997</v>
      </c>
      <c r="L923" s="16">
        <v>4.8785610000000004</v>
      </c>
      <c r="M923" s="16">
        <v>8.7150420000000004</v>
      </c>
      <c r="N923" s="16">
        <v>9.4267230000000009</v>
      </c>
      <c r="O923" s="16">
        <v>5.2781830000000003</v>
      </c>
      <c r="P923" s="17">
        <v>8.8380480000000006</v>
      </c>
      <c r="Q923" s="17">
        <v>9.9857340000000008</v>
      </c>
      <c r="R923" s="17">
        <v>6.2066129999999999</v>
      </c>
      <c r="S923" s="17">
        <v>12.83747</v>
      </c>
      <c r="AP923" s="35"/>
      <c r="AQ923" s="35"/>
      <c r="AR923" s="35"/>
      <c r="AS923" s="35"/>
    </row>
    <row r="924" spans="2:45" x14ac:dyDescent="0.2">
      <c r="B924" s="2">
        <v>43480.953182870369</v>
      </c>
      <c r="C924" s="5">
        <f t="shared" si="97"/>
        <v>4.8333331400000006</v>
      </c>
      <c r="D924" s="14">
        <v>6.0518749999999999</v>
      </c>
      <c r="E924" s="14">
        <v>7.0936440000000003</v>
      </c>
      <c r="F924" s="14">
        <v>5.3363550000000002</v>
      </c>
      <c r="G924" s="14">
        <v>5.0427210000000002</v>
      </c>
      <c r="H924" s="15">
        <v>6.1837980000000003</v>
      </c>
      <c r="I924" s="15">
        <v>3.5781459999999998</v>
      </c>
      <c r="J924" s="15">
        <v>14.999879999999999</v>
      </c>
      <c r="K924" s="15">
        <v>5.9028130000000001</v>
      </c>
      <c r="L924" s="16">
        <v>4.8785610000000004</v>
      </c>
      <c r="M924" s="16">
        <v>8.7244829999999993</v>
      </c>
      <c r="N924" s="16">
        <v>9.4267230000000009</v>
      </c>
      <c r="O924" s="16">
        <v>5.2781830000000003</v>
      </c>
      <c r="P924" s="17">
        <v>8.8380480000000006</v>
      </c>
      <c r="Q924" s="17">
        <v>9.9988949999999992</v>
      </c>
      <c r="R924" s="17">
        <v>6.207471</v>
      </c>
      <c r="S924" s="17">
        <v>12.86665</v>
      </c>
      <c r="AP924" s="35"/>
      <c r="AQ924" s="35"/>
      <c r="AR924" s="35"/>
      <c r="AS924" s="35"/>
    </row>
    <row r="925" spans="2:45" x14ac:dyDescent="0.2">
      <c r="B925" s="2">
        <v>43480.956655092596</v>
      </c>
      <c r="C925" s="5">
        <f t="shared" si="97"/>
        <v>4.9166664700000009</v>
      </c>
      <c r="D925" s="14">
        <v>6.0518749999999999</v>
      </c>
      <c r="E925" s="14">
        <v>7.0936440000000003</v>
      </c>
      <c r="F925" s="14">
        <v>5.3363550000000002</v>
      </c>
      <c r="G925" s="14">
        <v>5.0427210000000002</v>
      </c>
      <c r="H925" s="15">
        <v>6.1837980000000003</v>
      </c>
      <c r="I925" s="15">
        <v>3.5781459999999998</v>
      </c>
      <c r="J925" s="15">
        <v>15.01647</v>
      </c>
      <c r="K925" s="15">
        <v>5.9076769999999996</v>
      </c>
      <c r="L925" s="16">
        <v>4.8785610000000004</v>
      </c>
      <c r="M925" s="16">
        <v>8.7339249999999993</v>
      </c>
      <c r="N925" s="16">
        <v>9.4267230000000009</v>
      </c>
      <c r="O925" s="16">
        <v>5.2781830000000003</v>
      </c>
      <c r="P925" s="17">
        <v>8.8380480000000006</v>
      </c>
      <c r="Q925" s="17">
        <v>10.01206</v>
      </c>
      <c r="R925" s="17">
        <v>6.2083300000000001</v>
      </c>
      <c r="S925" s="17">
        <v>12.89584</v>
      </c>
      <c r="AP925" s="35"/>
      <c r="AQ925" s="35"/>
      <c r="AR925" s="35"/>
      <c r="AS925" s="35"/>
    </row>
    <row r="926" spans="2:45" x14ac:dyDescent="0.2">
      <c r="B926" s="2">
        <v>43480.960127314815</v>
      </c>
      <c r="C926" s="5">
        <f t="shared" si="97"/>
        <v>4.9999998000000012</v>
      </c>
      <c r="D926" s="14">
        <v>6.0518749999999999</v>
      </c>
      <c r="E926" s="14">
        <v>7.0936440000000003</v>
      </c>
      <c r="F926" s="14">
        <v>5.3363550000000002</v>
      </c>
      <c r="G926" s="14">
        <v>5.0427210000000002</v>
      </c>
      <c r="H926" s="15">
        <v>6.1837980000000003</v>
      </c>
      <c r="I926" s="15">
        <v>3.5781459999999998</v>
      </c>
      <c r="J926" s="15">
        <v>15.03307</v>
      </c>
      <c r="K926" s="15">
        <v>5.9125399999999999</v>
      </c>
      <c r="L926" s="16">
        <v>4.8785610000000004</v>
      </c>
      <c r="M926" s="16">
        <v>8.743366</v>
      </c>
      <c r="N926" s="16">
        <v>9.4267230000000009</v>
      </c>
      <c r="O926" s="16">
        <v>5.2781830000000003</v>
      </c>
      <c r="P926" s="17">
        <v>8.8380480000000006</v>
      </c>
      <c r="Q926" s="17">
        <v>10.025219999999999</v>
      </c>
      <c r="R926" s="17">
        <v>6.2091880000000002</v>
      </c>
      <c r="S926" s="17">
        <v>12.92502</v>
      </c>
      <c r="V926" s="25">
        <v>5</v>
      </c>
      <c r="W926">
        <f>AVERAGE(D915:D926)</f>
        <v>6.0518749999999999</v>
      </c>
      <c r="X926">
        <f t="shared" ref="X926:AL926" si="100">AVERAGE(E915:E926)</f>
        <v>7.0930324166666656</v>
      </c>
      <c r="Y926">
        <f t="shared" si="100"/>
        <v>5.3363549999999984</v>
      </c>
      <c r="Z926">
        <f t="shared" si="100"/>
        <v>5.0427210000000002</v>
      </c>
      <c r="AA926">
        <f t="shared" si="100"/>
        <v>6.1837980000000003</v>
      </c>
      <c r="AB926">
        <f t="shared" si="100"/>
        <v>3.5778298333333325</v>
      </c>
      <c r="AC926">
        <f t="shared" si="100"/>
        <v>14.945415833333334</v>
      </c>
      <c r="AD926">
        <f t="shared" si="100"/>
        <v>5.8970865833333335</v>
      </c>
      <c r="AE926">
        <f t="shared" si="100"/>
        <v>4.8785609999999995</v>
      </c>
      <c r="AF926">
        <f t="shared" si="100"/>
        <v>8.6914385833333334</v>
      </c>
      <c r="AG926">
        <f t="shared" si="100"/>
        <v>9.4267229999999991</v>
      </c>
      <c r="AH926">
        <f t="shared" si="100"/>
        <v>5.2739086666666664</v>
      </c>
      <c r="AI926">
        <f t="shared" si="100"/>
        <v>8.8380480000000006</v>
      </c>
      <c r="AJ926">
        <f t="shared" si="100"/>
        <v>9.9528329166666669</v>
      </c>
      <c r="AK926">
        <f t="shared" si="100"/>
        <v>6.2062537499999992</v>
      </c>
      <c r="AL926">
        <f t="shared" si="100"/>
        <v>12.821106666666665</v>
      </c>
      <c r="AO926" s="25">
        <v>5</v>
      </c>
      <c r="AP926" s="35">
        <f>AVERAGE(W926:Z926)</f>
        <v>5.8809958541666658</v>
      </c>
      <c r="AQ926" s="35">
        <f>AVERAGE(AA926:AD926)</f>
        <v>7.6510325624999993</v>
      </c>
      <c r="AR926" s="35">
        <f>AVERAGE(AE926:AH926)</f>
        <v>7.0676578124999994</v>
      </c>
      <c r="AS926" s="35">
        <f>AVERAGE(AI926:AL926)</f>
        <v>9.4545603333333332</v>
      </c>
    </row>
    <row r="927" spans="2:45" x14ac:dyDescent="0.2">
      <c r="B927" s="2">
        <v>43480.963599537034</v>
      </c>
      <c r="C927" s="5">
        <f t="shared" si="97"/>
        <v>5.0833331300000015</v>
      </c>
      <c r="D927" s="14">
        <v>6.0518749999999999</v>
      </c>
      <c r="E927" s="14">
        <v>7.0936440000000003</v>
      </c>
      <c r="F927" s="14">
        <v>5.3363550000000002</v>
      </c>
      <c r="G927" s="14">
        <v>5.0427210000000002</v>
      </c>
      <c r="H927" s="15">
        <v>6.1837980000000003</v>
      </c>
      <c r="I927" s="15">
        <v>3.5781459999999998</v>
      </c>
      <c r="J927" s="15">
        <v>15.049659999999999</v>
      </c>
      <c r="K927" s="15">
        <v>5.9174040000000003</v>
      </c>
      <c r="L927" s="16">
        <v>4.8785610000000004</v>
      </c>
      <c r="M927" s="16">
        <v>8.7528079999999999</v>
      </c>
      <c r="N927" s="16">
        <v>9.4267230000000009</v>
      </c>
      <c r="O927" s="16">
        <v>5.2781830000000003</v>
      </c>
      <c r="P927" s="17">
        <v>8.8380480000000006</v>
      </c>
      <c r="Q927" s="17">
        <v>10.03838</v>
      </c>
      <c r="R927" s="17">
        <v>6.2100460000000002</v>
      </c>
      <c r="S927" s="17">
        <v>12.9542</v>
      </c>
      <c r="AP927" s="35"/>
      <c r="AQ927" s="35"/>
      <c r="AR927" s="35"/>
      <c r="AS927" s="35"/>
    </row>
    <row r="928" spans="2:45" x14ac:dyDescent="0.2">
      <c r="B928" s="2">
        <v>43480.96707175926</v>
      </c>
      <c r="C928" s="5">
        <f t="shared" si="97"/>
        <v>5.1666664600000018</v>
      </c>
      <c r="D928" s="14">
        <v>6.0518749999999999</v>
      </c>
      <c r="E928" s="14">
        <v>7.0936440000000003</v>
      </c>
      <c r="F928" s="14">
        <v>5.3363550000000002</v>
      </c>
      <c r="G928" s="14">
        <v>5.0427210000000002</v>
      </c>
      <c r="H928" s="15">
        <v>6.1869170000000002</v>
      </c>
      <c r="I928" s="15">
        <v>3.5781459999999998</v>
      </c>
      <c r="J928" s="15">
        <v>15.06625</v>
      </c>
      <c r="K928" s="15">
        <v>5.9222679999999999</v>
      </c>
      <c r="L928" s="16">
        <v>4.8785610000000004</v>
      </c>
      <c r="M928" s="16">
        <v>8.7622490000000006</v>
      </c>
      <c r="N928" s="16">
        <v>9.4267230000000009</v>
      </c>
      <c r="O928" s="16">
        <v>5.2790080000000001</v>
      </c>
      <c r="P928" s="17">
        <v>8.8393499999999996</v>
      </c>
      <c r="Q928" s="17">
        <v>10.051539999999999</v>
      </c>
      <c r="R928" s="17">
        <v>6.2109050000000003</v>
      </c>
      <c r="S928" s="17">
        <v>12.98338</v>
      </c>
      <c r="AP928" s="35"/>
      <c r="AQ928" s="35"/>
      <c r="AR928" s="35"/>
      <c r="AS928" s="35"/>
    </row>
    <row r="929" spans="2:45" x14ac:dyDescent="0.2">
      <c r="B929" s="2">
        <v>43480.970543981479</v>
      </c>
      <c r="C929" s="5">
        <f t="shared" si="97"/>
        <v>5.2499997900000022</v>
      </c>
      <c r="D929" s="14">
        <v>6.0518749999999999</v>
      </c>
      <c r="E929" s="14">
        <v>7.0954730000000001</v>
      </c>
      <c r="F929" s="14">
        <v>5.3363550000000002</v>
      </c>
      <c r="G929" s="14">
        <v>5.0427210000000002</v>
      </c>
      <c r="H929" s="15">
        <v>6.1926389999999998</v>
      </c>
      <c r="I929" s="15">
        <v>3.5781459999999998</v>
      </c>
      <c r="J929" s="15">
        <v>15.082850000000001</v>
      </c>
      <c r="K929" s="15">
        <v>5.9272369999999999</v>
      </c>
      <c r="L929" s="16">
        <v>4.8785610000000004</v>
      </c>
      <c r="M929" s="16">
        <v>8.7716899999999995</v>
      </c>
      <c r="N929" s="16">
        <v>9.4267230000000009</v>
      </c>
      <c r="O929" s="16">
        <v>5.2818690000000004</v>
      </c>
      <c r="P929" s="17">
        <v>8.8493630000000003</v>
      </c>
      <c r="Q929" s="17">
        <v>10.0647</v>
      </c>
      <c r="R929" s="17">
        <v>6.2117630000000004</v>
      </c>
      <c r="S929" s="17">
        <v>13.01257</v>
      </c>
      <c r="AP929" s="35"/>
      <c r="AQ929" s="35"/>
      <c r="AR929" s="35"/>
      <c r="AS929" s="35"/>
    </row>
    <row r="930" spans="2:45" x14ac:dyDescent="0.2">
      <c r="B930" s="2">
        <v>43480.974016203705</v>
      </c>
      <c r="C930" s="5">
        <f t="shared" si="97"/>
        <v>5.3333331200000025</v>
      </c>
      <c r="D930" s="14">
        <v>6.0518749999999999</v>
      </c>
      <c r="E930" s="14">
        <v>7.0974760000000003</v>
      </c>
      <c r="F930" s="14">
        <v>5.3363550000000002</v>
      </c>
      <c r="G930" s="14">
        <v>5.0427210000000002</v>
      </c>
      <c r="H930" s="15">
        <v>6.1983610000000002</v>
      </c>
      <c r="I930" s="15">
        <v>3.5781459999999998</v>
      </c>
      <c r="J930" s="15">
        <v>15.09944</v>
      </c>
      <c r="K930" s="15">
        <v>5.9280290000000004</v>
      </c>
      <c r="L930" s="16">
        <v>4.8785610000000004</v>
      </c>
      <c r="M930" s="16">
        <v>8.7811319999999995</v>
      </c>
      <c r="N930" s="16">
        <v>9.4267230000000009</v>
      </c>
      <c r="O930" s="16">
        <v>5.2847299999999997</v>
      </c>
      <c r="P930" s="17">
        <v>8.8593770000000003</v>
      </c>
      <c r="Q930" s="17">
        <v>10.077859999999999</v>
      </c>
      <c r="R930" s="17">
        <v>6.2126210000000004</v>
      </c>
      <c r="S930" s="17">
        <v>13.04175</v>
      </c>
      <c r="AP930" s="35"/>
      <c r="AQ930" s="35"/>
      <c r="AR930" s="35"/>
      <c r="AS930" s="35"/>
    </row>
    <row r="931" spans="2:45" x14ac:dyDescent="0.2">
      <c r="B931" s="2">
        <v>43480.977488425924</v>
      </c>
      <c r="C931" s="5">
        <f t="shared" si="97"/>
        <v>5.4166664500000028</v>
      </c>
      <c r="D931" s="14">
        <v>6.0518749999999999</v>
      </c>
      <c r="E931" s="14">
        <v>7.0994789999999997</v>
      </c>
      <c r="F931" s="14">
        <v>5.3363550000000002</v>
      </c>
      <c r="G931" s="14">
        <v>5.0427210000000002</v>
      </c>
      <c r="H931" s="15">
        <v>6.2041120000000003</v>
      </c>
      <c r="I931" s="15">
        <v>3.5781459999999998</v>
      </c>
      <c r="J931" s="15">
        <v>15.11604</v>
      </c>
      <c r="K931" s="15">
        <v>5.9456239999999996</v>
      </c>
      <c r="L931" s="16">
        <v>4.8785610000000004</v>
      </c>
      <c r="M931" s="16">
        <v>8.7905730000000002</v>
      </c>
      <c r="N931" s="16">
        <v>9.4267230000000009</v>
      </c>
      <c r="O931" s="16">
        <v>5.2875909999999999</v>
      </c>
      <c r="P931" s="17">
        <v>8.8693899999999992</v>
      </c>
      <c r="Q931" s="17">
        <v>10.09102</v>
      </c>
      <c r="R931" s="17">
        <v>6.2134799999999997</v>
      </c>
      <c r="S931" s="17">
        <v>13.070930000000001</v>
      </c>
      <c r="AP931" s="35"/>
      <c r="AQ931" s="35"/>
      <c r="AR931" s="35"/>
      <c r="AS931" s="35"/>
    </row>
    <row r="932" spans="2:45" x14ac:dyDescent="0.2">
      <c r="B932" s="2">
        <v>43480.98096064815</v>
      </c>
      <c r="C932" s="5">
        <f t="shared" si="97"/>
        <v>5.4999997800000031</v>
      </c>
      <c r="D932" s="14">
        <v>6.0518749999999999</v>
      </c>
      <c r="E932" s="14">
        <v>7.1014809999999997</v>
      </c>
      <c r="F932" s="14">
        <v>5.3363550000000002</v>
      </c>
      <c r="G932" s="14">
        <v>5.0427210000000002</v>
      </c>
      <c r="H932" s="15">
        <v>6.2041120000000003</v>
      </c>
      <c r="I932" s="15">
        <v>3.5781459999999998</v>
      </c>
      <c r="J932" s="15">
        <v>15.132630000000001</v>
      </c>
      <c r="K932" s="15">
        <v>5.9632199999999997</v>
      </c>
      <c r="L932" s="16">
        <v>4.8785610000000004</v>
      </c>
      <c r="M932" s="16">
        <v>8.8000139999999991</v>
      </c>
      <c r="N932" s="16">
        <v>9.4267230000000009</v>
      </c>
      <c r="O932" s="16">
        <v>5.2904520000000002</v>
      </c>
      <c r="P932" s="17">
        <v>8.8794039999999992</v>
      </c>
      <c r="Q932" s="17">
        <v>10.104179999999999</v>
      </c>
      <c r="R932" s="17">
        <v>6.2143379999999997</v>
      </c>
      <c r="S932" s="17">
        <v>13.100110000000001</v>
      </c>
      <c r="AP932" s="35"/>
      <c r="AQ932" s="35"/>
      <c r="AR932" s="35"/>
      <c r="AS932" s="35"/>
    </row>
    <row r="933" spans="2:45" x14ac:dyDescent="0.2">
      <c r="B933" s="2">
        <v>43480.984432870369</v>
      </c>
      <c r="C933" s="5">
        <f t="shared" si="97"/>
        <v>5.5833331100000034</v>
      </c>
      <c r="D933" s="14">
        <v>6.0518749999999999</v>
      </c>
      <c r="E933" s="14">
        <v>7.1034839999999999</v>
      </c>
      <c r="F933" s="14">
        <v>5.3363550000000002</v>
      </c>
      <c r="G933" s="14">
        <v>5.0427210000000002</v>
      </c>
      <c r="H933" s="15">
        <v>6.2041120000000003</v>
      </c>
      <c r="I933" s="15">
        <v>3.5781459999999998</v>
      </c>
      <c r="J933" s="15">
        <v>15.14922</v>
      </c>
      <c r="K933" s="15">
        <v>5.9808149999999998</v>
      </c>
      <c r="L933" s="16">
        <v>4.8785610000000004</v>
      </c>
      <c r="M933" s="16">
        <v>8.8094560000000008</v>
      </c>
      <c r="N933" s="16">
        <v>9.4267230000000009</v>
      </c>
      <c r="O933" s="16">
        <v>5.2933139999999996</v>
      </c>
      <c r="P933" s="17">
        <v>8.8894179999999992</v>
      </c>
      <c r="Q933" s="17">
        <v>10.11734</v>
      </c>
      <c r="R933" s="17">
        <v>6.2151959999999997</v>
      </c>
      <c r="S933" s="17">
        <v>13.129300000000001</v>
      </c>
      <c r="AP933" s="35"/>
      <c r="AQ933" s="35"/>
      <c r="AR933" s="35"/>
      <c r="AS933" s="35"/>
    </row>
    <row r="934" spans="2:45" x14ac:dyDescent="0.2">
      <c r="B934" s="2">
        <v>43480.987905092596</v>
      </c>
      <c r="C934" s="5">
        <f t="shared" si="97"/>
        <v>5.6666664400000037</v>
      </c>
      <c r="D934" s="14">
        <v>6.0518749999999999</v>
      </c>
      <c r="E934" s="14">
        <v>7.1054870000000001</v>
      </c>
      <c r="F934" s="14">
        <v>5.3363550000000002</v>
      </c>
      <c r="G934" s="14">
        <v>5.0427210000000002</v>
      </c>
      <c r="H934" s="15">
        <v>6.2041120000000003</v>
      </c>
      <c r="I934" s="15">
        <v>3.5781459999999998</v>
      </c>
      <c r="J934" s="15">
        <v>15.16582</v>
      </c>
      <c r="K934" s="15">
        <v>5.9984099999999998</v>
      </c>
      <c r="L934" s="16">
        <v>4.8785610000000004</v>
      </c>
      <c r="M934" s="16">
        <v>8.8188969999999998</v>
      </c>
      <c r="N934" s="16">
        <v>9.4267230000000009</v>
      </c>
      <c r="O934" s="16">
        <v>5.2961749999999999</v>
      </c>
      <c r="P934" s="17">
        <v>8.8994309999999999</v>
      </c>
      <c r="Q934" s="17">
        <v>10.1305</v>
      </c>
      <c r="R934" s="17">
        <v>6.2160539999999997</v>
      </c>
      <c r="S934" s="17">
        <v>13.158480000000001</v>
      </c>
      <c r="AP934" s="35"/>
      <c r="AQ934" s="35"/>
      <c r="AR934" s="35"/>
      <c r="AS934" s="35"/>
    </row>
    <row r="935" spans="2:45" x14ac:dyDescent="0.2">
      <c r="B935" s="2">
        <v>43480.991377314815</v>
      </c>
      <c r="C935" s="5">
        <f t="shared" si="97"/>
        <v>5.7499997700000041</v>
      </c>
      <c r="D935" s="14">
        <v>6.0518749999999999</v>
      </c>
      <c r="E935" s="14">
        <v>7.1074900000000003</v>
      </c>
      <c r="F935" s="14">
        <v>5.3363550000000002</v>
      </c>
      <c r="G935" s="14">
        <v>5.0427210000000002</v>
      </c>
      <c r="H935" s="15">
        <v>6.2041120000000003</v>
      </c>
      <c r="I935" s="15">
        <v>3.5781459999999998</v>
      </c>
      <c r="J935" s="15">
        <v>15.182410000000001</v>
      </c>
      <c r="K935" s="15">
        <v>6.016006</v>
      </c>
      <c r="L935" s="16">
        <v>4.8785610000000004</v>
      </c>
      <c r="M935" s="16">
        <v>8.8283389999999997</v>
      </c>
      <c r="N935" s="16">
        <v>9.4267230000000009</v>
      </c>
      <c r="O935" s="16">
        <v>5.2990360000000001</v>
      </c>
      <c r="P935" s="17">
        <v>8.9094449999999998</v>
      </c>
      <c r="Q935" s="17">
        <v>10.143660000000001</v>
      </c>
      <c r="R935" s="17">
        <v>6.2169129999999999</v>
      </c>
      <c r="S935" s="17">
        <v>13.187659999999999</v>
      </c>
      <c r="AP935" s="35"/>
      <c r="AQ935" s="35"/>
      <c r="AR935" s="35"/>
      <c r="AS935" s="35"/>
    </row>
    <row r="936" spans="2:45" x14ac:dyDescent="0.2">
      <c r="B936" s="2">
        <v>43480.994849537034</v>
      </c>
      <c r="C936" s="5">
        <f t="shared" si="97"/>
        <v>5.8333331000000044</v>
      </c>
      <c r="D936" s="14">
        <v>6.0518749999999999</v>
      </c>
      <c r="E936" s="14">
        <v>7.1094920000000004</v>
      </c>
      <c r="F936" s="14">
        <v>5.3363550000000002</v>
      </c>
      <c r="G936" s="14">
        <v>5.0427210000000002</v>
      </c>
      <c r="H936" s="15">
        <v>6.2041120000000003</v>
      </c>
      <c r="I936" s="15">
        <v>3.5781459999999998</v>
      </c>
      <c r="J936" s="15">
        <v>15.199009999999999</v>
      </c>
      <c r="K936" s="15">
        <v>6.033601</v>
      </c>
      <c r="L936" s="16">
        <v>4.8785610000000004</v>
      </c>
      <c r="M936" s="16">
        <v>8.8377800000000004</v>
      </c>
      <c r="N936" s="16">
        <v>9.4267230000000009</v>
      </c>
      <c r="O936" s="16">
        <v>5.3018970000000003</v>
      </c>
      <c r="P936" s="17">
        <v>8.9194580000000006</v>
      </c>
      <c r="Q936" s="17">
        <v>10.15682</v>
      </c>
      <c r="R936" s="17">
        <v>6.2177709999999999</v>
      </c>
      <c r="S936" s="17">
        <v>13.216839999999999</v>
      </c>
      <c r="AP936" s="35"/>
      <c r="AQ936" s="35"/>
      <c r="AR936" s="35"/>
      <c r="AS936" s="35"/>
    </row>
    <row r="937" spans="2:45" x14ac:dyDescent="0.2">
      <c r="B937" s="2">
        <v>43480.99832175926</v>
      </c>
      <c r="C937" s="5">
        <f t="shared" si="97"/>
        <v>5.9166664300000047</v>
      </c>
      <c r="D937" s="14">
        <v>6.0518749999999999</v>
      </c>
      <c r="E937" s="14">
        <v>7.1114949999999997</v>
      </c>
      <c r="F937" s="14">
        <v>5.3363550000000002</v>
      </c>
      <c r="G937" s="14">
        <v>5.0427210000000002</v>
      </c>
      <c r="H937" s="15">
        <v>6.2041120000000003</v>
      </c>
      <c r="I937" s="15">
        <v>3.5781459999999998</v>
      </c>
      <c r="J937" s="15">
        <v>15.2156</v>
      </c>
      <c r="K937" s="15">
        <v>6.051196</v>
      </c>
      <c r="L937" s="16">
        <v>4.8785610000000004</v>
      </c>
      <c r="M937" s="16">
        <v>8.8472209999999993</v>
      </c>
      <c r="N937" s="16">
        <v>9.4267230000000009</v>
      </c>
      <c r="O937" s="16">
        <v>5.3047579999999996</v>
      </c>
      <c r="P937" s="17">
        <v>8.9294720000000005</v>
      </c>
      <c r="Q937" s="17">
        <v>10.169980000000001</v>
      </c>
      <c r="R937" s="17">
        <v>6.218629</v>
      </c>
      <c r="S937" s="17">
        <v>13.246029999999999</v>
      </c>
      <c r="AP937" s="35"/>
      <c r="AQ937" s="35"/>
      <c r="AR937" s="35"/>
      <c r="AS937" s="35"/>
    </row>
    <row r="938" spans="2:45" x14ac:dyDescent="0.2">
      <c r="B938" s="2">
        <v>43481.001793981479</v>
      </c>
      <c r="C938" s="5">
        <f t="shared" si="97"/>
        <v>5.999999760000005</v>
      </c>
      <c r="D938" s="14">
        <v>6.0518749999999999</v>
      </c>
      <c r="E938" s="14">
        <v>7.1134979999999999</v>
      </c>
      <c r="F938" s="14">
        <v>5.3363550000000002</v>
      </c>
      <c r="G938" s="14">
        <v>5.0427210000000002</v>
      </c>
      <c r="H938" s="15">
        <v>6.2041120000000003</v>
      </c>
      <c r="I938" s="15">
        <v>3.5781459999999998</v>
      </c>
      <c r="J938" s="15">
        <v>15.232189999999999</v>
      </c>
      <c r="K938" s="15">
        <v>6.068791</v>
      </c>
      <c r="L938" s="16">
        <v>4.8785610000000004</v>
      </c>
      <c r="M938" s="16">
        <v>8.8566629999999993</v>
      </c>
      <c r="N938" s="16">
        <v>9.4267230000000009</v>
      </c>
      <c r="O938" s="16">
        <v>5.3076189999999999</v>
      </c>
      <c r="P938" s="17">
        <v>8.9394860000000005</v>
      </c>
      <c r="Q938" s="17">
        <v>10.18314</v>
      </c>
      <c r="R938" s="17">
        <v>6.2192689999999997</v>
      </c>
      <c r="S938" s="17">
        <v>13.27521</v>
      </c>
      <c r="V938" s="25">
        <v>6</v>
      </c>
      <c r="W938">
        <f>AVERAGE(D927:D938)</f>
        <v>6.0518749999999999</v>
      </c>
      <c r="X938">
        <f t="shared" ref="X938:AL938" si="101">AVERAGE(E927:E938)</f>
        <v>7.1026785833333337</v>
      </c>
      <c r="Y938">
        <f t="shared" si="101"/>
        <v>5.3363549999999984</v>
      </c>
      <c r="Z938">
        <f t="shared" si="101"/>
        <v>5.0427210000000002</v>
      </c>
      <c r="AA938">
        <f t="shared" si="101"/>
        <v>6.1995509166666674</v>
      </c>
      <c r="AB938">
        <f t="shared" si="101"/>
        <v>3.5781459999999989</v>
      </c>
      <c r="AC938">
        <f t="shared" si="101"/>
        <v>15.140926666666665</v>
      </c>
      <c r="AD938">
        <f t="shared" si="101"/>
        <v>5.9793834166666668</v>
      </c>
      <c r="AE938">
        <f t="shared" si="101"/>
        <v>4.8785609999999995</v>
      </c>
      <c r="AF938">
        <f t="shared" si="101"/>
        <v>8.8047351666666671</v>
      </c>
      <c r="AG938">
        <f t="shared" si="101"/>
        <v>9.4267229999999991</v>
      </c>
      <c r="AH938">
        <f t="shared" si="101"/>
        <v>5.2920526666666676</v>
      </c>
      <c r="AI938">
        <f t="shared" si="101"/>
        <v>8.885136833333334</v>
      </c>
      <c r="AJ938">
        <f t="shared" si="101"/>
        <v>10.110759999999999</v>
      </c>
      <c r="AK938">
        <f t="shared" si="101"/>
        <v>6.2147487499999992</v>
      </c>
      <c r="AL938">
        <f t="shared" si="101"/>
        <v>13.114704999999999</v>
      </c>
      <c r="AO938" s="25">
        <v>6</v>
      </c>
      <c r="AP938" s="35">
        <f>AVERAGE(W938:Z938)</f>
        <v>5.8834073958333333</v>
      </c>
      <c r="AQ938" s="35">
        <f>AVERAGE(AA938:AD938)</f>
        <v>7.7245017499999999</v>
      </c>
      <c r="AR938" s="35">
        <f>AVERAGE(AE938:AH938)</f>
        <v>7.1005179583333335</v>
      </c>
      <c r="AS938" s="35">
        <f>AVERAGE(AI938:AL938)</f>
        <v>9.581337645833333</v>
      </c>
    </row>
    <row r="939" spans="2:45" x14ac:dyDescent="0.2">
      <c r="B939" s="2">
        <v>43481.005266203705</v>
      </c>
      <c r="C939" s="5">
        <f t="shared" si="97"/>
        <v>6.0833330900000053</v>
      </c>
      <c r="D939" s="14">
        <v>6.0518749999999999</v>
      </c>
      <c r="E939" s="14">
        <v>7.1154999999999999</v>
      </c>
      <c r="F939" s="14">
        <v>5.3363550000000002</v>
      </c>
      <c r="G939" s="14">
        <v>5.0427210000000002</v>
      </c>
      <c r="H939" s="15">
        <v>6.2041120000000003</v>
      </c>
      <c r="I939" s="15">
        <v>3.5781459999999998</v>
      </c>
      <c r="J939" s="15">
        <v>15.24879</v>
      </c>
      <c r="K939" s="15">
        <v>6.0863870000000002</v>
      </c>
      <c r="L939" s="16">
        <v>4.8785610000000004</v>
      </c>
      <c r="M939" s="16">
        <v>8.866104</v>
      </c>
      <c r="N939" s="16">
        <v>9.4267230000000009</v>
      </c>
      <c r="O939" s="16">
        <v>5.3104800000000001</v>
      </c>
      <c r="P939" s="17">
        <v>8.9494989999999994</v>
      </c>
      <c r="Q939" s="17">
        <v>10.19631</v>
      </c>
      <c r="R939" s="17">
        <v>6.2192689999999997</v>
      </c>
      <c r="S939" s="17">
        <v>13.30439</v>
      </c>
      <c r="AP939" s="35"/>
      <c r="AQ939" s="35"/>
      <c r="AR939" s="35"/>
      <c r="AS939" s="35"/>
    </row>
    <row r="940" spans="2:45" x14ac:dyDescent="0.2">
      <c r="B940" s="2">
        <v>43481.008738425924</v>
      </c>
      <c r="C940" s="5">
        <f t="shared" si="97"/>
        <v>6.1666664200000056</v>
      </c>
      <c r="D940" s="14">
        <v>6.0518749999999999</v>
      </c>
      <c r="E940" s="14">
        <v>7.1175030000000001</v>
      </c>
      <c r="F940" s="14">
        <v>5.3363550000000002</v>
      </c>
      <c r="G940" s="14">
        <v>5.0427210000000002</v>
      </c>
      <c r="H940" s="15">
        <v>6.2041120000000003</v>
      </c>
      <c r="I940" s="15">
        <v>3.5781459999999998</v>
      </c>
      <c r="J940" s="15">
        <v>15.26538</v>
      </c>
      <c r="K940" s="15">
        <v>6.1039820000000002</v>
      </c>
      <c r="L940" s="16">
        <v>4.8785610000000004</v>
      </c>
      <c r="M940" s="16">
        <v>8.8755459999999999</v>
      </c>
      <c r="N940" s="16">
        <v>9.4267230000000009</v>
      </c>
      <c r="O940" s="16">
        <v>5.3133410000000003</v>
      </c>
      <c r="P940" s="17">
        <v>8.9595129999999994</v>
      </c>
      <c r="Q940" s="17">
        <v>10.20947</v>
      </c>
      <c r="R940" s="17">
        <v>6.2192689999999997</v>
      </c>
      <c r="S940" s="17">
        <v>13.33357</v>
      </c>
      <c r="AP940" s="35"/>
      <c r="AQ940" s="35"/>
      <c r="AR940" s="35"/>
      <c r="AS940" s="35"/>
    </row>
    <row r="941" spans="2:45" x14ac:dyDescent="0.2">
      <c r="B941" s="2">
        <v>43481.01221064815</v>
      </c>
      <c r="C941" s="5">
        <f t="shared" si="97"/>
        <v>6.249999750000006</v>
      </c>
      <c r="D941" s="14">
        <v>6.0518749999999999</v>
      </c>
      <c r="E941" s="14">
        <v>7.1195060000000003</v>
      </c>
      <c r="F941" s="14">
        <v>5.3363550000000002</v>
      </c>
      <c r="G941" s="14">
        <v>5.0427210000000002</v>
      </c>
      <c r="H941" s="15">
        <v>6.2041120000000003</v>
      </c>
      <c r="I941" s="15">
        <v>3.5781459999999998</v>
      </c>
      <c r="J941" s="15">
        <v>15.281980000000001</v>
      </c>
      <c r="K941" s="15">
        <v>6.1215770000000003</v>
      </c>
      <c r="L941" s="16">
        <v>4.8785610000000004</v>
      </c>
      <c r="M941" s="16">
        <v>8.8849870000000006</v>
      </c>
      <c r="N941" s="16">
        <v>9.4267230000000009</v>
      </c>
      <c r="O941" s="16">
        <v>5.3162019999999997</v>
      </c>
      <c r="P941" s="17">
        <v>8.9695260000000001</v>
      </c>
      <c r="Q941" s="17">
        <v>10.222630000000001</v>
      </c>
      <c r="R941" s="17">
        <v>6.2192689999999997</v>
      </c>
      <c r="S941" s="17">
        <v>13.36276</v>
      </c>
      <c r="AP941" s="35"/>
      <c r="AQ941" s="35"/>
      <c r="AR941" s="35"/>
      <c r="AS941" s="35"/>
    </row>
    <row r="942" spans="2:45" x14ac:dyDescent="0.2">
      <c r="B942" s="2">
        <v>43481.015682870369</v>
      </c>
      <c r="C942" s="5">
        <f t="shared" si="97"/>
        <v>6.3333330800000063</v>
      </c>
      <c r="D942" s="14">
        <v>6.0518749999999999</v>
      </c>
      <c r="E942" s="14">
        <v>7.1215089999999996</v>
      </c>
      <c r="F942" s="14">
        <v>5.3363550000000002</v>
      </c>
      <c r="G942" s="14">
        <v>5.0427210000000002</v>
      </c>
      <c r="H942" s="15">
        <v>6.2041120000000003</v>
      </c>
      <c r="I942" s="15">
        <v>3.5781459999999998</v>
      </c>
      <c r="J942" s="15">
        <v>15.29857</v>
      </c>
      <c r="K942" s="15">
        <v>6.1391730000000004</v>
      </c>
      <c r="L942" s="16">
        <v>4.8785610000000004</v>
      </c>
      <c r="M942" s="16">
        <v>8.8944279999999996</v>
      </c>
      <c r="N942" s="16">
        <v>9.4267230000000009</v>
      </c>
      <c r="O942" s="16">
        <v>5.3190629999999999</v>
      </c>
      <c r="P942" s="17">
        <v>8.9795400000000001</v>
      </c>
      <c r="Q942" s="17">
        <v>10.23579</v>
      </c>
      <c r="R942" s="17">
        <v>6.2192689999999997</v>
      </c>
      <c r="S942" s="17">
        <v>13.39194</v>
      </c>
      <c r="AP942" s="35"/>
      <c r="AQ942" s="35"/>
      <c r="AR942" s="35"/>
      <c r="AS942" s="35"/>
    </row>
    <row r="943" spans="2:45" x14ac:dyDescent="0.2">
      <c r="B943" s="2">
        <v>43481.019155092596</v>
      </c>
      <c r="C943" s="5">
        <f t="shared" si="97"/>
        <v>6.4166664100000066</v>
      </c>
      <c r="D943" s="14">
        <v>6.0518749999999999</v>
      </c>
      <c r="E943" s="14">
        <v>7.1235109999999997</v>
      </c>
      <c r="F943" s="14">
        <v>5.3363550000000002</v>
      </c>
      <c r="G943" s="14">
        <v>5.0427210000000002</v>
      </c>
      <c r="H943" s="15">
        <v>6.2041120000000003</v>
      </c>
      <c r="I943" s="15">
        <v>3.5781459999999998</v>
      </c>
      <c r="J943" s="15">
        <v>15.315160000000001</v>
      </c>
      <c r="K943" s="15">
        <v>6.1567679999999996</v>
      </c>
      <c r="L943" s="16">
        <v>4.8785610000000004</v>
      </c>
      <c r="M943" s="16">
        <v>8.8974019999999996</v>
      </c>
      <c r="N943" s="16">
        <v>9.4267230000000009</v>
      </c>
      <c r="O943" s="16">
        <v>5.3219240000000001</v>
      </c>
      <c r="P943" s="17">
        <v>8.9895530000000008</v>
      </c>
      <c r="Q943" s="17">
        <v>10.248950000000001</v>
      </c>
      <c r="R943" s="17">
        <v>6.22295</v>
      </c>
      <c r="S943" s="17">
        <v>13.42112</v>
      </c>
      <c r="AP943" s="35"/>
      <c r="AQ943" s="35"/>
      <c r="AR943" s="35"/>
      <c r="AS943" s="35"/>
    </row>
    <row r="944" spans="2:45" x14ac:dyDescent="0.2">
      <c r="B944" s="2">
        <v>43481.022627314815</v>
      </c>
      <c r="C944" s="5">
        <f t="shared" si="97"/>
        <v>6.4999997400000069</v>
      </c>
      <c r="D944" s="14">
        <v>6.0518749999999999</v>
      </c>
      <c r="E944" s="14">
        <v>7.1255139999999999</v>
      </c>
      <c r="F944" s="14">
        <v>5.3363550000000002</v>
      </c>
      <c r="G944" s="14">
        <v>5.0427210000000002</v>
      </c>
      <c r="H944" s="15">
        <v>6.2041120000000003</v>
      </c>
      <c r="I944" s="15">
        <v>3.5781459999999998</v>
      </c>
      <c r="J944" s="15">
        <v>15.331759999999999</v>
      </c>
      <c r="K944" s="15">
        <v>6.1743629999999996</v>
      </c>
      <c r="L944" s="16">
        <v>4.8785610000000004</v>
      </c>
      <c r="M944" s="16">
        <v>8.8989899999999995</v>
      </c>
      <c r="N944" s="16">
        <v>9.4267230000000009</v>
      </c>
      <c r="O944" s="16">
        <v>5.3247850000000003</v>
      </c>
      <c r="P944" s="17">
        <v>8.9995670000000008</v>
      </c>
      <c r="Q944" s="17">
        <v>10.26211</v>
      </c>
      <c r="R944" s="17">
        <v>6.2233749999999999</v>
      </c>
      <c r="S944" s="17">
        <v>13.4503</v>
      </c>
      <c r="AP944" s="35"/>
      <c r="AQ944" s="35"/>
      <c r="AR944" s="35"/>
      <c r="AS944" s="35"/>
    </row>
    <row r="945" spans="2:45" x14ac:dyDescent="0.2">
      <c r="B945" s="2">
        <v>43481.026099537034</v>
      </c>
      <c r="C945" s="5">
        <f t="shared" si="97"/>
        <v>6.5833330700000072</v>
      </c>
      <c r="D945" s="14">
        <v>6.0518749999999999</v>
      </c>
      <c r="E945" s="14">
        <v>7.1275170000000001</v>
      </c>
      <c r="F945" s="14">
        <v>5.3363550000000002</v>
      </c>
      <c r="G945" s="14">
        <v>5.0427210000000002</v>
      </c>
      <c r="H945" s="15">
        <v>6.2049979999999998</v>
      </c>
      <c r="I945" s="15">
        <v>3.5781459999999998</v>
      </c>
      <c r="J945" s="15">
        <v>15.34835</v>
      </c>
      <c r="K945" s="15">
        <v>6.1919579999999996</v>
      </c>
      <c r="L945" s="16">
        <v>4.8785610000000004</v>
      </c>
      <c r="M945" s="16">
        <v>8.9018510000000006</v>
      </c>
      <c r="N945" s="16">
        <v>9.4267230000000009</v>
      </c>
      <c r="O945" s="16">
        <v>5.3276459999999997</v>
      </c>
      <c r="P945" s="17">
        <v>9.0095810000000007</v>
      </c>
      <c r="Q945" s="17">
        <v>10.275270000000001</v>
      </c>
      <c r="R945" s="17">
        <v>6.2240909999999996</v>
      </c>
      <c r="S945" s="17">
        <v>13.47949</v>
      </c>
      <c r="AP945" s="35"/>
      <c r="AQ945" s="35"/>
      <c r="AR945" s="35"/>
      <c r="AS945" s="35"/>
    </row>
    <row r="946" spans="2:45" x14ac:dyDescent="0.2">
      <c r="B946" s="2">
        <v>43481.02957175926</v>
      </c>
      <c r="C946" s="5">
        <f t="shared" si="97"/>
        <v>6.6666664000000075</v>
      </c>
      <c r="D946" s="14">
        <v>6.0518749999999999</v>
      </c>
      <c r="E946" s="14">
        <v>7.1295190000000002</v>
      </c>
      <c r="F946" s="14">
        <v>5.3363550000000002</v>
      </c>
      <c r="G946" s="14">
        <v>5.0427210000000002</v>
      </c>
      <c r="H946" s="15">
        <v>6.2059990000000003</v>
      </c>
      <c r="I946" s="15">
        <v>3.5781459999999998</v>
      </c>
      <c r="J946" s="15">
        <v>15.36495</v>
      </c>
      <c r="K946" s="15">
        <v>6.2095539999999998</v>
      </c>
      <c r="L946" s="16">
        <v>4.8785610000000004</v>
      </c>
      <c r="M946" s="16">
        <v>8.904712</v>
      </c>
      <c r="N946" s="16">
        <v>9.4267230000000009</v>
      </c>
      <c r="O946" s="16">
        <v>5.3305069999999999</v>
      </c>
      <c r="P946" s="17">
        <v>9.0148879999999991</v>
      </c>
      <c r="Q946" s="17">
        <v>10.28843</v>
      </c>
      <c r="R946" s="17">
        <v>6.2248060000000001</v>
      </c>
      <c r="S946" s="17">
        <v>13.50867</v>
      </c>
      <c r="AP946" s="35"/>
      <c r="AQ946" s="35"/>
      <c r="AR946" s="35"/>
      <c r="AS946" s="35"/>
    </row>
    <row r="947" spans="2:45" x14ac:dyDescent="0.2">
      <c r="B947" s="2">
        <v>43481.033043981479</v>
      </c>
      <c r="C947" s="5">
        <f t="shared" si="97"/>
        <v>6.7499997300000079</v>
      </c>
      <c r="D947" s="14">
        <v>6.0518749999999999</v>
      </c>
      <c r="E947" s="14">
        <v>7.1312550000000003</v>
      </c>
      <c r="F947" s="14">
        <v>5.3363550000000002</v>
      </c>
      <c r="G947" s="14">
        <v>5.0427210000000002</v>
      </c>
      <c r="H947" s="15">
        <v>6.207001</v>
      </c>
      <c r="I947" s="15">
        <v>3.5781459999999998</v>
      </c>
      <c r="J947" s="15">
        <v>15.381539999999999</v>
      </c>
      <c r="K947" s="15">
        <v>6.2271489999999998</v>
      </c>
      <c r="L947" s="16">
        <v>4.8785610000000004</v>
      </c>
      <c r="M947" s="16">
        <v>8.9075729999999993</v>
      </c>
      <c r="N947" s="16">
        <v>9.4267230000000009</v>
      </c>
      <c r="O947" s="16">
        <v>5.3333680000000001</v>
      </c>
      <c r="P947" s="17">
        <v>9.0148879999999991</v>
      </c>
      <c r="Q947" s="17">
        <v>10.301589999999999</v>
      </c>
      <c r="R947" s="17">
        <v>6.2255209999999996</v>
      </c>
      <c r="S947" s="17">
        <v>13.537850000000001</v>
      </c>
      <c r="AP947" s="35"/>
      <c r="AQ947" s="35"/>
      <c r="AR947" s="35"/>
      <c r="AS947" s="35"/>
    </row>
    <row r="948" spans="2:45" x14ac:dyDescent="0.2">
      <c r="B948" s="2">
        <v>43481.036516203705</v>
      </c>
      <c r="C948" s="5">
        <f t="shared" si="97"/>
        <v>6.8333330600000082</v>
      </c>
      <c r="D948" s="14">
        <v>6.0518749999999999</v>
      </c>
      <c r="E948" s="14">
        <v>7.1312550000000003</v>
      </c>
      <c r="F948" s="14">
        <v>5.3363550000000002</v>
      </c>
      <c r="G948" s="14">
        <v>5.0427210000000002</v>
      </c>
      <c r="H948" s="15">
        <v>6.2080019999999996</v>
      </c>
      <c r="I948" s="15">
        <v>3.5781459999999998</v>
      </c>
      <c r="J948" s="15">
        <v>15.39813</v>
      </c>
      <c r="K948" s="15">
        <v>6.229641</v>
      </c>
      <c r="L948" s="16">
        <v>4.8785610000000004</v>
      </c>
      <c r="M948" s="16">
        <v>8.9104340000000004</v>
      </c>
      <c r="N948" s="16">
        <v>9.4267230000000009</v>
      </c>
      <c r="O948" s="16">
        <v>5.3362290000000003</v>
      </c>
      <c r="P948" s="17">
        <v>9.0148879999999991</v>
      </c>
      <c r="Q948" s="17">
        <v>10.312110000000001</v>
      </c>
      <c r="R948" s="17">
        <v>6.2262360000000001</v>
      </c>
      <c r="S948" s="17">
        <v>13.567030000000001</v>
      </c>
      <c r="AP948" s="35"/>
      <c r="AQ948" s="35"/>
      <c r="AR948" s="35"/>
      <c r="AS948" s="35"/>
    </row>
    <row r="949" spans="2:45" x14ac:dyDescent="0.2">
      <c r="B949" s="2">
        <v>43481.039988425924</v>
      </c>
      <c r="C949" s="5">
        <f t="shared" si="97"/>
        <v>6.9166663900000085</v>
      </c>
      <c r="D949" s="14">
        <v>6.0518749999999999</v>
      </c>
      <c r="E949" s="14">
        <v>7.1312550000000003</v>
      </c>
      <c r="F949" s="14">
        <v>5.3363550000000002</v>
      </c>
      <c r="G949" s="14">
        <v>5.0427210000000002</v>
      </c>
      <c r="H949" s="15">
        <v>6.209003</v>
      </c>
      <c r="I949" s="15">
        <v>3.5781459999999998</v>
      </c>
      <c r="J949" s="15">
        <v>15.41473</v>
      </c>
      <c r="K949" s="15">
        <v>6.231147</v>
      </c>
      <c r="L949" s="16">
        <v>4.8785610000000004</v>
      </c>
      <c r="M949" s="16">
        <v>8.9132949999999997</v>
      </c>
      <c r="N949" s="16">
        <v>9.4267230000000009</v>
      </c>
      <c r="O949" s="16">
        <v>5.3390899999999997</v>
      </c>
      <c r="P949" s="17">
        <v>9.0148879999999991</v>
      </c>
      <c r="Q949" s="17">
        <v>10.36618</v>
      </c>
      <c r="R949" s="17">
        <v>6.2269519999999998</v>
      </c>
      <c r="S949" s="17">
        <v>13.596220000000001</v>
      </c>
      <c r="AP949" s="35"/>
      <c r="AQ949" s="35"/>
      <c r="AR949" s="35"/>
      <c r="AS949" s="35"/>
    </row>
    <row r="950" spans="2:45" x14ac:dyDescent="0.2">
      <c r="B950" s="2">
        <v>43481.04346064815</v>
      </c>
      <c r="C950" s="5">
        <f t="shared" si="97"/>
        <v>6.9999997200000088</v>
      </c>
      <c r="D950" s="14">
        <v>6.0518749999999999</v>
      </c>
      <c r="E950" s="14">
        <v>7.1312550000000003</v>
      </c>
      <c r="F950" s="14">
        <v>5.3363550000000002</v>
      </c>
      <c r="G950" s="14">
        <v>5.0427210000000002</v>
      </c>
      <c r="H950" s="15">
        <v>6.2100049999999998</v>
      </c>
      <c r="I950" s="15">
        <v>3.5781459999999998</v>
      </c>
      <c r="J950" s="15">
        <v>15.431319999999999</v>
      </c>
      <c r="K950" s="15">
        <v>6.2331500000000002</v>
      </c>
      <c r="L950" s="16">
        <v>4.8785610000000004</v>
      </c>
      <c r="M950" s="16">
        <v>8.9161560000000009</v>
      </c>
      <c r="N950" s="16">
        <v>9.4267230000000009</v>
      </c>
      <c r="O950" s="16">
        <v>5.3419509999999999</v>
      </c>
      <c r="P950" s="17">
        <v>9.0148879999999991</v>
      </c>
      <c r="Q950" s="17">
        <v>10.420260000000001</v>
      </c>
      <c r="R950" s="17">
        <v>6.2276670000000003</v>
      </c>
      <c r="S950" s="17">
        <v>13.625400000000001</v>
      </c>
      <c r="V950" s="25">
        <v>7</v>
      </c>
      <c r="W950">
        <f>AVERAGE(D939:D950)</f>
        <v>6.0518749999999999</v>
      </c>
      <c r="X950">
        <f t="shared" ref="X950:AL950" si="102">AVERAGE(E939:E950)</f>
        <v>7.1254249166666659</v>
      </c>
      <c r="Y950">
        <f t="shared" si="102"/>
        <v>5.3363549999999984</v>
      </c>
      <c r="Z950">
        <f t="shared" si="102"/>
        <v>5.0427210000000002</v>
      </c>
      <c r="AA950">
        <f t="shared" si="102"/>
        <v>6.2058066666666667</v>
      </c>
      <c r="AB950">
        <f t="shared" si="102"/>
        <v>3.5781459999999989</v>
      </c>
      <c r="AC950">
        <f t="shared" si="102"/>
        <v>15.340055</v>
      </c>
      <c r="AD950">
        <f t="shared" si="102"/>
        <v>6.1754040833333326</v>
      </c>
      <c r="AE950">
        <f t="shared" si="102"/>
        <v>4.8785609999999995</v>
      </c>
      <c r="AF950">
        <f t="shared" si="102"/>
        <v>8.8976231666666674</v>
      </c>
      <c r="AG950">
        <f t="shared" si="102"/>
        <v>9.4267229999999991</v>
      </c>
      <c r="AH950">
        <f t="shared" si="102"/>
        <v>5.3262155</v>
      </c>
      <c r="AI950">
        <f t="shared" si="102"/>
        <v>8.9942682499999993</v>
      </c>
      <c r="AJ950">
        <f t="shared" si="102"/>
        <v>10.278258333333335</v>
      </c>
      <c r="AK950">
        <f t="shared" si="102"/>
        <v>6.2232228333333337</v>
      </c>
      <c r="AL950">
        <f t="shared" si="102"/>
        <v>13.464894999999999</v>
      </c>
      <c r="AO950" s="25">
        <v>7</v>
      </c>
      <c r="AP950" s="35">
        <f>AVERAGE(W950:Z950)</f>
        <v>5.8890939791666659</v>
      </c>
      <c r="AQ950" s="35">
        <f>AVERAGE(AA950:AD950)</f>
        <v>7.8248529374999993</v>
      </c>
      <c r="AR950" s="35">
        <f>AVERAGE(AE950:AH950)</f>
        <v>7.1322806666666665</v>
      </c>
      <c r="AS950" s="35">
        <f>AVERAGE(AI950:AL950)</f>
        <v>9.7401611041666669</v>
      </c>
    </row>
    <row r="951" spans="2:45" x14ac:dyDescent="0.2">
      <c r="B951" s="2">
        <v>43481.046932870369</v>
      </c>
      <c r="C951" s="5">
        <f t="shared" si="97"/>
        <v>7.0833330500000091</v>
      </c>
      <c r="D951" s="14">
        <v>6.0518749999999999</v>
      </c>
      <c r="E951" s="14">
        <v>7.1312550000000003</v>
      </c>
      <c r="F951" s="14">
        <v>5.3363550000000002</v>
      </c>
      <c r="G951" s="14">
        <v>5.0427210000000002</v>
      </c>
      <c r="H951" s="15">
        <v>6.2110060000000002</v>
      </c>
      <c r="I951" s="15">
        <v>3.5781459999999998</v>
      </c>
      <c r="J951" s="15">
        <v>15.44792</v>
      </c>
      <c r="K951" s="15">
        <v>6.2351520000000002</v>
      </c>
      <c r="L951" s="16">
        <v>4.8785610000000004</v>
      </c>
      <c r="M951" s="16">
        <v>8.9190170000000002</v>
      </c>
      <c r="N951" s="16">
        <v>9.4267230000000009</v>
      </c>
      <c r="O951" s="16">
        <v>5.3448120000000001</v>
      </c>
      <c r="P951" s="17">
        <v>9.0241860000000003</v>
      </c>
      <c r="Q951" s="17">
        <v>10.47433</v>
      </c>
      <c r="R951" s="17">
        <v>6.2283819999999999</v>
      </c>
      <c r="S951" s="17">
        <v>13.654579999999999</v>
      </c>
      <c r="AP951" s="35"/>
      <c r="AQ951" s="35"/>
      <c r="AR951" s="35"/>
      <c r="AS951" s="35"/>
    </row>
    <row r="952" spans="2:45" x14ac:dyDescent="0.2">
      <c r="B952" s="2">
        <v>43481.050405092596</v>
      </c>
      <c r="C952" s="5">
        <f t="shared" si="97"/>
        <v>7.1666663800000094</v>
      </c>
      <c r="D952" s="14">
        <v>6.0518749999999999</v>
      </c>
      <c r="E952" s="14">
        <v>7.1312550000000003</v>
      </c>
      <c r="F952" s="14">
        <v>5.3363550000000002</v>
      </c>
      <c r="G952" s="14">
        <v>5.0427210000000002</v>
      </c>
      <c r="H952" s="15">
        <v>6.212008</v>
      </c>
      <c r="I952" s="15">
        <v>3.5781459999999998</v>
      </c>
      <c r="J952" s="15">
        <v>15.464510000000001</v>
      </c>
      <c r="K952" s="15">
        <v>6.2371549999999996</v>
      </c>
      <c r="L952" s="16">
        <v>4.8785610000000004</v>
      </c>
      <c r="M952" s="16">
        <v>8.9218779999999995</v>
      </c>
      <c r="N952" s="16">
        <v>9.4267230000000009</v>
      </c>
      <c r="O952" s="16">
        <v>5.3476730000000003</v>
      </c>
      <c r="P952" s="17">
        <v>9.0456439999999994</v>
      </c>
      <c r="Q952" s="17">
        <v>10.5284</v>
      </c>
      <c r="R952" s="17">
        <v>6.2290970000000003</v>
      </c>
      <c r="S952" s="17">
        <v>13.683759999999999</v>
      </c>
      <c r="AP952" s="35"/>
      <c r="AQ952" s="35"/>
      <c r="AR952" s="35"/>
      <c r="AS952" s="35"/>
    </row>
    <row r="953" spans="2:45" x14ac:dyDescent="0.2">
      <c r="B953" s="2">
        <v>43481.053877314815</v>
      </c>
      <c r="C953" s="5">
        <f t="shared" si="97"/>
        <v>7.2499997100000098</v>
      </c>
      <c r="D953" s="14">
        <v>6.0518749999999999</v>
      </c>
      <c r="E953" s="14">
        <v>7.1312550000000003</v>
      </c>
      <c r="F953" s="14">
        <v>5.3363550000000002</v>
      </c>
      <c r="G953" s="14">
        <v>5.0427210000000002</v>
      </c>
      <c r="H953" s="15">
        <v>6.2130089999999996</v>
      </c>
      <c r="I953" s="15">
        <v>3.5781459999999998</v>
      </c>
      <c r="J953" s="15">
        <v>15.4811</v>
      </c>
      <c r="K953" s="15">
        <v>6.2391579999999998</v>
      </c>
      <c r="L953" s="16">
        <v>4.8785610000000004</v>
      </c>
      <c r="M953" s="16">
        <v>8.9247390000000006</v>
      </c>
      <c r="N953" s="16">
        <v>9.4267230000000009</v>
      </c>
      <c r="O953" s="16">
        <v>5.3505339999999997</v>
      </c>
      <c r="P953" s="17">
        <v>9.0671009999999992</v>
      </c>
      <c r="Q953" s="17">
        <v>10.58248</v>
      </c>
      <c r="R953" s="17">
        <v>6.229813</v>
      </c>
      <c r="S953" s="17">
        <v>13.69942</v>
      </c>
      <c r="AP953" s="35"/>
      <c r="AQ953" s="35"/>
      <c r="AR953" s="35"/>
      <c r="AS953" s="35"/>
    </row>
    <row r="954" spans="2:45" x14ac:dyDescent="0.2">
      <c r="B954" s="2">
        <v>43481.057349537034</v>
      </c>
      <c r="C954" s="5">
        <f t="shared" si="97"/>
        <v>7.3333330400000101</v>
      </c>
      <c r="D954" s="14">
        <v>6.0518749999999999</v>
      </c>
      <c r="E954" s="14">
        <v>7.1312550000000003</v>
      </c>
      <c r="F954" s="14">
        <v>5.3363550000000002</v>
      </c>
      <c r="G954" s="14">
        <v>5.0427210000000002</v>
      </c>
      <c r="H954" s="15">
        <v>6.21401</v>
      </c>
      <c r="I954" s="15">
        <v>3.5781459999999998</v>
      </c>
      <c r="J954" s="15">
        <v>15.4977</v>
      </c>
      <c r="K954" s="15">
        <v>6.2411599999999998</v>
      </c>
      <c r="L954" s="16">
        <v>4.8785610000000004</v>
      </c>
      <c r="M954" s="16">
        <v>8.9276</v>
      </c>
      <c r="N954" s="16">
        <v>9.4267230000000009</v>
      </c>
      <c r="O954" s="16">
        <v>5.3521979999999996</v>
      </c>
      <c r="P954" s="17">
        <v>9.0726089999999999</v>
      </c>
      <c r="Q954" s="17">
        <v>10.63655</v>
      </c>
      <c r="R954" s="17">
        <v>6.2305279999999996</v>
      </c>
      <c r="S954" s="17">
        <v>13.69942</v>
      </c>
      <c r="AP954" s="35"/>
      <c r="AQ954" s="35"/>
      <c r="AR954" s="35"/>
      <c r="AS954" s="35"/>
    </row>
    <row r="955" spans="2:45" x14ac:dyDescent="0.2">
      <c r="B955" s="2">
        <v>43481.06082175926</v>
      </c>
      <c r="C955" s="5">
        <f t="shared" si="97"/>
        <v>7.4166663700000104</v>
      </c>
      <c r="D955" s="14">
        <v>6.0518749999999999</v>
      </c>
      <c r="E955" s="14">
        <v>7.1312550000000003</v>
      </c>
      <c r="F955" s="14">
        <v>5.3363550000000002</v>
      </c>
      <c r="G955" s="14">
        <v>5.0427210000000002</v>
      </c>
      <c r="H955" s="15">
        <v>6.2150119999999998</v>
      </c>
      <c r="I955" s="15">
        <v>3.5781459999999998</v>
      </c>
      <c r="J955" s="15">
        <v>15.514290000000001</v>
      </c>
      <c r="K955" s="15">
        <v>6.2431460000000003</v>
      </c>
      <c r="L955" s="16">
        <v>4.8785610000000004</v>
      </c>
      <c r="M955" s="16">
        <v>8.9304609999999993</v>
      </c>
      <c r="N955" s="16">
        <v>9.4267230000000009</v>
      </c>
      <c r="O955" s="16">
        <v>5.3521979999999996</v>
      </c>
      <c r="P955" s="17">
        <v>9.0793379999999999</v>
      </c>
      <c r="Q955" s="17">
        <v>10.665749999999999</v>
      </c>
      <c r="R955" s="17">
        <v>6.2312430000000001</v>
      </c>
      <c r="S955" s="17">
        <v>13.69942</v>
      </c>
      <c r="AP955" s="35"/>
      <c r="AQ955" s="35"/>
      <c r="AR955" s="35"/>
      <c r="AS955" s="35"/>
    </row>
    <row r="956" spans="2:45" x14ac:dyDescent="0.2">
      <c r="B956" s="2">
        <v>43481.064293981479</v>
      </c>
      <c r="C956" s="5">
        <f t="shared" si="97"/>
        <v>7.4999997000000107</v>
      </c>
      <c r="D956" s="14">
        <v>6.0518749999999999</v>
      </c>
      <c r="E956" s="14">
        <v>7.1312550000000003</v>
      </c>
      <c r="F956" s="14">
        <v>5.3363550000000002</v>
      </c>
      <c r="G956" s="14">
        <v>5.0427210000000002</v>
      </c>
      <c r="H956" s="15">
        <v>6.2160130000000002</v>
      </c>
      <c r="I956" s="15">
        <v>3.5781459999999998</v>
      </c>
      <c r="J956" s="15">
        <v>15.53088</v>
      </c>
      <c r="K956" s="15">
        <v>6.2431460000000003</v>
      </c>
      <c r="L956" s="16">
        <v>4.8785610000000004</v>
      </c>
      <c r="M956" s="16">
        <v>8.9333220000000004</v>
      </c>
      <c r="N956" s="16">
        <v>9.4267230000000009</v>
      </c>
      <c r="O956" s="16">
        <v>5.3521979999999996</v>
      </c>
      <c r="P956" s="17">
        <v>9.0973629999999996</v>
      </c>
      <c r="Q956" s="17">
        <v>10.715680000000001</v>
      </c>
      <c r="R956" s="17">
        <v>6.2319579999999997</v>
      </c>
      <c r="S956" s="17">
        <v>13.69942</v>
      </c>
      <c r="AP956" s="35"/>
      <c r="AQ956" s="35"/>
      <c r="AR956" s="35"/>
      <c r="AS956" s="35"/>
    </row>
    <row r="957" spans="2:45" x14ac:dyDescent="0.2">
      <c r="B957" s="2">
        <v>43481.067766203705</v>
      </c>
      <c r="C957" s="5">
        <f t="shared" si="97"/>
        <v>7.583333030000011</v>
      </c>
      <c r="D957" s="14">
        <v>6.0518749999999999</v>
      </c>
      <c r="E957" s="14">
        <v>7.1312550000000003</v>
      </c>
      <c r="F957" s="14">
        <v>5.3363550000000002</v>
      </c>
      <c r="G957" s="14">
        <v>5.0427210000000002</v>
      </c>
      <c r="H957" s="15">
        <v>6.2170139999999998</v>
      </c>
      <c r="I957" s="15">
        <v>3.5781459999999998</v>
      </c>
      <c r="J957" s="15">
        <v>15.54748</v>
      </c>
      <c r="K957" s="15">
        <v>6.2453089999999998</v>
      </c>
      <c r="L957" s="16">
        <v>4.8785610000000004</v>
      </c>
      <c r="M957" s="16">
        <v>8.9361829999999998</v>
      </c>
      <c r="N957" s="16">
        <v>9.4267230000000009</v>
      </c>
      <c r="O957" s="16">
        <v>5.3521979999999996</v>
      </c>
      <c r="P957" s="17">
        <v>9.1153870000000001</v>
      </c>
      <c r="Q957" s="17">
        <v>10.768610000000001</v>
      </c>
      <c r="R957" s="17">
        <v>6.2326740000000003</v>
      </c>
      <c r="S957" s="17">
        <v>13.69942</v>
      </c>
      <c r="AP957" s="35"/>
      <c r="AQ957" s="35"/>
      <c r="AR957" s="35"/>
      <c r="AS957" s="35"/>
    </row>
    <row r="958" spans="2:45" x14ac:dyDescent="0.2">
      <c r="B958" s="2">
        <v>43481.071238425924</v>
      </c>
      <c r="C958" s="5">
        <f t="shared" si="97"/>
        <v>7.6666663600000113</v>
      </c>
      <c r="D958" s="14">
        <v>6.0518749999999999</v>
      </c>
      <c r="E958" s="14">
        <v>7.1312550000000003</v>
      </c>
      <c r="F958" s="14">
        <v>5.3363550000000002</v>
      </c>
      <c r="G958" s="14">
        <v>5.0427210000000002</v>
      </c>
      <c r="H958" s="15">
        <v>6.2180160000000004</v>
      </c>
      <c r="I958" s="15">
        <v>3.5781459999999998</v>
      </c>
      <c r="J958" s="15">
        <v>15.564069999999999</v>
      </c>
      <c r="K958" s="15">
        <v>6.247598</v>
      </c>
      <c r="L958" s="16">
        <v>4.8785610000000004</v>
      </c>
      <c r="M958" s="16">
        <v>8.9390440000000009</v>
      </c>
      <c r="N958" s="16">
        <v>9.4267230000000009</v>
      </c>
      <c r="O958" s="16">
        <v>5.3521979999999996</v>
      </c>
      <c r="P958" s="17">
        <v>9.1334110000000006</v>
      </c>
      <c r="Q958" s="17">
        <v>10.821540000000001</v>
      </c>
      <c r="R958" s="17">
        <v>6.2333889999999998</v>
      </c>
      <c r="S958" s="17">
        <v>13.69942</v>
      </c>
      <c r="AP958" s="35"/>
      <c r="AQ958" s="35"/>
      <c r="AR958" s="35"/>
      <c r="AS958" s="35"/>
    </row>
    <row r="959" spans="2:45" x14ac:dyDescent="0.2">
      <c r="B959" s="2">
        <v>43481.07471064815</v>
      </c>
      <c r="C959" s="5">
        <f t="shared" si="97"/>
        <v>7.7499996900000117</v>
      </c>
      <c r="D959" s="14">
        <v>6.0518749999999999</v>
      </c>
      <c r="E959" s="14">
        <v>7.1316759999999997</v>
      </c>
      <c r="F959" s="14">
        <v>5.3363550000000002</v>
      </c>
      <c r="G959" s="14">
        <v>5.0427210000000002</v>
      </c>
      <c r="H959" s="15">
        <v>6.219017</v>
      </c>
      <c r="I959" s="15">
        <v>3.5781459999999998</v>
      </c>
      <c r="J959" s="15">
        <v>15.58067</v>
      </c>
      <c r="K959" s="15">
        <v>6.2498870000000002</v>
      </c>
      <c r="L959" s="16">
        <v>4.8785610000000004</v>
      </c>
      <c r="M959" s="16">
        <v>8.9419050000000002</v>
      </c>
      <c r="N959" s="16">
        <v>9.4267230000000009</v>
      </c>
      <c r="O959" s="16">
        <v>5.3521979999999996</v>
      </c>
      <c r="P959" s="17">
        <v>9.1514360000000003</v>
      </c>
      <c r="Q959" s="17">
        <v>10.874459999999999</v>
      </c>
      <c r="R959" s="17">
        <v>6.2341040000000003</v>
      </c>
      <c r="S959" s="17">
        <v>13.69942</v>
      </c>
      <c r="AP959" s="35"/>
      <c r="AQ959" s="35"/>
      <c r="AR959" s="35"/>
      <c r="AS959" s="35"/>
    </row>
    <row r="960" spans="2:45" x14ac:dyDescent="0.2">
      <c r="B960" s="2">
        <v>43481.078182870369</v>
      </c>
      <c r="C960" s="5">
        <f t="shared" si="97"/>
        <v>7.833333020000012</v>
      </c>
      <c r="D960" s="14">
        <v>6.0518749999999999</v>
      </c>
      <c r="E960" s="14">
        <v>7.1321050000000001</v>
      </c>
      <c r="F960" s="14">
        <v>5.3363550000000002</v>
      </c>
      <c r="G960" s="14">
        <v>5.0427210000000002</v>
      </c>
      <c r="H960" s="15">
        <v>6.2200179999999996</v>
      </c>
      <c r="I960" s="15">
        <v>3.5781459999999998</v>
      </c>
      <c r="J960" s="15">
        <v>15.59726</v>
      </c>
      <c r="K960" s="15">
        <v>6.2521760000000004</v>
      </c>
      <c r="L960" s="16">
        <v>4.8785610000000004</v>
      </c>
      <c r="M960" s="16">
        <v>8.9447659999999996</v>
      </c>
      <c r="N960" s="16">
        <v>9.4267230000000009</v>
      </c>
      <c r="O960" s="16">
        <v>5.3521979999999996</v>
      </c>
      <c r="P960" s="17">
        <v>9.1694600000000008</v>
      </c>
      <c r="Q960" s="17">
        <v>10.927390000000001</v>
      </c>
      <c r="R960" s="17">
        <v>6.2348189999999999</v>
      </c>
      <c r="S960" s="17">
        <v>13.69942</v>
      </c>
      <c r="AP960" s="35"/>
      <c r="AQ960" s="35"/>
      <c r="AR960" s="35"/>
      <c r="AS960" s="35"/>
    </row>
    <row r="961" spans="2:45" x14ac:dyDescent="0.2">
      <c r="B961" s="2">
        <v>43481.081655092596</v>
      </c>
      <c r="C961" s="5">
        <f t="shared" si="97"/>
        <v>7.9166663500000123</v>
      </c>
      <c r="D961" s="14">
        <v>6.0518749999999999</v>
      </c>
      <c r="E961" s="14">
        <v>7.1325339999999997</v>
      </c>
      <c r="F961" s="14">
        <v>5.3363550000000002</v>
      </c>
      <c r="G961" s="14">
        <v>5.0427210000000002</v>
      </c>
      <c r="H961" s="15">
        <v>6.2210200000000002</v>
      </c>
      <c r="I961" s="15">
        <v>3.5781459999999998</v>
      </c>
      <c r="J961" s="15">
        <v>15.613849999999999</v>
      </c>
      <c r="K961" s="15">
        <v>6.2544649999999997</v>
      </c>
      <c r="L961" s="16">
        <v>4.8785610000000004</v>
      </c>
      <c r="M961" s="16">
        <v>8.9476270000000007</v>
      </c>
      <c r="N961" s="16">
        <v>9.4267230000000009</v>
      </c>
      <c r="O961" s="16">
        <v>5.3521979999999996</v>
      </c>
      <c r="P961" s="17">
        <v>9.1874850000000006</v>
      </c>
      <c r="Q961" s="17">
        <v>10.980320000000001</v>
      </c>
      <c r="R961" s="17">
        <v>6.2355349999999996</v>
      </c>
      <c r="S961" s="17">
        <v>13.69942</v>
      </c>
      <c r="AP961" s="35"/>
      <c r="AQ961" s="35"/>
      <c r="AR961" s="35"/>
      <c r="AS961" s="35"/>
    </row>
    <row r="962" spans="2:45" x14ac:dyDescent="0.2">
      <c r="B962" s="2">
        <v>43481.085127314815</v>
      </c>
      <c r="C962" s="5">
        <f t="shared" si="97"/>
        <v>7.9999996800000126</v>
      </c>
      <c r="D962" s="14">
        <v>6.0518749999999999</v>
      </c>
      <c r="E962" s="14">
        <v>7.1329630000000002</v>
      </c>
      <c r="F962" s="14">
        <v>5.3363550000000002</v>
      </c>
      <c r="G962" s="14">
        <v>5.0427210000000002</v>
      </c>
      <c r="H962" s="15">
        <v>6.2220209999999998</v>
      </c>
      <c r="I962" s="15">
        <v>3.5781459999999998</v>
      </c>
      <c r="J962" s="15">
        <v>15.63045</v>
      </c>
      <c r="K962" s="15">
        <v>6.2567529999999998</v>
      </c>
      <c r="L962" s="16">
        <v>4.8785610000000004</v>
      </c>
      <c r="M962" s="16">
        <v>8.950488</v>
      </c>
      <c r="N962" s="16">
        <v>9.4267230000000009</v>
      </c>
      <c r="O962" s="16">
        <v>5.3521979999999996</v>
      </c>
      <c r="P962" s="17">
        <v>9.2055089999999993</v>
      </c>
      <c r="Q962" s="17">
        <v>11.033250000000001</v>
      </c>
      <c r="R962" s="17">
        <v>6.2362500000000001</v>
      </c>
      <c r="S962" s="17">
        <v>13.69942</v>
      </c>
      <c r="V962" s="25">
        <v>8</v>
      </c>
      <c r="W962">
        <f>AVERAGE(D951:D962)</f>
        <v>6.0518749999999999</v>
      </c>
      <c r="X962">
        <f t="shared" ref="X962:AL962" si="103">AVERAGE(E951:E962)</f>
        <v>7.1316098333333349</v>
      </c>
      <c r="Y962">
        <f t="shared" si="103"/>
        <v>5.3363549999999984</v>
      </c>
      <c r="Z962">
        <f t="shared" si="103"/>
        <v>5.0427210000000002</v>
      </c>
      <c r="AA962">
        <f t="shared" si="103"/>
        <v>6.2165136666666667</v>
      </c>
      <c r="AB962">
        <f t="shared" si="103"/>
        <v>3.5781459999999989</v>
      </c>
      <c r="AC962">
        <f t="shared" si="103"/>
        <v>15.53918166666667</v>
      </c>
      <c r="AD962">
        <f t="shared" si="103"/>
        <v>6.2454254166666674</v>
      </c>
      <c r="AE962">
        <f t="shared" si="103"/>
        <v>4.8785609999999995</v>
      </c>
      <c r="AF962">
        <f t="shared" si="103"/>
        <v>8.9347525000000001</v>
      </c>
      <c r="AG962">
        <f t="shared" si="103"/>
        <v>9.4267229999999991</v>
      </c>
      <c r="AH962">
        <f t="shared" si="103"/>
        <v>5.3510667500000011</v>
      </c>
      <c r="AI962">
        <f t="shared" si="103"/>
        <v>9.1124107500000004</v>
      </c>
      <c r="AJ962">
        <f t="shared" si="103"/>
        <v>10.750730000000003</v>
      </c>
      <c r="AK962">
        <f t="shared" si="103"/>
        <v>6.2323160000000009</v>
      </c>
      <c r="AL962">
        <f t="shared" si="103"/>
        <v>13.694378333333335</v>
      </c>
      <c r="AO962" s="25">
        <v>8</v>
      </c>
      <c r="AP962" s="35">
        <f>AVERAGE(W962:Z962)</f>
        <v>5.8906402083333331</v>
      </c>
      <c r="AQ962" s="35">
        <f>AVERAGE(AA962:AD962)</f>
        <v>7.8948166875000005</v>
      </c>
      <c r="AR962" s="35">
        <f>AVERAGE(AE962:AH962)</f>
        <v>7.1477758124999999</v>
      </c>
      <c r="AS962" s="35">
        <f>AVERAGE(AI962:AL962)</f>
        <v>9.9474587708333342</v>
      </c>
    </row>
    <row r="963" spans="2:45" x14ac:dyDescent="0.2">
      <c r="B963" s="2">
        <v>43481.088599537034</v>
      </c>
      <c r="C963" s="5">
        <f t="shared" si="97"/>
        <v>8.0833330100000129</v>
      </c>
      <c r="D963" s="14">
        <v>6.0518749999999999</v>
      </c>
      <c r="E963" s="14">
        <v>7.1333919999999997</v>
      </c>
      <c r="F963" s="14">
        <v>5.3363550000000002</v>
      </c>
      <c r="G963" s="14">
        <v>5.0427210000000002</v>
      </c>
      <c r="H963" s="15">
        <v>6.2230220000000003</v>
      </c>
      <c r="I963" s="15">
        <v>3.5781459999999998</v>
      </c>
      <c r="J963" s="15">
        <v>15.647040000000001</v>
      </c>
      <c r="K963" s="15">
        <v>6.259042</v>
      </c>
      <c r="L963" s="16">
        <v>4.8785610000000004</v>
      </c>
      <c r="M963" s="16">
        <v>8.9533489999999993</v>
      </c>
      <c r="N963" s="16">
        <v>9.4267230000000009</v>
      </c>
      <c r="O963" s="16">
        <v>5.3521979999999996</v>
      </c>
      <c r="P963" s="17">
        <v>9.2235340000000008</v>
      </c>
      <c r="Q963" s="17">
        <v>11.086180000000001</v>
      </c>
      <c r="R963" s="17">
        <v>6.2369649999999996</v>
      </c>
      <c r="S963" s="17">
        <v>13.69942</v>
      </c>
      <c r="AP963" s="35"/>
      <c r="AQ963" s="35"/>
      <c r="AR963" s="35"/>
      <c r="AS963" s="35"/>
    </row>
    <row r="964" spans="2:45" x14ac:dyDescent="0.2">
      <c r="B964" s="2">
        <v>43481.09207175926</v>
      </c>
      <c r="C964" s="5">
        <f t="shared" ref="C964:C1027" si="104">C963+0.08333333</f>
        <v>8.1666663400000132</v>
      </c>
      <c r="D964" s="14">
        <v>6.0518749999999999</v>
      </c>
      <c r="E964" s="14">
        <v>7.1338210000000002</v>
      </c>
      <c r="F964" s="14">
        <v>5.3363550000000002</v>
      </c>
      <c r="G964" s="14">
        <v>5.0427210000000002</v>
      </c>
      <c r="H964" s="15">
        <v>6.224024</v>
      </c>
      <c r="I964" s="15">
        <v>3.5781459999999998</v>
      </c>
      <c r="J964" s="15">
        <v>15.663639999999999</v>
      </c>
      <c r="K964" s="15">
        <v>6.2613310000000002</v>
      </c>
      <c r="L964" s="16">
        <v>4.8785610000000004</v>
      </c>
      <c r="M964" s="16">
        <v>8.9562100000000004</v>
      </c>
      <c r="N964" s="16">
        <v>9.4267230000000009</v>
      </c>
      <c r="O964" s="16">
        <v>5.3521979999999996</v>
      </c>
      <c r="P964" s="17">
        <v>9.2415579999999995</v>
      </c>
      <c r="Q964" s="17">
        <v>11.139110000000001</v>
      </c>
      <c r="R964" s="17">
        <v>6.2376800000000001</v>
      </c>
      <c r="S964" s="17">
        <v>13.69942</v>
      </c>
      <c r="AP964" s="35"/>
      <c r="AQ964" s="35"/>
      <c r="AR964" s="35"/>
      <c r="AS964" s="35"/>
    </row>
    <row r="965" spans="2:45" x14ac:dyDescent="0.2">
      <c r="B965" s="2">
        <v>43481.095543981479</v>
      </c>
      <c r="C965" s="5">
        <f t="shared" si="104"/>
        <v>8.2499996700000136</v>
      </c>
      <c r="D965" s="14">
        <v>6.0518749999999999</v>
      </c>
      <c r="E965" s="14">
        <v>7.1342509999999999</v>
      </c>
      <c r="F965" s="14">
        <v>5.3363550000000002</v>
      </c>
      <c r="G965" s="14">
        <v>5.0427210000000002</v>
      </c>
      <c r="H965" s="15">
        <v>6.2250249999999996</v>
      </c>
      <c r="I965" s="15">
        <v>3.5781459999999998</v>
      </c>
      <c r="J965" s="15">
        <v>15.68023</v>
      </c>
      <c r="K965" s="15">
        <v>6.2636200000000004</v>
      </c>
      <c r="L965" s="16">
        <v>4.8785610000000004</v>
      </c>
      <c r="M965" s="16">
        <v>8.9590709999999998</v>
      </c>
      <c r="N965" s="16">
        <v>9.4267230000000009</v>
      </c>
      <c r="O965" s="16">
        <v>5.3521979999999996</v>
      </c>
      <c r="P965" s="17">
        <v>9.2595829999999992</v>
      </c>
      <c r="Q965" s="17">
        <v>11.19204</v>
      </c>
      <c r="R965" s="17">
        <v>6.2383959999999998</v>
      </c>
      <c r="S965" s="17">
        <v>13.69942</v>
      </c>
      <c r="AP965" s="35"/>
      <c r="AQ965" s="35"/>
      <c r="AR965" s="35"/>
      <c r="AS965" s="35"/>
    </row>
    <row r="966" spans="2:45" x14ac:dyDescent="0.2">
      <c r="B966" s="2">
        <v>43481.099016203705</v>
      </c>
      <c r="C966" s="5">
        <f t="shared" si="104"/>
        <v>8.3333330000000139</v>
      </c>
      <c r="D966" s="14">
        <v>6.0518749999999999</v>
      </c>
      <c r="E966" s="14">
        <v>7.1346800000000004</v>
      </c>
      <c r="F966" s="14">
        <v>5.3363550000000002</v>
      </c>
      <c r="G966" s="14">
        <v>5.0427210000000002</v>
      </c>
      <c r="H966" s="15">
        <v>6.2260270000000002</v>
      </c>
      <c r="I966" s="15">
        <v>3.5781459999999998</v>
      </c>
      <c r="J966" s="15">
        <v>15.696820000000001</v>
      </c>
      <c r="K966" s="15">
        <v>6.2659089999999997</v>
      </c>
      <c r="L966" s="16">
        <v>4.8785610000000004</v>
      </c>
      <c r="M966" s="16">
        <v>8.9619319999999991</v>
      </c>
      <c r="N966" s="16">
        <v>9.4267230000000009</v>
      </c>
      <c r="O966" s="16">
        <v>5.3521979999999996</v>
      </c>
      <c r="P966" s="17">
        <v>9.2776069999999997</v>
      </c>
      <c r="Q966" s="17">
        <v>11.24497</v>
      </c>
      <c r="R966" s="17">
        <v>6.2391110000000003</v>
      </c>
      <c r="S966" s="17">
        <v>13.69942</v>
      </c>
      <c r="AP966" s="35"/>
      <c r="AQ966" s="35"/>
      <c r="AR966" s="35"/>
      <c r="AS966" s="35"/>
    </row>
    <row r="967" spans="2:45" x14ac:dyDescent="0.2">
      <c r="B967" s="2">
        <v>43481.102488425924</v>
      </c>
      <c r="C967" s="5">
        <f t="shared" si="104"/>
        <v>8.4166663300000142</v>
      </c>
      <c r="D967" s="14">
        <v>6.0518749999999999</v>
      </c>
      <c r="E967" s="14">
        <v>7.1351089999999999</v>
      </c>
      <c r="F967" s="14">
        <v>5.3363550000000002</v>
      </c>
      <c r="G967" s="14">
        <v>5.0427210000000002</v>
      </c>
      <c r="H967" s="15">
        <v>6.2270279999999998</v>
      </c>
      <c r="I967" s="15">
        <v>3.5781459999999998</v>
      </c>
      <c r="J967" s="15">
        <v>15.713419999999999</v>
      </c>
      <c r="K967" s="15">
        <v>6.2681979999999999</v>
      </c>
      <c r="L967" s="16">
        <v>4.8785610000000004</v>
      </c>
      <c r="M967" s="16">
        <v>8.9647930000000002</v>
      </c>
      <c r="N967" s="16">
        <v>9.4267230000000009</v>
      </c>
      <c r="O967" s="16">
        <v>5.3521979999999996</v>
      </c>
      <c r="P967" s="17">
        <v>9.2956310000000002</v>
      </c>
      <c r="Q967" s="17">
        <v>11.2979</v>
      </c>
      <c r="R967" s="17">
        <v>6.2398259999999999</v>
      </c>
      <c r="S967" s="17">
        <v>13.69942</v>
      </c>
      <c r="AP967" s="35"/>
      <c r="AQ967" s="35"/>
      <c r="AR967" s="35"/>
      <c r="AS967" s="35"/>
    </row>
    <row r="968" spans="2:45" x14ac:dyDescent="0.2">
      <c r="B968" s="2">
        <v>43481.10596064815</v>
      </c>
      <c r="C968" s="5">
        <f t="shared" si="104"/>
        <v>8.4999996600000145</v>
      </c>
      <c r="D968" s="14">
        <v>6.0518749999999999</v>
      </c>
      <c r="E968" s="14">
        <v>7.1355380000000004</v>
      </c>
      <c r="F968" s="14">
        <v>5.3363550000000002</v>
      </c>
      <c r="G968" s="14">
        <v>5.0427210000000002</v>
      </c>
      <c r="H968" s="15">
        <v>6.2280290000000003</v>
      </c>
      <c r="I968" s="15">
        <v>3.5781459999999998</v>
      </c>
      <c r="J968" s="15">
        <v>15.73001</v>
      </c>
      <c r="K968" s="15">
        <v>6.270486</v>
      </c>
      <c r="L968" s="16">
        <v>4.8785610000000004</v>
      </c>
      <c r="M968" s="16">
        <v>8.9676539999999996</v>
      </c>
      <c r="N968" s="16">
        <v>9.4267230000000009</v>
      </c>
      <c r="O968" s="16">
        <v>5.3521979999999996</v>
      </c>
      <c r="P968" s="17">
        <v>9.3136559999999999</v>
      </c>
      <c r="Q968" s="17">
        <v>11.340590000000001</v>
      </c>
      <c r="R968" s="17">
        <v>6.2405410000000003</v>
      </c>
      <c r="S968" s="17">
        <v>13.69942</v>
      </c>
      <c r="AP968" s="35"/>
      <c r="AQ968" s="35"/>
      <c r="AR968" s="35"/>
      <c r="AS968" s="35"/>
    </row>
    <row r="969" spans="2:45" x14ac:dyDescent="0.2">
      <c r="B969" s="2">
        <v>43481.109432870369</v>
      </c>
      <c r="C969" s="5">
        <f t="shared" si="104"/>
        <v>8.5833329900000148</v>
      </c>
      <c r="D969" s="14">
        <v>6.0518749999999999</v>
      </c>
      <c r="E969" s="14">
        <v>7.1359669999999999</v>
      </c>
      <c r="F969" s="14">
        <v>5.3363550000000002</v>
      </c>
      <c r="G969" s="14">
        <v>5.0427210000000002</v>
      </c>
      <c r="H969" s="15">
        <v>6.229031</v>
      </c>
      <c r="I969" s="15">
        <v>3.5781459999999998</v>
      </c>
      <c r="J969" s="15">
        <v>15.74661</v>
      </c>
      <c r="K969" s="15">
        <v>6.2727750000000002</v>
      </c>
      <c r="L969" s="16">
        <v>4.8785610000000004</v>
      </c>
      <c r="M969" s="16">
        <v>8.9705150000000007</v>
      </c>
      <c r="N969" s="16">
        <v>9.4267230000000009</v>
      </c>
      <c r="O969" s="16">
        <v>5.3521979999999996</v>
      </c>
      <c r="P969" s="17">
        <v>9.3316800000000004</v>
      </c>
      <c r="Q969" s="17">
        <v>11.340590000000001</v>
      </c>
      <c r="R969" s="17">
        <v>6.2412570000000001</v>
      </c>
      <c r="S969" s="17">
        <v>13.69942</v>
      </c>
      <c r="AP969" s="35"/>
      <c r="AQ969" s="35"/>
      <c r="AR969" s="35"/>
      <c r="AS969" s="35"/>
    </row>
    <row r="970" spans="2:45" x14ac:dyDescent="0.2">
      <c r="B970" s="2">
        <v>43481.112905092596</v>
      </c>
      <c r="C970" s="5">
        <f t="shared" si="104"/>
        <v>8.6666663200000151</v>
      </c>
      <c r="D970" s="14">
        <v>6.0518749999999999</v>
      </c>
      <c r="E970" s="14">
        <v>7.1363960000000004</v>
      </c>
      <c r="F970" s="14">
        <v>5.3363550000000002</v>
      </c>
      <c r="G970" s="14">
        <v>5.0427210000000002</v>
      </c>
      <c r="H970" s="15">
        <v>6.2300319999999996</v>
      </c>
      <c r="I970" s="15">
        <v>3.5781459999999998</v>
      </c>
      <c r="J970" s="15">
        <v>15.763199999999999</v>
      </c>
      <c r="K970" s="15">
        <v>6.2750640000000004</v>
      </c>
      <c r="L970" s="16">
        <v>4.8785610000000004</v>
      </c>
      <c r="M970" s="16">
        <v>8.973376</v>
      </c>
      <c r="N970" s="16">
        <v>9.4267230000000009</v>
      </c>
      <c r="O970" s="16">
        <v>5.3521979999999996</v>
      </c>
      <c r="P970" s="17">
        <v>9.3481430000000003</v>
      </c>
      <c r="Q970" s="17">
        <v>11.340590000000001</v>
      </c>
      <c r="R970" s="17">
        <v>6.2419719999999996</v>
      </c>
      <c r="S970" s="17">
        <v>13.69942</v>
      </c>
      <c r="AP970" s="35"/>
      <c r="AQ970" s="35"/>
      <c r="AR970" s="35"/>
      <c r="AS970" s="35"/>
    </row>
    <row r="971" spans="2:45" x14ac:dyDescent="0.2">
      <c r="B971" s="2">
        <v>43481.116377314815</v>
      </c>
      <c r="C971" s="5">
        <f t="shared" si="104"/>
        <v>8.7499996500000154</v>
      </c>
      <c r="D971" s="14">
        <v>6.0518749999999999</v>
      </c>
      <c r="E971" s="14">
        <v>7.1368260000000001</v>
      </c>
      <c r="F971" s="14">
        <v>5.3363550000000002</v>
      </c>
      <c r="G971" s="14">
        <v>5.0427210000000002</v>
      </c>
      <c r="H971" s="15">
        <v>6.231033</v>
      </c>
      <c r="I971" s="15">
        <v>3.5781459999999998</v>
      </c>
      <c r="J971" s="15">
        <v>15.77979</v>
      </c>
      <c r="K971" s="15">
        <v>6.2773529999999997</v>
      </c>
      <c r="L971" s="16">
        <v>4.8785610000000004</v>
      </c>
      <c r="M971" s="16">
        <v>8.9762369999999994</v>
      </c>
      <c r="N971" s="16">
        <v>9.4267230000000009</v>
      </c>
      <c r="O971" s="16">
        <v>5.3521979999999996</v>
      </c>
      <c r="P971" s="17">
        <v>9.3481430000000003</v>
      </c>
      <c r="Q971" s="17">
        <v>11.340590000000001</v>
      </c>
      <c r="R971" s="17">
        <v>6.2426870000000001</v>
      </c>
      <c r="S971" s="17">
        <v>13.69942</v>
      </c>
      <c r="AP971" s="35"/>
      <c r="AQ971" s="35"/>
      <c r="AR971" s="35"/>
      <c r="AS971" s="35"/>
    </row>
    <row r="972" spans="2:45" x14ac:dyDescent="0.2">
      <c r="B972" s="2">
        <v>43481.119849537034</v>
      </c>
      <c r="C972" s="5">
        <f t="shared" si="104"/>
        <v>8.8333329800000158</v>
      </c>
      <c r="D972" s="14">
        <v>6.0518749999999999</v>
      </c>
      <c r="E972" s="14">
        <v>7.1372549999999997</v>
      </c>
      <c r="F972" s="14">
        <v>5.3363550000000002</v>
      </c>
      <c r="G972" s="14">
        <v>5.0427210000000002</v>
      </c>
      <c r="H972" s="15">
        <v>6.2320349999999998</v>
      </c>
      <c r="I972" s="15">
        <v>3.5781459999999998</v>
      </c>
      <c r="J972" s="15">
        <v>15.79692</v>
      </c>
      <c r="K972" s="15">
        <v>6.2796419999999999</v>
      </c>
      <c r="L972" s="16">
        <v>4.8785610000000004</v>
      </c>
      <c r="M972" s="16">
        <v>8.9790980000000005</v>
      </c>
      <c r="N972" s="16">
        <v>9.4267230000000009</v>
      </c>
      <c r="O972" s="16">
        <v>5.3521979999999996</v>
      </c>
      <c r="P972" s="17">
        <v>9.3481430000000003</v>
      </c>
      <c r="Q972" s="17">
        <v>11.340590000000001</v>
      </c>
      <c r="R972" s="17">
        <v>6.2434019999999997</v>
      </c>
      <c r="S972" s="17">
        <v>13.69942</v>
      </c>
      <c r="AP972" s="35"/>
      <c r="AQ972" s="35"/>
      <c r="AR972" s="35"/>
      <c r="AS972" s="35"/>
    </row>
    <row r="973" spans="2:45" x14ac:dyDescent="0.2">
      <c r="B973" s="2">
        <v>43481.12332175926</v>
      </c>
      <c r="C973" s="5">
        <f t="shared" si="104"/>
        <v>8.9166663100000161</v>
      </c>
      <c r="D973" s="14">
        <v>6.0518749999999999</v>
      </c>
      <c r="E973" s="14">
        <v>7.1376840000000001</v>
      </c>
      <c r="F973" s="14">
        <v>5.3363550000000002</v>
      </c>
      <c r="G973" s="14">
        <v>5.0427210000000002</v>
      </c>
      <c r="H973" s="15">
        <v>6.2330360000000002</v>
      </c>
      <c r="I973" s="15">
        <v>3.5781459999999998</v>
      </c>
      <c r="J973" s="15">
        <v>15.796939999999999</v>
      </c>
      <c r="K973" s="15">
        <v>6.28193</v>
      </c>
      <c r="L973" s="16">
        <v>4.8785610000000004</v>
      </c>
      <c r="M973" s="16">
        <v>8.9819589999999998</v>
      </c>
      <c r="N973" s="16">
        <v>9.4267230000000009</v>
      </c>
      <c r="O973" s="16">
        <v>5.3521979999999996</v>
      </c>
      <c r="P973" s="17">
        <v>9.3481430000000003</v>
      </c>
      <c r="Q973" s="17">
        <v>11.340590000000001</v>
      </c>
      <c r="R973" s="17">
        <v>6.2441180000000003</v>
      </c>
      <c r="S973" s="17">
        <v>13.69942</v>
      </c>
      <c r="AP973" s="35"/>
      <c r="AQ973" s="35"/>
      <c r="AR973" s="35"/>
      <c r="AS973" s="35"/>
    </row>
    <row r="974" spans="2:45" x14ac:dyDescent="0.2">
      <c r="B974" s="2">
        <v>43481.126793981479</v>
      </c>
      <c r="C974" s="5">
        <f t="shared" si="104"/>
        <v>8.9999996400000164</v>
      </c>
      <c r="D974" s="14">
        <v>6.0518749999999999</v>
      </c>
      <c r="E974" s="14">
        <v>7.1381129999999997</v>
      </c>
      <c r="F974" s="14">
        <v>5.3363550000000002</v>
      </c>
      <c r="G974" s="14">
        <v>5.0427210000000002</v>
      </c>
      <c r="H974" s="15">
        <v>6.2340369999999998</v>
      </c>
      <c r="I974" s="15">
        <v>3.5781459999999998</v>
      </c>
      <c r="J974" s="15">
        <v>15.796939999999999</v>
      </c>
      <c r="K974" s="15">
        <v>6.282438</v>
      </c>
      <c r="L974" s="16">
        <v>4.8785610000000004</v>
      </c>
      <c r="M974" s="16">
        <v>8.9846059999999994</v>
      </c>
      <c r="N974" s="16">
        <v>9.4267230000000009</v>
      </c>
      <c r="O974" s="16">
        <v>5.3521979999999996</v>
      </c>
      <c r="P974" s="17">
        <v>9.3481430000000003</v>
      </c>
      <c r="Q974" s="17">
        <v>11.340590000000001</v>
      </c>
      <c r="R974" s="17">
        <v>6.2446380000000001</v>
      </c>
      <c r="S974" s="17">
        <v>13.69942</v>
      </c>
      <c r="V974" s="25">
        <v>9</v>
      </c>
      <c r="W974">
        <f>AVERAGE(D963:D974)</f>
        <v>6.0518749999999999</v>
      </c>
      <c r="X974">
        <f t="shared" ref="X974:AL974" si="105">AVERAGE(E963:E974)</f>
        <v>7.135752666666666</v>
      </c>
      <c r="Y974">
        <f t="shared" si="105"/>
        <v>5.3363549999999984</v>
      </c>
      <c r="Z974">
        <f t="shared" si="105"/>
        <v>5.0427210000000002</v>
      </c>
      <c r="AA974">
        <f t="shared" si="105"/>
        <v>6.2285299166666661</v>
      </c>
      <c r="AB974">
        <f t="shared" si="105"/>
        <v>3.5781459999999989</v>
      </c>
      <c r="AC974">
        <f t="shared" si="105"/>
        <v>15.734296666666667</v>
      </c>
      <c r="AD974">
        <f t="shared" si="105"/>
        <v>6.271482333333334</v>
      </c>
      <c r="AE974">
        <f t="shared" si="105"/>
        <v>4.8785609999999995</v>
      </c>
      <c r="AF974">
        <f t="shared" si="105"/>
        <v>8.9690666666666647</v>
      </c>
      <c r="AG974">
        <f t="shared" si="105"/>
        <v>9.4267229999999991</v>
      </c>
      <c r="AH974">
        <f t="shared" si="105"/>
        <v>5.3521980000000005</v>
      </c>
      <c r="AI974">
        <f t="shared" si="105"/>
        <v>9.3069969999999973</v>
      </c>
      <c r="AJ974">
        <f t="shared" si="105"/>
        <v>11.27869416666667</v>
      </c>
      <c r="AK974">
        <f t="shared" si="105"/>
        <v>6.2408827499999999</v>
      </c>
      <c r="AL974">
        <f t="shared" si="105"/>
        <v>13.699420000000002</v>
      </c>
      <c r="AO974" s="25">
        <v>9</v>
      </c>
      <c r="AP974" s="35">
        <f>AVERAGE(W974:Z974)</f>
        <v>5.8916759166666663</v>
      </c>
      <c r="AQ974" s="35">
        <f>AVERAGE(AA974:AD974)</f>
        <v>7.9531137291666667</v>
      </c>
      <c r="AR974" s="35">
        <f>AVERAGE(AE974:AH974)</f>
        <v>7.1566371666666662</v>
      </c>
      <c r="AS974" s="35">
        <f>AVERAGE(AI974:AL974)</f>
        <v>10.131498479166668</v>
      </c>
    </row>
    <row r="975" spans="2:45" x14ac:dyDescent="0.2">
      <c r="B975" s="2">
        <v>43481.130266203705</v>
      </c>
      <c r="C975" s="5">
        <f t="shared" si="104"/>
        <v>9.0833329700000167</v>
      </c>
      <c r="D975" s="14">
        <v>6.0518749999999999</v>
      </c>
      <c r="E975" s="14">
        <v>7.1385420000000002</v>
      </c>
      <c r="F975" s="14">
        <v>5.3363550000000002</v>
      </c>
      <c r="G975" s="14">
        <v>5.0427210000000002</v>
      </c>
      <c r="H975" s="15">
        <v>6.2350390000000004</v>
      </c>
      <c r="I975" s="15">
        <v>3.5781459999999998</v>
      </c>
      <c r="J975" s="15">
        <v>15.796939999999999</v>
      </c>
      <c r="K975" s="15">
        <v>6.282438</v>
      </c>
      <c r="L975" s="16">
        <v>4.8785610000000004</v>
      </c>
      <c r="M975" s="16">
        <v>8.9846059999999994</v>
      </c>
      <c r="N975" s="16">
        <v>9.4267230000000009</v>
      </c>
      <c r="O975" s="16">
        <v>5.3521979999999996</v>
      </c>
      <c r="P975" s="17">
        <v>9.3481430000000003</v>
      </c>
      <c r="Q975" s="17">
        <v>11.340590000000001</v>
      </c>
      <c r="R975" s="17">
        <v>6.2446380000000001</v>
      </c>
      <c r="S975" s="17">
        <v>13.69942</v>
      </c>
      <c r="AP975" s="35"/>
      <c r="AQ975" s="35"/>
      <c r="AR975" s="35"/>
      <c r="AS975" s="35"/>
    </row>
    <row r="976" spans="2:45" x14ac:dyDescent="0.2">
      <c r="B976" s="2">
        <v>43481.133738425924</v>
      </c>
      <c r="C976" s="5">
        <f t="shared" si="104"/>
        <v>9.166666300000017</v>
      </c>
      <c r="D976" s="14">
        <v>6.0518749999999999</v>
      </c>
      <c r="E976" s="14">
        <v>7.1389709999999997</v>
      </c>
      <c r="F976" s="14">
        <v>5.3363550000000002</v>
      </c>
      <c r="G976" s="14">
        <v>5.0427210000000002</v>
      </c>
      <c r="H976" s="15">
        <v>6.23604</v>
      </c>
      <c r="I976" s="15">
        <v>3.5781459999999998</v>
      </c>
      <c r="J976" s="15">
        <v>15.796939999999999</v>
      </c>
      <c r="K976" s="15">
        <v>6.282438</v>
      </c>
      <c r="L976" s="16">
        <v>4.8785610000000004</v>
      </c>
      <c r="M976" s="16">
        <v>8.9846059999999994</v>
      </c>
      <c r="N976" s="16">
        <v>9.4267230000000009</v>
      </c>
      <c r="O976" s="16">
        <v>5.3521979999999996</v>
      </c>
      <c r="P976" s="17">
        <v>9.3481430000000003</v>
      </c>
      <c r="Q976" s="17">
        <v>11.340590000000001</v>
      </c>
      <c r="R976" s="17">
        <v>6.2446380000000001</v>
      </c>
      <c r="S976" s="17">
        <v>13.69942</v>
      </c>
      <c r="AP976" s="35"/>
      <c r="AQ976" s="35"/>
      <c r="AR976" s="35"/>
      <c r="AS976" s="35"/>
    </row>
    <row r="977" spans="2:45" x14ac:dyDescent="0.2">
      <c r="B977" s="2">
        <v>43481.13721064815</v>
      </c>
      <c r="C977" s="5">
        <f t="shared" si="104"/>
        <v>9.2499996300000173</v>
      </c>
      <c r="D977" s="14">
        <v>6.0518749999999999</v>
      </c>
      <c r="E977" s="14">
        <v>7.1394000000000002</v>
      </c>
      <c r="F977" s="14">
        <v>5.3363550000000002</v>
      </c>
      <c r="G977" s="14">
        <v>5.0427210000000002</v>
      </c>
      <c r="H977" s="15">
        <v>6.2370409999999996</v>
      </c>
      <c r="I977" s="15">
        <v>3.5781459999999998</v>
      </c>
      <c r="J977" s="15">
        <v>15.796939999999999</v>
      </c>
      <c r="K977" s="15">
        <v>6.282438</v>
      </c>
      <c r="L977" s="16">
        <v>4.8785610000000004</v>
      </c>
      <c r="M977" s="16">
        <v>8.9861950000000004</v>
      </c>
      <c r="N977" s="16">
        <v>9.4267230000000009</v>
      </c>
      <c r="O977" s="16">
        <v>5.3521979999999996</v>
      </c>
      <c r="P977" s="17">
        <v>9.3481430000000003</v>
      </c>
      <c r="Q977" s="17">
        <v>11.340590000000001</v>
      </c>
      <c r="R977" s="17">
        <v>6.2446380000000001</v>
      </c>
      <c r="S977" s="17">
        <v>13.69942</v>
      </c>
      <c r="AP977" s="35"/>
      <c r="AQ977" s="35"/>
      <c r="AR977" s="35"/>
      <c r="AS977" s="35"/>
    </row>
    <row r="978" spans="2:45" x14ac:dyDescent="0.2">
      <c r="B978" s="2">
        <v>43481.140682870369</v>
      </c>
      <c r="C978" s="5">
        <f t="shared" si="104"/>
        <v>9.3333329600000177</v>
      </c>
      <c r="D978" s="14">
        <v>6.0518749999999999</v>
      </c>
      <c r="E978" s="14">
        <v>7.1398299999999999</v>
      </c>
      <c r="F978" s="14">
        <v>5.3363550000000002</v>
      </c>
      <c r="G978" s="14">
        <v>5.0427210000000002</v>
      </c>
      <c r="H978" s="15">
        <v>6.2380430000000002</v>
      </c>
      <c r="I978" s="15">
        <v>3.5781459999999998</v>
      </c>
      <c r="J978" s="15">
        <v>15.796939999999999</v>
      </c>
      <c r="K978" s="15">
        <v>6.282438</v>
      </c>
      <c r="L978" s="16">
        <v>4.8785610000000004</v>
      </c>
      <c r="M978" s="16">
        <v>8.9893420000000006</v>
      </c>
      <c r="N978" s="16">
        <v>9.4267230000000009</v>
      </c>
      <c r="O978" s="16">
        <v>5.3521979999999996</v>
      </c>
      <c r="P978" s="17">
        <v>9.3481430000000003</v>
      </c>
      <c r="Q978" s="17">
        <v>11.340590000000001</v>
      </c>
      <c r="R978" s="17">
        <v>6.2446380000000001</v>
      </c>
      <c r="S978" s="17">
        <v>13.69942</v>
      </c>
      <c r="AP978" s="35"/>
      <c r="AQ978" s="35"/>
      <c r="AR978" s="35"/>
      <c r="AS978" s="35"/>
    </row>
    <row r="979" spans="2:45" x14ac:dyDescent="0.2">
      <c r="B979" s="2">
        <v>43481.144155092596</v>
      </c>
      <c r="C979" s="5">
        <f t="shared" si="104"/>
        <v>9.416666290000018</v>
      </c>
      <c r="D979" s="14">
        <v>6.0518749999999999</v>
      </c>
      <c r="E979" s="14">
        <v>7.1402590000000004</v>
      </c>
      <c r="F979" s="14">
        <v>5.3363550000000002</v>
      </c>
      <c r="G979" s="14">
        <v>5.0427210000000002</v>
      </c>
      <c r="H979" s="15">
        <v>6.2390439999999998</v>
      </c>
      <c r="I979" s="15">
        <v>3.578341</v>
      </c>
      <c r="J979" s="15">
        <v>15.796939999999999</v>
      </c>
      <c r="K979" s="15">
        <v>6.282438</v>
      </c>
      <c r="L979" s="16">
        <v>4.8785610000000004</v>
      </c>
      <c r="M979" s="16">
        <v>8.9924890000000008</v>
      </c>
      <c r="N979" s="16">
        <v>9.4267230000000009</v>
      </c>
      <c r="O979" s="16">
        <v>5.3521979999999996</v>
      </c>
      <c r="P979" s="17">
        <v>9.3481430000000003</v>
      </c>
      <c r="Q979" s="17">
        <v>11.340590000000001</v>
      </c>
      <c r="R979" s="17">
        <v>6.2446380000000001</v>
      </c>
      <c r="S979" s="17">
        <v>13.69942</v>
      </c>
      <c r="AP979" s="35"/>
      <c r="AQ979" s="35"/>
      <c r="AR979" s="35"/>
      <c r="AS979" s="35"/>
    </row>
    <row r="980" spans="2:45" x14ac:dyDescent="0.2">
      <c r="B980" s="2">
        <v>43481.147627314815</v>
      </c>
      <c r="C980" s="5">
        <f t="shared" si="104"/>
        <v>9.4999996200000183</v>
      </c>
      <c r="D980" s="14">
        <v>6.0518749999999999</v>
      </c>
      <c r="E980" s="14">
        <v>7.1406879999999999</v>
      </c>
      <c r="F980" s="14">
        <v>5.3363550000000002</v>
      </c>
      <c r="G980" s="14">
        <v>5.0427210000000002</v>
      </c>
      <c r="H980" s="15">
        <v>6.2400460000000004</v>
      </c>
      <c r="I980" s="15">
        <v>3.5788419999999999</v>
      </c>
      <c r="J980" s="15">
        <v>15.796939999999999</v>
      </c>
      <c r="K980" s="15">
        <v>6.282438</v>
      </c>
      <c r="L980" s="16">
        <v>4.8785610000000004</v>
      </c>
      <c r="M980" s="16">
        <v>8.9945930000000001</v>
      </c>
      <c r="N980" s="16">
        <v>9.4267230000000009</v>
      </c>
      <c r="O980" s="16">
        <v>5.3521979999999996</v>
      </c>
      <c r="P980" s="17">
        <v>9.3481430000000003</v>
      </c>
      <c r="Q980" s="17">
        <v>11.340590000000001</v>
      </c>
      <c r="R980" s="17">
        <v>6.2446380000000001</v>
      </c>
      <c r="S980" s="17">
        <v>13.69942</v>
      </c>
      <c r="AP980" s="35"/>
      <c r="AQ980" s="35"/>
      <c r="AR980" s="35"/>
      <c r="AS980" s="35"/>
    </row>
    <row r="981" spans="2:45" x14ac:dyDescent="0.2">
      <c r="B981" s="2">
        <v>43481.151099537034</v>
      </c>
      <c r="C981" s="5">
        <f t="shared" si="104"/>
        <v>9.5833329500000186</v>
      </c>
      <c r="D981" s="14">
        <v>6.0518749999999999</v>
      </c>
      <c r="E981" s="14">
        <v>7.1408339999999999</v>
      </c>
      <c r="F981" s="14">
        <v>5.3363550000000002</v>
      </c>
      <c r="G981" s="14">
        <v>5.0427210000000002</v>
      </c>
      <c r="H981" s="15">
        <v>6.241047</v>
      </c>
      <c r="I981" s="15">
        <v>3.5793430000000002</v>
      </c>
      <c r="J981" s="15">
        <v>15.796939999999999</v>
      </c>
      <c r="K981" s="15">
        <v>6.282438</v>
      </c>
      <c r="L981" s="16">
        <v>4.8785610000000004</v>
      </c>
      <c r="M981" s="16">
        <v>8.9949870000000001</v>
      </c>
      <c r="N981" s="16">
        <v>9.4267230000000009</v>
      </c>
      <c r="O981" s="16">
        <v>5.3521979999999996</v>
      </c>
      <c r="P981" s="17">
        <v>9.3481430000000003</v>
      </c>
      <c r="Q981" s="17">
        <v>11.340590000000001</v>
      </c>
      <c r="R981" s="17">
        <v>6.2446380000000001</v>
      </c>
      <c r="S981" s="17">
        <v>13.69942</v>
      </c>
      <c r="AP981" s="35"/>
      <c r="AQ981" s="35"/>
      <c r="AR981" s="35"/>
      <c r="AS981" s="35"/>
    </row>
    <row r="982" spans="2:45" x14ac:dyDescent="0.2">
      <c r="B982" s="2">
        <v>43481.15457175926</v>
      </c>
      <c r="C982" s="5">
        <f t="shared" si="104"/>
        <v>9.6666662800000189</v>
      </c>
      <c r="D982" s="14">
        <v>6.0518749999999999</v>
      </c>
      <c r="E982" s="14">
        <v>7.1408339999999999</v>
      </c>
      <c r="F982" s="14">
        <v>5.3363550000000002</v>
      </c>
      <c r="G982" s="14">
        <v>5.0427210000000002</v>
      </c>
      <c r="H982" s="15">
        <v>6.2420479999999996</v>
      </c>
      <c r="I982" s="15">
        <v>3.5798429999999999</v>
      </c>
      <c r="J982" s="15">
        <v>15.796939999999999</v>
      </c>
      <c r="K982" s="15">
        <v>6.282438</v>
      </c>
      <c r="L982" s="16">
        <v>4.8785610000000004</v>
      </c>
      <c r="M982" s="16">
        <v>8.9955590000000001</v>
      </c>
      <c r="N982" s="16">
        <v>9.4267230000000009</v>
      </c>
      <c r="O982" s="16">
        <v>5.3521979999999996</v>
      </c>
      <c r="P982" s="17">
        <v>9.3481430000000003</v>
      </c>
      <c r="Q982" s="17">
        <v>11.340590000000001</v>
      </c>
      <c r="R982" s="17">
        <v>6.2446380000000001</v>
      </c>
      <c r="S982" s="17">
        <v>13.69942</v>
      </c>
      <c r="AP982" s="35"/>
      <c r="AQ982" s="35"/>
      <c r="AR982" s="35"/>
      <c r="AS982" s="35"/>
    </row>
    <row r="983" spans="2:45" x14ac:dyDescent="0.2">
      <c r="B983" s="2">
        <v>43481.158043981479</v>
      </c>
      <c r="C983" s="5">
        <f t="shared" si="104"/>
        <v>9.7499996100000192</v>
      </c>
      <c r="D983" s="14">
        <v>6.0518749999999999</v>
      </c>
      <c r="E983" s="14">
        <v>7.1408339999999999</v>
      </c>
      <c r="F983" s="14">
        <v>5.3363550000000002</v>
      </c>
      <c r="G983" s="14">
        <v>5.0427210000000002</v>
      </c>
      <c r="H983" s="15">
        <v>6.2426740000000001</v>
      </c>
      <c r="I983" s="15">
        <v>3.5803440000000002</v>
      </c>
      <c r="J983" s="15">
        <v>15.796939999999999</v>
      </c>
      <c r="K983" s="15">
        <v>6.282438</v>
      </c>
      <c r="L983" s="16">
        <v>4.8785610000000004</v>
      </c>
      <c r="M983" s="16">
        <v>8.9961310000000001</v>
      </c>
      <c r="N983" s="16">
        <v>9.4267230000000009</v>
      </c>
      <c r="O983" s="16">
        <v>5.3521979999999996</v>
      </c>
      <c r="P983" s="17">
        <v>9.3481430000000003</v>
      </c>
      <c r="Q983" s="17">
        <v>11.340590000000001</v>
      </c>
      <c r="R983" s="17">
        <v>6.2446380000000001</v>
      </c>
      <c r="S983" s="17">
        <v>13.69942</v>
      </c>
      <c r="AP983" s="35"/>
      <c r="AQ983" s="35"/>
      <c r="AR983" s="35"/>
      <c r="AS983" s="35"/>
    </row>
    <row r="984" spans="2:45" x14ac:dyDescent="0.2">
      <c r="B984" s="2">
        <v>43481.161516203705</v>
      </c>
      <c r="C984" s="5">
        <f t="shared" si="104"/>
        <v>9.8333329400000196</v>
      </c>
      <c r="D984" s="14">
        <v>6.0518749999999999</v>
      </c>
      <c r="E984" s="14">
        <v>7.1408339999999999</v>
      </c>
      <c r="F984" s="14">
        <v>5.3363550000000002</v>
      </c>
      <c r="G984" s="14">
        <v>5.0427210000000002</v>
      </c>
      <c r="H984" s="15">
        <v>6.2427570000000001</v>
      </c>
      <c r="I984" s="15">
        <v>3.5808450000000001</v>
      </c>
      <c r="J984" s="15">
        <v>15.796939999999999</v>
      </c>
      <c r="K984" s="15">
        <v>6.282438</v>
      </c>
      <c r="L984" s="16">
        <v>4.8785610000000004</v>
      </c>
      <c r="M984" s="16">
        <v>8.9967030000000001</v>
      </c>
      <c r="N984" s="16">
        <v>9.4267230000000009</v>
      </c>
      <c r="O984" s="16">
        <v>5.3521979999999996</v>
      </c>
      <c r="P984" s="17">
        <v>9.3481430000000003</v>
      </c>
      <c r="Q984" s="17">
        <v>11.340590000000001</v>
      </c>
      <c r="R984" s="17">
        <v>6.2446380000000001</v>
      </c>
      <c r="S984" s="17">
        <v>13.69942</v>
      </c>
      <c r="AP984" s="35"/>
      <c r="AQ984" s="35"/>
      <c r="AR984" s="35"/>
      <c r="AS984" s="35"/>
    </row>
    <row r="985" spans="2:45" x14ac:dyDescent="0.2">
      <c r="B985" s="2">
        <v>43481.164988425924</v>
      </c>
      <c r="C985" s="5">
        <f t="shared" si="104"/>
        <v>9.9166662700000199</v>
      </c>
      <c r="D985" s="14">
        <v>6.0518749999999999</v>
      </c>
      <c r="E985" s="14">
        <v>7.1408339999999999</v>
      </c>
      <c r="F985" s="14">
        <v>5.3363550000000002</v>
      </c>
      <c r="G985" s="14">
        <v>5.0427210000000002</v>
      </c>
      <c r="H985" s="15">
        <v>6.2430430000000001</v>
      </c>
      <c r="I985" s="15">
        <v>3.5813449999999998</v>
      </c>
      <c r="J985" s="15">
        <v>15.796939999999999</v>
      </c>
      <c r="K985" s="15">
        <v>6.282438</v>
      </c>
      <c r="L985" s="16">
        <v>4.8785610000000004</v>
      </c>
      <c r="M985" s="16">
        <v>8.9972750000000001</v>
      </c>
      <c r="N985" s="16">
        <v>9.4267230000000009</v>
      </c>
      <c r="O985" s="16">
        <v>5.3521979999999996</v>
      </c>
      <c r="P985" s="17">
        <v>9.3481430000000003</v>
      </c>
      <c r="Q985" s="17">
        <v>11.340590000000001</v>
      </c>
      <c r="R985" s="17">
        <v>6.2446380000000001</v>
      </c>
      <c r="S985" s="17">
        <v>13.69942</v>
      </c>
      <c r="AP985" s="35"/>
      <c r="AQ985" s="35"/>
      <c r="AR985" s="35"/>
      <c r="AS985" s="35"/>
    </row>
    <row r="986" spans="2:45" x14ac:dyDescent="0.2">
      <c r="B986" s="2">
        <v>43481.16846064815</v>
      </c>
      <c r="C986" s="5">
        <f t="shared" si="104"/>
        <v>9.9999996000000202</v>
      </c>
      <c r="D986" s="14">
        <v>6.0518749999999999</v>
      </c>
      <c r="E986" s="14">
        <v>7.1408339999999999</v>
      </c>
      <c r="F986" s="14">
        <v>5.3363550000000002</v>
      </c>
      <c r="G986" s="14">
        <v>5.0427210000000002</v>
      </c>
      <c r="H986" s="15">
        <v>6.2433300000000003</v>
      </c>
      <c r="I986" s="15">
        <v>3.5818460000000001</v>
      </c>
      <c r="J986" s="15">
        <v>15.796939999999999</v>
      </c>
      <c r="K986" s="15">
        <v>6.282438</v>
      </c>
      <c r="L986" s="16">
        <v>4.8785610000000004</v>
      </c>
      <c r="M986" s="16">
        <v>8.9978479999999994</v>
      </c>
      <c r="N986" s="16">
        <v>9.4267230000000009</v>
      </c>
      <c r="O986" s="16">
        <v>5.3521979999999996</v>
      </c>
      <c r="P986" s="17">
        <v>9.3481430000000003</v>
      </c>
      <c r="Q986" s="17">
        <v>11.340590000000001</v>
      </c>
      <c r="R986" s="17">
        <v>6.2466739999999996</v>
      </c>
      <c r="S986" s="17">
        <v>13.69942</v>
      </c>
      <c r="V986" s="25">
        <v>10</v>
      </c>
      <c r="W986">
        <f>AVERAGE(D975:D986)</f>
        <v>6.0518749999999999</v>
      </c>
      <c r="X986">
        <f t="shared" ref="X986:AL986" si="106">AVERAGE(E975:E986)</f>
        <v>7.1402244999999986</v>
      </c>
      <c r="Y986">
        <f t="shared" si="106"/>
        <v>5.3363549999999984</v>
      </c>
      <c r="Z986">
        <f t="shared" si="106"/>
        <v>5.0427210000000002</v>
      </c>
      <c r="AA986">
        <f t="shared" si="106"/>
        <v>6.240012666666666</v>
      </c>
      <c r="AB986">
        <f t="shared" si="106"/>
        <v>3.5794444166666666</v>
      </c>
      <c r="AC986">
        <f t="shared" si="106"/>
        <v>15.796940000000005</v>
      </c>
      <c r="AD986">
        <f t="shared" si="106"/>
        <v>6.282438</v>
      </c>
      <c r="AE986">
        <f t="shared" si="106"/>
        <v>4.8785609999999995</v>
      </c>
      <c r="AF986">
        <f t="shared" si="106"/>
        <v>8.9925278333333356</v>
      </c>
      <c r="AG986">
        <f t="shared" si="106"/>
        <v>9.4267229999999991</v>
      </c>
      <c r="AH986">
        <f t="shared" si="106"/>
        <v>5.3521980000000005</v>
      </c>
      <c r="AI986">
        <f t="shared" si="106"/>
        <v>9.3481429999999985</v>
      </c>
      <c r="AJ986">
        <f t="shared" si="106"/>
        <v>11.340590000000004</v>
      </c>
      <c r="AK986">
        <f t="shared" si="106"/>
        <v>6.2448076666666674</v>
      </c>
      <c r="AL986">
        <f t="shared" si="106"/>
        <v>13.699420000000002</v>
      </c>
      <c r="AO986" s="25">
        <v>10</v>
      </c>
      <c r="AP986" s="35">
        <f>AVERAGE(W986:Z986)</f>
        <v>5.8927938749999988</v>
      </c>
      <c r="AQ986" s="35">
        <f>AVERAGE(AA986:AD986)</f>
        <v>7.9747087708333346</v>
      </c>
      <c r="AR986" s="35">
        <f>AVERAGE(AE986:AH986)</f>
        <v>7.1625024583333339</v>
      </c>
      <c r="AS986" s="35">
        <f>AVERAGE(AI986:AL986)</f>
        <v>10.158240166666667</v>
      </c>
    </row>
    <row r="987" spans="2:45" x14ac:dyDescent="0.2">
      <c r="B987" s="2">
        <v>43481.171932870369</v>
      </c>
      <c r="C987" s="5">
        <f t="shared" si="104"/>
        <v>10.083332930000021</v>
      </c>
      <c r="D987" s="14">
        <v>6.0518749999999999</v>
      </c>
      <c r="E987" s="14">
        <v>7.1408339999999999</v>
      </c>
      <c r="F987" s="14">
        <v>5.3363550000000002</v>
      </c>
      <c r="G987" s="14">
        <v>5.0427210000000002</v>
      </c>
      <c r="H987" s="15">
        <v>6.2436160000000003</v>
      </c>
      <c r="I987" s="15">
        <v>3.5823469999999999</v>
      </c>
      <c r="J987" s="15">
        <v>15.796939999999999</v>
      </c>
      <c r="K987" s="15">
        <v>6.282438</v>
      </c>
      <c r="L987" s="16">
        <v>4.8785610000000004</v>
      </c>
      <c r="M987" s="16">
        <v>8.9984199999999994</v>
      </c>
      <c r="N987" s="16">
        <v>9.4267230000000009</v>
      </c>
      <c r="O987" s="16">
        <v>5.3521979999999996</v>
      </c>
      <c r="P987" s="17">
        <v>9.3481430000000003</v>
      </c>
      <c r="Q987" s="17">
        <v>11.340590000000001</v>
      </c>
      <c r="R987" s="17">
        <v>6.2488190000000001</v>
      </c>
      <c r="S987" s="17">
        <v>13.69942</v>
      </c>
      <c r="AP987" s="35"/>
      <c r="AQ987" s="35"/>
      <c r="AR987" s="35"/>
      <c r="AS987" s="35"/>
    </row>
    <row r="988" spans="2:45" x14ac:dyDescent="0.2">
      <c r="B988" s="2">
        <v>43481.175405092596</v>
      </c>
      <c r="C988" s="5">
        <f t="shared" si="104"/>
        <v>10.166666260000021</v>
      </c>
      <c r="D988" s="14">
        <v>6.0518749999999999</v>
      </c>
      <c r="E988" s="14">
        <v>7.1408339999999999</v>
      </c>
      <c r="F988" s="14">
        <v>5.3363550000000002</v>
      </c>
      <c r="G988" s="14">
        <v>5.0427210000000002</v>
      </c>
      <c r="H988" s="15">
        <v>6.2439020000000003</v>
      </c>
      <c r="I988" s="15">
        <v>3.5828470000000001</v>
      </c>
      <c r="J988" s="15">
        <v>15.796939999999999</v>
      </c>
      <c r="K988" s="15">
        <v>6.282438</v>
      </c>
      <c r="L988" s="16">
        <v>4.8785610000000004</v>
      </c>
      <c r="M988" s="16">
        <v>8.9989919999999994</v>
      </c>
      <c r="N988" s="16">
        <v>9.4267230000000009</v>
      </c>
      <c r="O988" s="16">
        <v>5.3521979999999996</v>
      </c>
      <c r="P988" s="17">
        <v>9.3481430000000003</v>
      </c>
      <c r="Q988" s="17">
        <v>11.34357</v>
      </c>
      <c r="R988" s="17">
        <v>6.2509649999999999</v>
      </c>
      <c r="S988" s="17">
        <v>13.69942</v>
      </c>
      <c r="AP988" s="35"/>
      <c r="AQ988" s="35"/>
      <c r="AR988" s="35"/>
      <c r="AS988" s="35"/>
    </row>
    <row r="989" spans="2:45" x14ac:dyDescent="0.2">
      <c r="B989" s="2">
        <v>43481.178877314815</v>
      </c>
      <c r="C989" s="5">
        <f t="shared" si="104"/>
        <v>10.249999590000021</v>
      </c>
      <c r="D989" s="14">
        <v>6.0518749999999999</v>
      </c>
      <c r="E989" s="14">
        <v>7.1408339999999999</v>
      </c>
      <c r="F989" s="14">
        <v>5.3363550000000002</v>
      </c>
      <c r="G989" s="14">
        <v>5.0427210000000002</v>
      </c>
      <c r="H989" s="15">
        <v>6.2441880000000003</v>
      </c>
      <c r="I989" s="15">
        <v>3.5830359999999999</v>
      </c>
      <c r="J989" s="15">
        <v>15.796939999999999</v>
      </c>
      <c r="K989" s="15">
        <v>6.282438</v>
      </c>
      <c r="L989" s="16">
        <v>4.8785610000000004</v>
      </c>
      <c r="M989" s="16">
        <v>8.9995639999999995</v>
      </c>
      <c r="N989" s="16">
        <v>9.4267230000000009</v>
      </c>
      <c r="O989" s="16">
        <v>5.3521979999999996</v>
      </c>
      <c r="P989" s="17">
        <v>9.3481430000000003</v>
      </c>
      <c r="Q989" s="17">
        <v>11.34815</v>
      </c>
      <c r="R989" s="17">
        <v>6.2531109999999996</v>
      </c>
      <c r="S989" s="17">
        <v>13.69942</v>
      </c>
      <c r="AP989" s="35"/>
      <c r="AQ989" s="35"/>
      <c r="AR989" s="35"/>
      <c r="AS989" s="35"/>
    </row>
    <row r="990" spans="2:45" x14ac:dyDescent="0.2">
      <c r="B990" s="2">
        <v>43481.182349537034</v>
      </c>
      <c r="C990" s="5">
        <f t="shared" si="104"/>
        <v>10.333332920000021</v>
      </c>
      <c r="D990" s="14">
        <v>6.0518749999999999</v>
      </c>
      <c r="E990" s="14">
        <v>7.1408339999999999</v>
      </c>
      <c r="F990" s="14">
        <v>5.3363550000000002</v>
      </c>
      <c r="G990" s="14">
        <v>5.0427210000000002</v>
      </c>
      <c r="H990" s="15">
        <v>6.2444740000000003</v>
      </c>
      <c r="I990" s="15">
        <v>3.5830359999999999</v>
      </c>
      <c r="J990" s="15">
        <v>15.796939999999999</v>
      </c>
      <c r="K990" s="15">
        <v>6.282438</v>
      </c>
      <c r="L990" s="16">
        <v>4.8785610000000004</v>
      </c>
      <c r="M990" s="16">
        <v>9.0001359999999995</v>
      </c>
      <c r="N990" s="16">
        <v>9.4267230000000009</v>
      </c>
      <c r="O990" s="16">
        <v>5.3521979999999996</v>
      </c>
      <c r="P990" s="17">
        <v>9.3481430000000003</v>
      </c>
      <c r="Q990" s="17">
        <v>11.35272</v>
      </c>
      <c r="R990" s="17">
        <v>6.2552570000000003</v>
      </c>
      <c r="S990" s="17">
        <v>13.69942</v>
      </c>
      <c r="AP990" s="35"/>
      <c r="AQ990" s="35"/>
      <c r="AR990" s="35"/>
      <c r="AS990" s="35"/>
    </row>
    <row r="991" spans="2:45" x14ac:dyDescent="0.2">
      <c r="B991" s="2">
        <v>43481.18582175926</v>
      </c>
      <c r="C991" s="5">
        <f t="shared" si="104"/>
        <v>10.416666250000022</v>
      </c>
      <c r="D991" s="14">
        <v>6.0542740000000004</v>
      </c>
      <c r="E991" s="14">
        <v>7.1408339999999999</v>
      </c>
      <c r="F991" s="14">
        <v>5.3363550000000002</v>
      </c>
      <c r="G991" s="14">
        <v>5.0427210000000002</v>
      </c>
      <c r="H991" s="15">
        <v>6.2447600000000003</v>
      </c>
      <c r="I991" s="15">
        <v>3.5830359999999999</v>
      </c>
      <c r="J991" s="15">
        <v>15.796939999999999</v>
      </c>
      <c r="K991" s="15">
        <v>6.282438</v>
      </c>
      <c r="L991" s="16">
        <v>4.8785610000000004</v>
      </c>
      <c r="M991" s="16">
        <v>9.0007090000000005</v>
      </c>
      <c r="N991" s="16">
        <v>9.4267230000000009</v>
      </c>
      <c r="O991" s="16">
        <v>5.3521979999999996</v>
      </c>
      <c r="P991" s="17">
        <v>9.3481430000000003</v>
      </c>
      <c r="Q991" s="17">
        <v>11.3573</v>
      </c>
      <c r="R991" s="17">
        <v>6.2574019999999999</v>
      </c>
      <c r="S991" s="17">
        <v>13.69942</v>
      </c>
      <c r="AP991" s="35"/>
      <c r="AQ991" s="35"/>
      <c r="AR991" s="35"/>
      <c r="AS991" s="35"/>
    </row>
    <row r="992" spans="2:45" x14ac:dyDescent="0.2">
      <c r="B992" s="2">
        <v>43481.189293981479</v>
      </c>
      <c r="C992" s="5">
        <f t="shared" si="104"/>
        <v>10.499999580000022</v>
      </c>
      <c r="D992" s="14">
        <v>6.0604250000000004</v>
      </c>
      <c r="E992" s="14">
        <v>7.1408339999999999</v>
      </c>
      <c r="F992" s="14">
        <v>5.3363550000000002</v>
      </c>
      <c r="G992" s="14">
        <v>5.0427210000000002</v>
      </c>
      <c r="H992" s="15">
        <v>6.2450460000000003</v>
      </c>
      <c r="I992" s="15">
        <v>3.5830359999999999</v>
      </c>
      <c r="J992" s="15">
        <v>15.796939999999999</v>
      </c>
      <c r="K992" s="15">
        <v>6.282438</v>
      </c>
      <c r="L992" s="16">
        <v>4.8785610000000004</v>
      </c>
      <c r="M992" s="16">
        <v>9.0012810000000005</v>
      </c>
      <c r="N992" s="16">
        <v>9.4307479999999995</v>
      </c>
      <c r="O992" s="16">
        <v>5.3521979999999996</v>
      </c>
      <c r="P992" s="17">
        <v>9.3481430000000003</v>
      </c>
      <c r="Q992" s="17">
        <v>11.361879999999999</v>
      </c>
      <c r="R992" s="17">
        <v>6.2595479999999997</v>
      </c>
      <c r="S992" s="17">
        <v>13.69942</v>
      </c>
      <c r="AP992" s="35"/>
      <c r="AQ992" s="35"/>
      <c r="AR992" s="35"/>
      <c r="AS992" s="35"/>
    </row>
    <row r="993" spans="2:45" x14ac:dyDescent="0.2">
      <c r="B993" s="2">
        <v>43481.192766203705</v>
      </c>
      <c r="C993" s="5">
        <f t="shared" si="104"/>
        <v>10.583332910000022</v>
      </c>
      <c r="D993" s="14">
        <v>6.0665760000000004</v>
      </c>
      <c r="E993" s="14">
        <v>7.1408339999999999</v>
      </c>
      <c r="F993" s="14">
        <v>5.3363550000000002</v>
      </c>
      <c r="G993" s="14">
        <v>5.0427210000000002</v>
      </c>
      <c r="H993" s="15">
        <v>6.2453320000000003</v>
      </c>
      <c r="I993" s="15">
        <v>3.5830359999999999</v>
      </c>
      <c r="J993" s="15">
        <v>15.796939999999999</v>
      </c>
      <c r="K993" s="15">
        <v>6.282438</v>
      </c>
      <c r="L993" s="16">
        <v>4.8785610000000004</v>
      </c>
      <c r="M993" s="16">
        <v>9.0018530000000005</v>
      </c>
      <c r="N993" s="16">
        <v>9.4373280000000008</v>
      </c>
      <c r="O993" s="16">
        <v>5.3521979999999996</v>
      </c>
      <c r="P993" s="17">
        <v>9.3481430000000003</v>
      </c>
      <c r="Q993" s="17">
        <v>11.36646</v>
      </c>
      <c r="R993" s="17">
        <v>6.2616940000000003</v>
      </c>
      <c r="S993" s="17">
        <v>13.69942</v>
      </c>
      <c r="AP993" s="35"/>
      <c r="AQ993" s="35"/>
      <c r="AR993" s="35"/>
      <c r="AS993" s="35"/>
    </row>
    <row r="994" spans="2:45" x14ac:dyDescent="0.2">
      <c r="B994" s="2">
        <v>43481.196238425924</v>
      </c>
      <c r="C994" s="5">
        <f t="shared" si="104"/>
        <v>10.666666240000023</v>
      </c>
      <c r="D994" s="14">
        <v>6.0727270000000004</v>
      </c>
      <c r="E994" s="14">
        <v>7.1408339999999999</v>
      </c>
      <c r="F994" s="14">
        <v>5.3363550000000002</v>
      </c>
      <c r="G994" s="14">
        <v>5.0427210000000002</v>
      </c>
      <c r="H994" s="15">
        <v>6.2456180000000003</v>
      </c>
      <c r="I994" s="15">
        <v>3.5830359999999999</v>
      </c>
      <c r="J994" s="15">
        <v>15.796939999999999</v>
      </c>
      <c r="K994" s="15">
        <v>6.282438</v>
      </c>
      <c r="L994" s="16">
        <v>4.8785610000000004</v>
      </c>
      <c r="M994" s="16">
        <v>9.0024250000000006</v>
      </c>
      <c r="N994" s="16">
        <v>9.4439089999999997</v>
      </c>
      <c r="O994" s="16">
        <v>5.3521979999999996</v>
      </c>
      <c r="P994" s="17">
        <v>9.3481430000000003</v>
      </c>
      <c r="Q994" s="17">
        <v>11.371029999999999</v>
      </c>
      <c r="R994" s="17">
        <v>6.2638400000000001</v>
      </c>
      <c r="S994" s="17">
        <v>13.69942</v>
      </c>
      <c r="AP994" s="35"/>
      <c r="AQ994" s="35"/>
      <c r="AR994" s="35"/>
      <c r="AS994" s="35"/>
    </row>
    <row r="995" spans="2:45" x14ac:dyDescent="0.2">
      <c r="B995" s="2">
        <v>43481.19971064815</v>
      </c>
      <c r="C995" s="5">
        <f t="shared" si="104"/>
        <v>10.749999570000023</v>
      </c>
      <c r="D995" s="14">
        <v>6.0788779999999996</v>
      </c>
      <c r="E995" s="14">
        <v>7.1408339999999999</v>
      </c>
      <c r="F995" s="14">
        <v>5.3363550000000002</v>
      </c>
      <c r="G995" s="14">
        <v>5.0427210000000002</v>
      </c>
      <c r="H995" s="15">
        <v>6.2459040000000003</v>
      </c>
      <c r="I995" s="15">
        <v>3.5830359999999999</v>
      </c>
      <c r="J995" s="15">
        <v>15.796939999999999</v>
      </c>
      <c r="K995" s="15">
        <v>6.282438</v>
      </c>
      <c r="L995" s="16">
        <v>4.8785610000000004</v>
      </c>
      <c r="M995" s="16">
        <v>9.0029970000000006</v>
      </c>
      <c r="N995" s="16">
        <v>9.4504889999999993</v>
      </c>
      <c r="O995" s="16">
        <v>5.3521979999999996</v>
      </c>
      <c r="P995" s="17">
        <v>9.3481430000000003</v>
      </c>
      <c r="Q995" s="17">
        <v>11.37561</v>
      </c>
      <c r="R995" s="17">
        <v>6.2659849999999997</v>
      </c>
      <c r="S995" s="17">
        <v>13.69942</v>
      </c>
      <c r="AP995" s="35"/>
      <c r="AQ995" s="35"/>
      <c r="AR995" s="35"/>
      <c r="AS995" s="35"/>
    </row>
    <row r="996" spans="2:45" x14ac:dyDescent="0.2">
      <c r="B996" s="2">
        <v>43481.203182870369</v>
      </c>
      <c r="C996" s="5">
        <f t="shared" si="104"/>
        <v>10.833332900000023</v>
      </c>
      <c r="D996" s="14">
        <v>6.0850299999999997</v>
      </c>
      <c r="E996" s="14">
        <v>7.1408339999999999</v>
      </c>
      <c r="F996" s="14">
        <v>5.3363550000000002</v>
      </c>
      <c r="G996" s="14">
        <v>5.0427210000000002</v>
      </c>
      <c r="H996" s="15">
        <v>6.2461909999999996</v>
      </c>
      <c r="I996" s="15">
        <v>3.5830359999999999</v>
      </c>
      <c r="J996" s="15">
        <v>15.796939999999999</v>
      </c>
      <c r="K996" s="15">
        <v>6.282438</v>
      </c>
      <c r="L996" s="16">
        <v>4.8785610000000004</v>
      </c>
      <c r="M996" s="16">
        <v>9.0035699999999999</v>
      </c>
      <c r="N996" s="16">
        <v>9.4570690000000006</v>
      </c>
      <c r="O996" s="16">
        <v>5.3521979999999996</v>
      </c>
      <c r="P996" s="17">
        <v>9.3481430000000003</v>
      </c>
      <c r="Q996" s="17">
        <v>11.380190000000001</v>
      </c>
      <c r="R996" s="17">
        <v>6.2681310000000003</v>
      </c>
      <c r="S996" s="17">
        <v>13.69942</v>
      </c>
      <c r="AP996" s="35"/>
      <c r="AQ996" s="35"/>
      <c r="AR996" s="35"/>
      <c r="AS996" s="35"/>
    </row>
    <row r="997" spans="2:45" x14ac:dyDescent="0.2">
      <c r="B997" s="2">
        <v>43481.206655092596</v>
      </c>
      <c r="C997" s="5">
        <f t="shared" si="104"/>
        <v>10.916666230000024</v>
      </c>
      <c r="D997" s="14">
        <v>6.0911809999999997</v>
      </c>
      <c r="E997" s="14">
        <v>7.1408339999999999</v>
      </c>
      <c r="F997" s="14">
        <v>5.3363550000000002</v>
      </c>
      <c r="G997" s="14">
        <v>5.0427210000000002</v>
      </c>
      <c r="H997" s="15">
        <v>6.2464769999999996</v>
      </c>
      <c r="I997" s="15">
        <v>3.5830359999999999</v>
      </c>
      <c r="J997" s="15">
        <v>15.796939999999999</v>
      </c>
      <c r="K997" s="15">
        <v>6.282438</v>
      </c>
      <c r="L997" s="16">
        <v>4.8785610000000004</v>
      </c>
      <c r="M997" s="16">
        <v>9.0041659999999997</v>
      </c>
      <c r="N997" s="16">
        <v>9.4636499999999995</v>
      </c>
      <c r="O997" s="16">
        <v>5.3521979999999996</v>
      </c>
      <c r="P997" s="17">
        <v>9.3481430000000003</v>
      </c>
      <c r="Q997" s="17">
        <v>11.38477</v>
      </c>
      <c r="R997" s="17">
        <v>6.2702770000000001</v>
      </c>
      <c r="S997" s="17">
        <v>13.69942</v>
      </c>
      <c r="AP997" s="35"/>
      <c r="AQ997" s="35"/>
      <c r="AR997" s="35"/>
      <c r="AS997" s="35"/>
    </row>
    <row r="998" spans="2:45" x14ac:dyDescent="0.2">
      <c r="B998" s="2">
        <v>43481.210127314815</v>
      </c>
      <c r="C998" s="5">
        <f t="shared" si="104"/>
        <v>10.999999560000024</v>
      </c>
      <c r="D998" s="14">
        <v>6.0973319999999998</v>
      </c>
      <c r="E998" s="14">
        <v>7.1408339999999999</v>
      </c>
      <c r="F998" s="14">
        <v>5.3363550000000002</v>
      </c>
      <c r="G998" s="14">
        <v>5.0427210000000002</v>
      </c>
      <c r="H998" s="15">
        <v>6.2467629999999996</v>
      </c>
      <c r="I998" s="15">
        <v>3.5830359999999999</v>
      </c>
      <c r="J998" s="15">
        <v>15.796939999999999</v>
      </c>
      <c r="K998" s="15">
        <v>6.282438</v>
      </c>
      <c r="L998" s="16">
        <v>4.8785610000000004</v>
      </c>
      <c r="M998" s="16">
        <v>9.0041689999999992</v>
      </c>
      <c r="N998" s="16">
        <v>9.4702300000000008</v>
      </c>
      <c r="O998" s="16">
        <v>5.3521979999999996</v>
      </c>
      <c r="P998" s="17">
        <v>9.3481430000000003</v>
      </c>
      <c r="Q998" s="17">
        <v>11.389340000000001</v>
      </c>
      <c r="R998" s="17">
        <v>6.2724229999999999</v>
      </c>
      <c r="S998" s="17">
        <v>13.69942</v>
      </c>
      <c r="V998" s="25">
        <v>11</v>
      </c>
      <c r="W998">
        <f>AVERAGE(D987:D998)</f>
        <v>6.0678269166666672</v>
      </c>
      <c r="X998">
        <f t="shared" ref="X998:AL998" si="107">AVERAGE(E987:E998)</f>
        <v>7.140833999999999</v>
      </c>
      <c r="Y998">
        <f t="shared" si="107"/>
        <v>5.3363549999999984</v>
      </c>
      <c r="Z998">
        <f t="shared" si="107"/>
        <v>5.0427210000000002</v>
      </c>
      <c r="AA998">
        <f t="shared" si="107"/>
        <v>6.2451892500000001</v>
      </c>
      <c r="AB998">
        <f t="shared" si="107"/>
        <v>3.5829628333333332</v>
      </c>
      <c r="AC998">
        <f t="shared" si="107"/>
        <v>15.796940000000005</v>
      </c>
      <c r="AD998">
        <f t="shared" si="107"/>
        <v>6.282438</v>
      </c>
      <c r="AE998">
        <f t="shared" si="107"/>
        <v>4.8785609999999995</v>
      </c>
      <c r="AF998">
        <f t="shared" si="107"/>
        <v>9.0015234999999993</v>
      </c>
      <c r="AG998">
        <f t="shared" si="107"/>
        <v>9.440586500000002</v>
      </c>
      <c r="AH998">
        <f t="shared" si="107"/>
        <v>5.3521980000000005</v>
      </c>
      <c r="AI998">
        <f t="shared" si="107"/>
        <v>9.3481429999999985</v>
      </c>
      <c r="AJ998">
        <f t="shared" si="107"/>
        <v>11.364300833333333</v>
      </c>
      <c r="AK998">
        <f t="shared" si="107"/>
        <v>6.2606210000000004</v>
      </c>
      <c r="AL998">
        <f t="shared" si="107"/>
        <v>13.699420000000002</v>
      </c>
      <c r="AO998" s="25">
        <v>11</v>
      </c>
      <c r="AP998" s="35">
        <f>AVERAGE(W998:Z998)</f>
        <v>5.896934229166666</v>
      </c>
      <c r="AQ998" s="35">
        <f>AVERAGE(AA998:AD998)</f>
        <v>7.9768825208333336</v>
      </c>
      <c r="AR998" s="35">
        <f>AVERAGE(AE998:AH998)</f>
        <v>7.1682172500000005</v>
      </c>
      <c r="AS998" s="35">
        <f>AVERAGE(AI998:AL998)</f>
        <v>10.168121208333334</v>
      </c>
    </row>
    <row r="999" spans="2:45" x14ac:dyDescent="0.2">
      <c r="B999" s="2">
        <v>43481.213599537034</v>
      </c>
      <c r="C999" s="5">
        <f t="shared" si="104"/>
        <v>11.083332890000024</v>
      </c>
      <c r="D999" s="14">
        <v>6.1034829999999998</v>
      </c>
      <c r="E999" s="14">
        <v>7.1408339999999999</v>
      </c>
      <c r="F999" s="14">
        <v>5.3363550000000002</v>
      </c>
      <c r="G999" s="14">
        <v>5.0427210000000002</v>
      </c>
      <c r="H999" s="15">
        <v>6.2470489999999996</v>
      </c>
      <c r="I999" s="15">
        <v>3.5830359999999999</v>
      </c>
      <c r="J999" s="15">
        <v>15.796939999999999</v>
      </c>
      <c r="K999" s="15">
        <v>6.282438</v>
      </c>
      <c r="L999" s="16">
        <v>4.8785610000000004</v>
      </c>
      <c r="M999" s="16">
        <v>9.0041689999999992</v>
      </c>
      <c r="N999" s="16">
        <v>9.4768100000000004</v>
      </c>
      <c r="O999" s="16">
        <v>5.3521979999999996</v>
      </c>
      <c r="P999" s="17">
        <v>9.3481430000000003</v>
      </c>
      <c r="Q999" s="17">
        <v>11.39392</v>
      </c>
      <c r="R999" s="17">
        <v>6.2746599999999999</v>
      </c>
      <c r="S999" s="17">
        <v>13.70364</v>
      </c>
      <c r="AP999" s="35"/>
      <c r="AQ999" s="35"/>
      <c r="AR999" s="35"/>
      <c r="AS999" s="35"/>
    </row>
    <row r="1000" spans="2:45" x14ac:dyDescent="0.2">
      <c r="B1000" s="2">
        <v>43481.21707175926</v>
      </c>
      <c r="C1000" s="5">
        <f t="shared" si="104"/>
        <v>11.166666220000025</v>
      </c>
      <c r="D1000" s="14">
        <v>6.1096339999999998</v>
      </c>
      <c r="E1000" s="14">
        <v>7.1408339999999999</v>
      </c>
      <c r="F1000" s="14">
        <v>5.3363550000000002</v>
      </c>
      <c r="G1000" s="14">
        <v>5.0427210000000002</v>
      </c>
      <c r="H1000" s="15">
        <v>6.2473349999999996</v>
      </c>
      <c r="I1000" s="15">
        <v>3.5830359999999999</v>
      </c>
      <c r="J1000" s="15">
        <v>15.796939999999999</v>
      </c>
      <c r="K1000" s="15">
        <v>6.282438</v>
      </c>
      <c r="L1000" s="16">
        <v>4.8785610000000004</v>
      </c>
      <c r="M1000" s="16">
        <v>9.0041689999999992</v>
      </c>
      <c r="N1000" s="16">
        <v>9.4833909999999992</v>
      </c>
      <c r="O1000" s="16">
        <v>5.3521979999999996</v>
      </c>
      <c r="P1000" s="17">
        <v>9.3481430000000003</v>
      </c>
      <c r="Q1000" s="17">
        <v>11.3985</v>
      </c>
      <c r="R1000" s="17">
        <v>6.2746719999999998</v>
      </c>
      <c r="S1000" s="17">
        <v>13.708500000000001</v>
      </c>
      <c r="AP1000" s="35"/>
      <c r="AQ1000" s="35"/>
      <c r="AR1000" s="35"/>
      <c r="AS1000" s="35"/>
    </row>
    <row r="1001" spans="2:45" x14ac:dyDescent="0.2">
      <c r="B1001" s="2">
        <v>43481.220543981479</v>
      </c>
      <c r="C1001" s="5">
        <f t="shared" si="104"/>
        <v>11.249999550000025</v>
      </c>
      <c r="D1001" s="14">
        <v>6.1157859999999999</v>
      </c>
      <c r="E1001" s="14">
        <v>7.1408339999999999</v>
      </c>
      <c r="F1001" s="14">
        <v>5.3363550000000002</v>
      </c>
      <c r="G1001" s="14">
        <v>5.0427210000000002</v>
      </c>
      <c r="H1001" s="15">
        <v>6.2476209999999996</v>
      </c>
      <c r="I1001" s="15">
        <v>3.5830359999999999</v>
      </c>
      <c r="J1001" s="15">
        <v>15.796939999999999</v>
      </c>
      <c r="K1001" s="15">
        <v>6.282438</v>
      </c>
      <c r="L1001" s="16">
        <v>4.8785610000000004</v>
      </c>
      <c r="M1001" s="16">
        <v>9.0041689999999992</v>
      </c>
      <c r="N1001" s="16">
        <v>9.4899710000000006</v>
      </c>
      <c r="O1001" s="16">
        <v>5.3521979999999996</v>
      </c>
      <c r="P1001" s="17">
        <v>9.3481430000000003</v>
      </c>
      <c r="Q1001" s="17">
        <v>11.403079999999999</v>
      </c>
      <c r="R1001" s="17">
        <v>6.2746719999999998</v>
      </c>
      <c r="S1001" s="17">
        <v>13.713369999999999</v>
      </c>
      <c r="AP1001" s="35"/>
      <c r="AQ1001" s="35"/>
      <c r="AR1001" s="35"/>
      <c r="AS1001" s="35"/>
    </row>
    <row r="1002" spans="2:45" x14ac:dyDescent="0.2">
      <c r="B1002" s="2">
        <v>43481.224016203705</v>
      </c>
      <c r="C1002" s="5">
        <f t="shared" si="104"/>
        <v>11.333332880000025</v>
      </c>
      <c r="D1002" s="14">
        <v>6.121937</v>
      </c>
      <c r="E1002" s="14">
        <v>7.1408339999999999</v>
      </c>
      <c r="F1002" s="14">
        <v>5.3363550000000002</v>
      </c>
      <c r="G1002" s="14">
        <v>5.0427210000000002</v>
      </c>
      <c r="H1002" s="15">
        <v>6.2479069999999997</v>
      </c>
      <c r="I1002" s="15">
        <v>3.5830359999999999</v>
      </c>
      <c r="J1002" s="15">
        <v>15.796939999999999</v>
      </c>
      <c r="K1002" s="15">
        <v>6.282438</v>
      </c>
      <c r="L1002" s="16">
        <v>4.8785610000000004</v>
      </c>
      <c r="M1002" s="16">
        <v>9.0041689999999992</v>
      </c>
      <c r="N1002" s="16">
        <v>9.4965519999999994</v>
      </c>
      <c r="O1002" s="16">
        <v>5.3521979999999996</v>
      </c>
      <c r="P1002" s="17">
        <v>9.3481430000000003</v>
      </c>
      <c r="Q1002" s="17">
        <v>11.40765</v>
      </c>
      <c r="R1002" s="17">
        <v>6.2746719999999998</v>
      </c>
      <c r="S1002" s="17">
        <v>13.71823</v>
      </c>
      <c r="AP1002" s="35"/>
      <c r="AQ1002" s="35"/>
      <c r="AR1002" s="35"/>
      <c r="AS1002" s="35"/>
    </row>
    <row r="1003" spans="2:45" x14ac:dyDescent="0.2">
      <c r="B1003" s="2">
        <v>43481.227488425924</v>
      </c>
      <c r="C1003" s="5">
        <f t="shared" si="104"/>
        <v>11.416666210000026</v>
      </c>
      <c r="D1003" s="14">
        <v>6.128088</v>
      </c>
      <c r="E1003" s="14">
        <v>7.14161</v>
      </c>
      <c r="F1003" s="14">
        <v>5.3363550000000002</v>
      </c>
      <c r="G1003" s="14">
        <v>5.0427210000000002</v>
      </c>
      <c r="H1003" s="15">
        <v>6.2481929999999997</v>
      </c>
      <c r="I1003" s="15">
        <v>3.5837400000000001</v>
      </c>
      <c r="J1003" s="15">
        <v>15.796939999999999</v>
      </c>
      <c r="K1003" s="15">
        <v>6.282438</v>
      </c>
      <c r="L1003" s="16">
        <v>4.8785610000000004</v>
      </c>
      <c r="M1003" s="16">
        <v>9.0041689999999992</v>
      </c>
      <c r="N1003" s="16">
        <v>9.5031320000000008</v>
      </c>
      <c r="O1003" s="16">
        <v>5.3521979999999996</v>
      </c>
      <c r="P1003" s="17">
        <v>9.3481430000000003</v>
      </c>
      <c r="Q1003" s="17">
        <v>11.412229999999999</v>
      </c>
      <c r="R1003" s="17">
        <v>6.2746719999999998</v>
      </c>
      <c r="S1003" s="17">
        <v>13.723089999999999</v>
      </c>
      <c r="AP1003" s="35"/>
      <c r="AQ1003" s="35"/>
      <c r="AR1003" s="35"/>
      <c r="AS1003" s="35"/>
    </row>
    <row r="1004" spans="2:45" x14ac:dyDescent="0.2">
      <c r="B1004" s="2">
        <v>43481.23096064815</v>
      </c>
      <c r="C1004" s="5">
        <f t="shared" si="104"/>
        <v>11.499999540000026</v>
      </c>
      <c r="D1004" s="14">
        <v>6.134239</v>
      </c>
      <c r="E1004" s="14">
        <v>7.146903</v>
      </c>
      <c r="F1004" s="14">
        <v>5.3363550000000002</v>
      </c>
      <c r="G1004" s="14">
        <v>5.0427210000000002</v>
      </c>
      <c r="H1004" s="15">
        <v>6.2484789999999997</v>
      </c>
      <c r="I1004" s="15">
        <v>3.5846689999999999</v>
      </c>
      <c r="J1004" s="15">
        <v>15.796939999999999</v>
      </c>
      <c r="K1004" s="15">
        <v>6.282438</v>
      </c>
      <c r="L1004" s="16">
        <v>4.8785610000000004</v>
      </c>
      <c r="M1004" s="16">
        <v>9.0041689999999992</v>
      </c>
      <c r="N1004" s="16">
        <v>9.5097120000000004</v>
      </c>
      <c r="O1004" s="16">
        <v>5.3521979999999996</v>
      </c>
      <c r="P1004" s="17">
        <v>9.3481430000000003</v>
      </c>
      <c r="Q1004" s="17">
        <v>11.41681</v>
      </c>
      <c r="R1004" s="17">
        <v>6.2746719999999998</v>
      </c>
      <c r="S1004" s="17">
        <v>13.727959999999999</v>
      </c>
      <c r="AP1004" s="35"/>
      <c r="AQ1004" s="35"/>
      <c r="AR1004" s="35"/>
      <c r="AS1004" s="35"/>
    </row>
    <row r="1005" spans="2:45" x14ac:dyDescent="0.2">
      <c r="B1005" s="2">
        <v>43481.234432870369</v>
      </c>
      <c r="C1005" s="5">
        <f t="shared" si="104"/>
        <v>11.583332870000026</v>
      </c>
      <c r="D1005" s="14">
        <v>6.14039</v>
      </c>
      <c r="E1005" s="14">
        <v>7.152196</v>
      </c>
      <c r="F1005" s="14">
        <v>5.3363550000000002</v>
      </c>
      <c r="G1005" s="14">
        <v>5.0427210000000002</v>
      </c>
      <c r="H1005" s="15">
        <v>6.2487649999999997</v>
      </c>
      <c r="I1005" s="15">
        <v>3.5855990000000002</v>
      </c>
      <c r="J1005" s="15">
        <v>15.796939999999999</v>
      </c>
      <c r="K1005" s="15">
        <v>6.282438</v>
      </c>
      <c r="L1005" s="16">
        <v>4.8785610000000004</v>
      </c>
      <c r="M1005" s="16">
        <v>9.0041689999999992</v>
      </c>
      <c r="N1005" s="16">
        <v>9.5162929999999992</v>
      </c>
      <c r="O1005" s="16">
        <v>5.3521979999999996</v>
      </c>
      <c r="P1005" s="17">
        <v>9.3481439999999996</v>
      </c>
      <c r="Q1005" s="17">
        <v>11.421390000000001</v>
      </c>
      <c r="R1005" s="17">
        <v>6.2746719999999998</v>
      </c>
      <c r="S1005" s="17">
        <v>13.73282</v>
      </c>
      <c r="AP1005" s="35"/>
      <c r="AQ1005" s="35"/>
      <c r="AR1005" s="35"/>
      <c r="AS1005" s="35"/>
    </row>
    <row r="1006" spans="2:45" x14ac:dyDescent="0.2">
      <c r="B1006" s="2">
        <v>43481.237905092596</v>
      </c>
      <c r="C1006" s="5">
        <f t="shared" si="104"/>
        <v>11.666666200000027</v>
      </c>
      <c r="D1006" s="14">
        <v>6.1465420000000002</v>
      </c>
      <c r="E1006" s="14">
        <v>7.157489</v>
      </c>
      <c r="F1006" s="14">
        <v>5.3363550000000002</v>
      </c>
      <c r="G1006" s="14">
        <v>5.0427210000000002</v>
      </c>
      <c r="H1006" s="15">
        <v>6.2490519999999998</v>
      </c>
      <c r="I1006" s="15">
        <v>3.5865290000000001</v>
      </c>
      <c r="J1006" s="15">
        <v>15.796939999999999</v>
      </c>
      <c r="K1006" s="15">
        <v>6.282438</v>
      </c>
      <c r="L1006" s="16">
        <v>4.8785610000000004</v>
      </c>
      <c r="M1006" s="16">
        <v>9.0041689999999992</v>
      </c>
      <c r="N1006" s="16">
        <v>9.5228730000000006</v>
      </c>
      <c r="O1006" s="16">
        <v>5.3521979999999996</v>
      </c>
      <c r="P1006" s="17">
        <v>9.3506660000000004</v>
      </c>
      <c r="Q1006" s="17">
        <v>11.42597</v>
      </c>
      <c r="R1006" s="17">
        <v>6.2746719999999998</v>
      </c>
      <c r="S1006" s="17">
        <v>13.737690000000001</v>
      </c>
      <c r="AP1006" s="35"/>
      <c r="AQ1006" s="35"/>
      <c r="AR1006" s="35"/>
      <c r="AS1006" s="35"/>
    </row>
    <row r="1007" spans="2:45" x14ac:dyDescent="0.2">
      <c r="B1007" s="2">
        <v>43481.241377314815</v>
      </c>
      <c r="C1007" s="5">
        <f t="shared" si="104"/>
        <v>11.749999530000027</v>
      </c>
      <c r="D1007" s="14">
        <v>6.1526930000000002</v>
      </c>
      <c r="E1007" s="14">
        <v>7.162782</v>
      </c>
      <c r="F1007" s="14">
        <v>5.3363550000000002</v>
      </c>
      <c r="G1007" s="14">
        <v>5.0427210000000002</v>
      </c>
      <c r="H1007" s="15">
        <v>6.2493379999999998</v>
      </c>
      <c r="I1007" s="15">
        <v>3.587459</v>
      </c>
      <c r="J1007" s="15">
        <v>15.796939999999999</v>
      </c>
      <c r="K1007" s="15">
        <v>6.282438</v>
      </c>
      <c r="L1007" s="16">
        <v>4.8785610000000004</v>
      </c>
      <c r="M1007" s="16">
        <v>9.0041689999999992</v>
      </c>
      <c r="N1007" s="16">
        <v>9.5294530000000002</v>
      </c>
      <c r="O1007" s="16">
        <v>5.3521979999999996</v>
      </c>
      <c r="P1007" s="17">
        <v>9.3532410000000006</v>
      </c>
      <c r="Q1007" s="17">
        <v>11.430540000000001</v>
      </c>
      <c r="R1007" s="17">
        <v>6.2746719999999998</v>
      </c>
      <c r="S1007" s="17">
        <v>13.739789999999999</v>
      </c>
      <c r="AP1007" s="35"/>
      <c r="AQ1007" s="35"/>
      <c r="AR1007" s="35"/>
      <c r="AS1007" s="35"/>
    </row>
    <row r="1008" spans="2:45" x14ac:dyDescent="0.2">
      <c r="B1008" s="2">
        <v>43481.244849537034</v>
      </c>
      <c r="C1008" s="5">
        <f t="shared" si="104"/>
        <v>11.833332860000027</v>
      </c>
      <c r="D1008" s="14">
        <v>6.1588440000000002</v>
      </c>
      <c r="E1008" s="14">
        <v>7.168075</v>
      </c>
      <c r="F1008" s="14">
        <v>5.3363550000000002</v>
      </c>
      <c r="G1008" s="14">
        <v>5.0427210000000002</v>
      </c>
      <c r="H1008" s="15">
        <v>6.2496239999999998</v>
      </c>
      <c r="I1008" s="15">
        <v>3.5883889999999998</v>
      </c>
      <c r="J1008" s="15">
        <v>15.796939999999999</v>
      </c>
      <c r="K1008" s="15">
        <v>6.282438</v>
      </c>
      <c r="L1008" s="16">
        <v>4.8785610000000004</v>
      </c>
      <c r="M1008" s="16">
        <v>9.0041689999999992</v>
      </c>
      <c r="N1008" s="16">
        <v>9.5360340000000008</v>
      </c>
      <c r="O1008" s="16">
        <v>5.3521979999999996</v>
      </c>
      <c r="P1008" s="17">
        <v>9.3558160000000008</v>
      </c>
      <c r="Q1008" s="17">
        <v>11.434889999999999</v>
      </c>
      <c r="R1008" s="17">
        <v>6.2746719999999998</v>
      </c>
      <c r="S1008" s="17">
        <v>13.74028</v>
      </c>
      <c r="AP1008" s="35"/>
      <c r="AQ1008" s="35"/>
      <c r="AR1008" s="35"/>
      <c r="AS1008" s="35"/>
    </row>
    <row r="1009" spans="2:45" x14ac:dyDescent="0.2">
      <c r="B1009" s="2">
        <v>43481.24832175926</v>
      </c>
      <c r="C1009" s="5">
        <f t="shared" si="104"/>
        <v>11.916666190000027</v>
      </c>
      <c r="D1009" s="14">
        <v>6.1649950000000002</v>
      </c>
      <c r="E1009" s="14">
        <v>7.173368</v>
      </c>
      <c r="F1009" s="14">
        <v>5.3363550000000002</v>
      </c>
      <c r="G1009" s="14">
        <v>5.0427210000000002</v>
      </c>
      <c r="H1009" s="15">
        <v>6.2499099999999999</v>
      </c>
      <c r="I1009" s="15">
        <v>3.5893190000000001</v>
      </c>
      <c r="J1009" s="15">
        <v>15.796939999999999</v>
      </c>
      <c r="K1009" s="15">
        <v>6.282438</v>
      </c>
      <c r="L1009" s="16">
        <v>4.8785610000000004</v>
      </c>
      <c r="M1009" s="16">
        <v>9.0041689999999992</v>
      </c>
      <c r="N1009" s="16">
        <v>9.5426140000000004</v>
      </c>
      <c r="O1009" s="16">
        <v>5.3521979999999996</v>
      </c>
      <c r="P1009" s="17">
        <v>9.3583909999999992</v>
      </c>
      <c r="Q1009" s="17">
        <v>11.43615</v>
      </c>
      <c r="R1009" s="17">
        <v>6.2746719999999998</v>
      </c>
      <c r="S1009" s="17">
        <v>13.74114</v>
      </c>
      <c r="AP1009" s="35"/>
      <c r="AQ1009" s="35"/>
      <c r="AR1009" s="35"/>
      <c r="AS1009" s="35"/>
    </row>
    <row r="1010" spans="2:45" x14ac:dyDescent="0.2">
      <c r="B1010" s="2">
        <v>43481.251793981479</v>
      </c>
      <c r="C1010" s="5">
        <f t="shared" si="104"/>
        <v>11.999999520000028</v>
      </c>
      <c r="D1010" s="14">
        <v>6.1711460000000002</v>
      </c>
      <c r="E1010" s="14">
        <v>7.1786599999999998</v>
      </c>
      <c r="F1010" s="14">
        <v>5.3363550000000002</v>
      </c>
      <c r="G1010" s="14">
        <v>5.0427210000000002</v>
      </c>
      <c r="H1010" s="15">
        <v>6.2501959999999999</v>
      </c>
      <c r="I1010" s="15">
        <v>3.5902479999999999</v>
      </c>
      <c r="J1010" s="15">
        <v>15.796939999999999</v>
      </c>
      <c r="K1010" s="15">
        <v>6.282438</v>
      </c>
      <c r="L1010" s="16">
        <v>4.8785610000000004</v>
      </c>
      <c r="M1010" s="16">
        <v>9.0041689999999992</v>
      </c>
      <c r="N1010" s="16">
        <v>9.549194</v>
      </c>
      <c r="O1010" s="16">
        <v>5.3521979999999996</v>
      </c>
      <c r="P1010" s="17">
        <v>9.3609659999999995</v>
      </c>
      <c r="Q1010" s="17">
        <v>11.44187</v>
      </c>
      <c r="R1010" s="17">
        <v>6.2746719999999998</v>
      </c>
      <c r="S1010" s="17">
        <v>13.742000000000001</v>
      </c>
      <c r="V1010" s="25">
        <v>12</v>
      </c>
      <c r="W1010">
        <f>AVERAGE(D999:D1010)</f>
        <v>6.1373147499999989</v>
      </c>
      <c r="X1010">
        <f t="shared" ref="X1010:AL1010" si="108">AVERAGE(E999:E1010)</f>
        <v>7.1537015833333335</v>
      </c>
      <c r="Y1010">
        <f t="shared" si="108"/>
        <v>5.3363549999999984</v>
      </c>
      <c r="Z1010">
        <f t="shared" si="108"/>
        <v>5.0427210000000002</v>
      </c>
      <c r="AA1010">
        <f t="shared" si="108"/>
        <v>6.2486224166666666</v>
      </c>
      <c r="AB1010">
        <f t="shared" si="108"/>
        <v>3.5856746666666672</v>
      </c>
      <c r="AC1010">
        <f t="shared" si="108"/>
        <v>15.796940000000005</v>
      </c>
      <c r="AD1010">
        <f t="shared" si="108"/>
        <v>6.282438</v>
      </c>
      <c r="AE1010">
        <f t="shared" si="108"/>
        <v>4.8785609999999995</v>
      </c>
      <c r="AF1010">
        <f t="shared" si="108"/>
        <v>9.004169000000001</v>
      </c>
      <c r="AG1010">
        <f t="shared" si="108"/>
        <v>9.5130024166666676</v>
      </c>
      <c r="AH1010">
        <f t="shared" si="108"/>
        <v>5.3521980000000005</v>
      </c>
      <c r="AI1010">
        <f t="shared" si="108"/>
        <v>9.3513401666666685</v>
      </c>
      <c r="AJ1010">
        <f t="shared" si="108"/>
        <v>11.418583333333332</v>
      </c>
      <c r="AK1010">
        <f t="shared" si="108"/>
        <v>6.2746710000000006</v>
      </c>
      <c r="AL1010">
        <f t="shared" si="108"/>
        <v>13.727375833333333</v>
      </c>
      <c r="AO1010" s="25">
        <v>12</v>
      </c>
      <c r="AP1010" s="35">
        <f>AVERAGE(W1010:Z1010)</f>
        <v>5.9175230833333323</v>
      </c>
      <c r="AQ1010" s="35">
        <f>AVERAGE(AA1010:AD1010)</f>
        <v>7.9784187708333345</v>
      </c>
      <c r="AR1010" s="35">
        <f>AVERAGE(AE1010:AH1010)</f>
        <v>7.1869826041666673</v>
      </c>
      <c r="AS1010" s="35">
        <f>AVERAGE(AI1010:AL1010)</f>
        <v>10.192992583333334</v>
      </c>
    </row>
    <row r="1011" spans="2:45" x14ac:dyDescent="0.2">
      <c r="B1011" s="2">
        <v>43481.255266203705</v>
      </c>
      <c r="C1011" s="5">
        <f t="shared" si="104"/>
        <v>12.083332850000028</v>
      </c>
      <c r="D1011" s="14">
        <v>6.1772980000000004</v>
      </c>
      <c r="E1011" s="14">
        <v>7.1839529999999998</v>
      </c>
      <c r="F1011" s="14">
        <v>5.3363550000000002</v>
      </c>
      <c r="G1011" s="14">
        <v>5.0427210000000002</v>
      </c>
      <c r="H1011" s="15">
        <v>6.2504819999999999</v>
      </c>
      <c r="I1011" s="15">
        <v>3.5911780000000002</v>
      </c>
      <c r="J1011" s="15">
        <v>15.796939999999999</v>
      </c>
      <c r="K1011" s="15">
        <v>6.282438</v>
      </c>
      <c r="L1011" s="16">
        <v>4.8785610000000004</v>
      </c>
      <c r="M1011" s="16">
        <v>9.0041689999999992</v>
      </c>
      <c r="N1011" s="16">
        <v>9.5557750000000006</v>
      </c>
      <c r="O1011" s="16">
        <v>5.3521979999999996</v>
      </c>
      <c r="P1011" s="17">
        <v>9.3635409999999997</v>
      </c>
      <c r="Q1011" s="17">
        <v>11.44759</v>
      </c>
      <c r="R1011" s="17">
        <v>6.2746719999999998</v>
      </c>
      <c r="S1011" s="17">
        <v>13.74286</v>
      </c>
      <c r="AP1011" s="35"/>
      <c r="AQ1011" s="35"/>
      <c r="AR1011" s="35"/>
      <c r="AS1011" s="35"/>
    </row>
    <row r="1012" spans="2:45" x14ac:dyDescent="0.2">
      <c r="B1012" s="2">
        <v>43481.258738425924</v>
      </c>
      <c r="C1012" s="5">
        <f t="shared" si="104"/>
        <v>12.166666180000028</v>
      </c>
      <c r="D1012" s="14">
        <v>6.1834490000000004</v>
      </c>
      <c r="E1012" s="14">
        <v>7.1892459999999998</v>
      </c>
      <c r="F1012" s="14">
        <v>5.3363550000000002</v>
      </c>
      <c r="G1012" s="14">
        <v>5.0427210000000002</v>
      </c>
      <c r="H1012" s="15">
        <v>6.2507679999999999</v>
      </c>
      <c r="I1012" s="15">
        <v>3.5921080000000001</v>
      </c>
      <c r="J1012" s="15">
        <v>15.796939999999999</v>
      </c>
      <c r="K1012" s="15">
        <v>6.282438</v>
      </c>
      <c r="L1012" s="16">
        <v>4.8785610000000004</v>
      </c>
      <c r="M1012" s="16">
        <v>9.0041689999999992</v>
      </c>
      <c r="N1012" s="16">
        <v>9.5623550000000002</v>
      </c>
      <c r="O1012" s="16">
        <v>5.3521979999999996</v>
      </c>
      <c r="P1012" s="17">
        <v>9.3661159999999999</v>
      </c>
      <c r="Q1012" s="17">
        <v>11.45332</v>
      </c>
      <c r="R1012" s="17">
        <v>6.2746719999999998</v>
      </c>
      <c r="S1012" s="17">
        <v>13.74372</v>
      </c>
      <c r="AP1012" s="35"/>
      <c r="AQ1012" s="35"/>
      <c r="AR1012" s="35"/>
      <c r="AS1012" s="35"/>
    </row>
    <row r="1013" spans="2:45" x14ac:dyDescent="0.2">
      <c r="B1013" s="2">
        <v>43481.26221064815</v>
      </c>
      <c r="C1013" s="5">
        <f t="shared" si="104"/>
        <v>12.249999510000029</v>
      </c>
      <c r="D1013" s="14">
        <v>6.1896000000000004</v>
      </c>
      <c r="E1013" s="14">
        <v>7.1945389999999998</v>
      </c>
      <c r="F1013" s="14">
        <v>5.3363550000000002</v>
      </c>
      <c r="G1013" s="14">
        <v>5.0427210000000002</v>
      </c>
      <c r="H1013" s="15">
        <v>6.2510539999999999</v>
      </c>
      <c r="I1013" s="15">
        <v>3.593038</v>
      </c>
      <c r="J1013" s="15">
        <v>15.796939999999999</v>
      </c>
      <c r="K1013" s="15">
        <v>6.282438</v>
      </c>
      <c r="L1013" s="16">
        <v>4.8785610000000004</v>
      </c>
      <c r="M1013" s="16">
        <v>9.0041689999999992</v>
      </c>
      <c r="N1013" s="16">
        <v>9.5689349999999997</v>
      </c>
      <c r="O1013" s="16">
        <v>5.3521979999999996</v>
      </c>
      <c r="P1013" s="17">
        <v>9.3686900000000009</v>
      </c>
      <c r="Q1013" s="17">
        <v>11.45904</v>
      </c>
      <c r="R1013" s="17">
        <v>6.2746719999999998</v>
      </c>
      <c r="S1013" s="17">
        <v>13.744579999999999</v>
      </c>
      <c r="AP1013" s="35"/>
      <c r="AQ1013" s="35"/>
      <c r="AR1013" s="35"/>
      <c r="AS1013" s="35"/>
    </row>
    <row r="1014" spans="2:45" x14ac:dyDescent="0.2">
      <c r="B1014" s="2">
        <v>43481.265682870369</v>
      </c>
      <c r="C1014" s="5">
        <f t="shared" si="104"/>
        <v>12.333332840000029</v>
      </c>
      <c r="D1014" s="14">
        <v>6.1957509999999996</v>
      </c>
      <c r="E1014" s="14">
        <v>7.1998319999999998</v>
      </c>
      <c r="F1014" s="14">
        <v>5.3363550000000002</v>
      </c>
      <c r="G1014" s="14">
        <v>5.0437399999999997</v>
      </c>
      <c r="H1014" s="15">
        <v>6.2513399999999999</v>
      </c>
      <c r="I1014" s="15">
        <v>3.5939679999999998</v>
      </c>
      <c r="J1014" s="15">
        <v>15.796939999999999</v>
      </c>
      <c r="K1014" s="15">
        <v>6.282438</v>
      </c>
      <c r="L1014" s="16">
        <v>4.8785610000000004</v>
      </c>
      <c r="M1014" s="16">
        <v>9.0123329999999999</v>
      </c>
      <c r="N1014" s="16">
        <v>9.5755160000000004</v>
      </c>
      <c r="O1014" s="16">
        <v>5.3521979999999996</v>
      </c>
      <c r="P1014" s="17">
        <v>9.3712649999999993</v>
      </c>
      <c r="Q1014" s="17">
        <v>11.46058</v>
      </c>
      <c r="R1014" s="17">
        <v>6.2746719999999998</v>
      </c>
      <c r="S1014" s="17">
        <v>13.745430000000001</v>
      </c>
      <c r="AP1014" s="35"/>
      <c r="AQ1014" s="35"/>
      <c r="AR1014" s="35"/>
      <c r="AS1014" s="35"/>
    </row>
    <row r="1015" spans="2:45" x14ac:dyDescent="0.2">
      <c r="B1015" s="2">
        <v>43481.269155092596</v>
      </c>
      <c r="C1015" s="5">
        <f t="shared" si="104"/>
        <v>12.416666170000029</v>
      </c>
      <c r="D1015" s="14">
        <v>6.2010209999999999</v>
      </c>
      <c r="E1015" s="14">
        <v>7.2051249999999998</v>
      </c>
      <c r="F1015" s="14">
        <v>5.3363550000000002</v>
      </c>
      <c r="G1015" s="14">
        <v>5.0460289999999999</v>
      </c>
      <c r="H1015" s="15">
        <v>6.2516259999999999</v>
      </c>
      <c r="I1015" s="15">
        <v>3.5948980000000001</v>
      </c>
      <c r="J1015" s="15">
        <v>15.796939999999999</v>
      </c>
      <c r="K1015" s="15">
        <v>6.282438</v>
      </c>
      <c r="L1015" s="16">
        <v>4.8785610000000004</v>
      </c>
      <c r="M1015" s="16">
        <v>9.0274959999999993</v>
      </c>
      <c r="N1015" s="16">
        <v>9.5820959999999999</v>
      </c>
      <c r="O1015" s="16">
        <v>5.3521979999999996</v>
      </c>
      <c r="P1015" s="17">
        <v>9.3738399999999995</v>
      </c>
      <c r="Q1015" s="17">
        <v>11.461589999999999</v>
      </c>
      <c r="R1015" s="17">
        <v>6.2746719999999998</v>
      </c>
      <c r="S1015" s="17">
        <v>13.74629</v>
      </c>
      <c r="AP1015" s="35"/>
      <c r="AQ1015" s="35"/>
      <c r="AR1015" s="35"/>
      <c r="AS1015" s="35"/>
    </row>
    <row r="1016" spans="2:45" x14ac:dyDescent="0.2">
      <c r="B1016" s="2">
        <v>43481.272627314815</v>
      </c>
      <c r="C1016" s="5">
        <f t="shared" si="104"/>
        <v>12.49999950000003</v>
      </c>
      <c r="D1016" s="14">
        <v>6.2010209999999999</v>
      </c>
      <c r="E1016" s="14">
        <v>7.2104179999999998</v>
      </c>
      <c r="F1016" s="14">
        <v>5.3363550000000002</v>
      </c>
      <c r="G1016" s="14">
        <v>5.0483169999999999</v>
      </c>
      <c r="H1016" s="15">
        <v>6.2519130000000001</v>
      </c>
      <c r="I1016" s="15">
        <v>3.5958269999999999</v>
      </c>
      <c r="J1016" s="15">
        <v>15.796939999999999</v>
      </c>
      <c r="K1016" s="15">
        <v>6.282438</v>
      </c>
      <c r="L1016" s="16">
        <v>4.8785610000000004</v>
      </c>
      <c r="M1016" s="16">
        <v>9.0426599999999997</v>
      </c>
      <c r="N1016" s="16">
        <v>9.5886759999999995</v>
      </c>
      <c r="O1016" s="16">
        <v>5.3521979999999996</v>
      </c>
      <c r="P1016" s="17">
        <v>9.3764149999999997</v>
      </c>
      <c r="Q1016" s="17">
        <v>11.46331</v>
      </c>
      <c r="R1016" s="17">
        <v>6.2746719999999998</v>
      </c>
      <c r="S1016" s="17">
        <v>13.74715</v>
      </c>
      <c r="AP1016" s="35"/>
      <c r="AQ1016" s="35"/>
      <c r="AR1016" s="35"/>
      <c r="AS1016" s="35"/>
    </row>
    <row r="1017" spans="2:45" x14ac:dyDescent="0.2">
      <c r="B1017" s="2">
        <v>43481.276099537034</v>
      </c>
      <c r="C1017" s="5">
        <f t="shared" si="104"/>
        <v>12.58333283000003</v>
      </c>
      <c r="D1017" s="14">
        <v>6.2010209999999999</v>
      </c>
      <c r="E1017" s="14">
        <v>7.2157109999999998</v>
      </c>
      <c r="F1017" s="14">
        <v>5.3363550000000002</v>
      </c>
      <c r="G1017" s="14">
        <v>5.0506060000000002</v>
      </c>
      <c r="H1017" s="15">
        <v>6.2521990000000001</v>
      </c>
      <c r="I1017" s="15">
        <v>3.5967570000000002</v>
      </c>
      <c r="J1017" s="15">
        <v>15.796939999999999</v>
      </c>
      <c r="K1017" s="15">
        <v>6.282438</v>
      </c>
      <c r="L1017" s="16">
        <v>4.8785610000000004</v>
      </c>
      <c r="M1017" s="16">
        <v>9.0578230000000008</v>
      </c>
      <c r="N1017" s="16">
        <v>9.5952570000000001</v>
      </c>
      <c r="O1017" s="16">
        <v>5.3521979999999996</v>
      </c>
      <c r="P1017" s="17">
        <v>9.3789899999999999</v>
      </c>
      <c r="Q1017" s="17">
        <v>11.465020000000001</v>
      </c>
      <c r="R1017" s="17">
        <v>6.2746719999999998</v>
      </c>
      <c r="S1017" s="17">
        <v>13.748010000000001</v>
      </c>
      <c r="AP1017" s="35"/>
      <c r="AQ1017" s="35"/>
      <c r="AR1017" s="35"/>
      <c r="AS1017" s="35"/>
    </row>
    <row r="1018" spans="2:45" x14ac:dyDescent="0.2">
      <c r="B1018" s="2">
        <v>43481.27957175926</v>
      </c>
      <c r="C1018" s="5">
        <f t="shared" si="104"/>
        <v>12.66666616000003</v>
      </c>
      <c r="D1018" s="14">
        <v>6.2086880000000004</v>
      </c>
      <c r="E1018" s="14">
        <v>7.2210039999999998</v>
      </c>
      <c r="F1018" s="14">
        <v>5.3363550000000002</v>
      </c>
      <c r="G1018" s="14">
        <v>5.0528950000000004</v>
      </c>
      <c r="H1018" s="15">
        <v>6.2524850000000001</v>
      </c>
      <c r="I1018" s="15">
        <v>3.5976870000000001</v>
      </c>
      <c r="J1018" s="15">
        <v>15.796939999999999</v>
      </c>
      <c r="K1018" s="15">
        <v>6.282438</v>
      </c>
      <c r="L1018" s="16">
        <v>4.8785610000000004</v>
      </c>
      <c r="M1018" s="16">
        <v>9.0729869999999995</v>
      </c>
      <c r="N1018" s="16">
        <v>9.6018369999999997</v>
      </c>
      <c r="O1018" s="16">
        <v>5.3521979999999996</v>
      </c>
      <c r="P1018" s="17">
        <v>9.3815650000000002</v>
      </c>
      <c r="Q1018" s="17">
        <v>11.46674</v>
      </c>
      <c r="R1018" s="17">
        <v>6.2746719999999998</v>
      </c>
      <c r="S1018" s="17">
        <v>13.74887</v>
      </c>
      <c r="AP1018" s="35"/>
      <c r="AQ1018" s="35"/>
      <c r="AR1018" s="35"/>
      <c r="AS1018" s="35"/>
    </row>
    <row r="1019" spans="2:45" x14ac:dyDescent="0.2">
      <c r="B1019" s="2">
        <v>43481.283043981479</v>
      </c>
      <c r="C1019" s="5">
        <f t="shared" si="104"/>
        <v>12.749999490000031</v>
      </c>
      <c r="D1019" s="14">
        <v>6.2182729999999999</v>
      </c>
      <c r="E1019" s="14">
        <v>7.2262959999999996</v>
      </c>
      <c r="F1019" s="14">
        <v>5.3363550000000002</v>
      </c>
      <c r="G1019" s="14">
        <v>5.0551839999999997</v>
      </c>
      <c r="H1019" s="15">
        <v>6.2527710000000001</v>
      </c>
      <c r="I1019" s="15">
        <v>3.598617</v>
      </c>
      <c r="J1019" s="15">
        <v>15.796939999999999</v>
      </c>
      <c r="K1019" s="15">
        <v>6.282438</v>
      </c>
      <c r="L1019" s="16">
        <v>4.8785610000000004</v>
      </c>
      <c r="M1019" s="16">
        <v>9.0881500000000006</v>
      </c>
      <c r="N1019" s="16">
        <v>9.6084180000000003</v>
      </c>
      <c r="O1019" s="16">
        <v>5.3521979999999996</v>
      </c>
      <c r="P1019" s="17">
        <v>9.3841400000000004</v>
      </c>
      <c r="Q1019" s="17">
        <v>11.46846</v>
      </c>
      <c r="R1019" s="17">
        <v>6.278397</v>
      </c>
      <c r="S1019" s="17">
        <v>13.74973</v>
      </c>
      <c r="AP1019" s="35"/>
      <c r="AQ1019" s="35"/>
      <c r="AR1019" s="35"/>
      <c r="AS1019" s="35"/>
    </row>
    <row r="1020" spans="2:45" x14ac:dyDescent="0.2">
      <c r="B1020" s="2">
        <v>43481.286516203705</v>
      </c>
      <c r="C1020" s="5">
        <f t="shared" si="104"/>
        <v>12.833332820000031</v>
      </c>
      <c r="D1020" s="14">
        <v>6.2250139999999998</v>
      </c>
      <c r="E1020" s="14">
        <v>7.2315889999999996</v>
      </c>
      <c r="F1020" s="14">
        <v>5.3363550000000002</v>
      </c>
      <c r="G1020" s="14">
        <v>5.0574729999999999</v>
      </c>
      <c r="H1020" s="15">
        <v>6.2530570000000001</v>
      </c>
      <c r="I1020" s="15">
        <v>3.599227</v>
      </c>
      <c r="J1020" s="15">
        <v>15.796939999999999</v>
      </c>
      <c r="K1020" s="15">
        <v>6.282438</v>
      </c>
      <c r="L1020" s="16">
        <v>4.8785610000000004</v>
      </c>
      <c r="M1020" s="16">
        <v>9.103313</v>
      </c>
      <c r="N1020" s="16">
        <v>9.6149979999999999</v>
      </c>
      <c r="O1020" s="16">
        <v>5.3521979999999996</v>
      </c>
      <c r="P1020" s="17">
        <v>9.3867150000000006</v>
      </c>
      <c r="Q1020" s="17">
        <v>11.47017</v>
      </c>
      <c r="R1020" s="17">
        <v>6.284262</v>
      </c>
      <c r="S1020" s="17">
        <v>13.750579999999999</v>
      </c>
      <c r="AP1020" s="35"/>
      <c r="AQ1020" s="35"/>
      <c r="AR1020" s="35"/>
      <c r="AS1020" s="35"/>
    </row>
    <row r="1021" spans="2:45" x14ac:dyDescent="0.2">
      <c r="B1021" s="2">
        <v>43481.289988425924</v>
      </c>
      <c r="C1021" s="5">
        <f t="shared" si="104"/>
        <v>12.916666150000031</v>
      </c>
      <c r="D1021" s="14">
        <v>6.2286630000000001</v>
      </c>
      <c r="E1021" s="14">
        <v>7.2368819999999996</v>
      </c>
      <c r="F1021" s="14">
        <v>5.3363550000000002</v>
      </c>
      <c r="G1021" s="14">
        <v>5.0597620000000001</v>
      </c>
      <c r="H1021" s="15">
        <v>6.2533430000000001</v>
      </c>
      <c r="I1021" s="15">
        <v>3.5993499999999998</v>
      </c>
      <c r="J1021" s="15">
        <v>15.796939999999999</v>
      </c>
      <c r="K1021" s="15">
        <v>6.282438</v>
      </c>
      <c r="L1021" s="16">
        <v>4.8785610000000004</v>
      </c>
      <c r="M1021" s="16">
        <v>9.1184770000000004</v>
      </c>
      <c r="N1021" s="16">
        <v>9.6156880000000005</v>
      </c>
      <c r="O1021" s="16">
        <v>5.3521979999999996</v>
      </c>
      <c r="P1021" s="17">
        <v>9.3892900000000008</v>
      </c>
      <c r="Q1021" s="17">
        <v>11.47189</v>
      </c>
      <c r="R1021" s="17">
        <v>6.290127</v>
      </c>
      <c r="S1021" s="17">
        <v>13.751440000000001</v>
      </c>
      <c r="AP1021" s="35"/>
      <c r="AQ1021" s="35"/>
      <c r="AR1021" s="35"/>
      <c r="AS1021" s="35"/>
    </row>
    <row r="1022" spans="2:45" x14ac:dyDescent="0.2">
      <c r="B1022" s="2">
        <v>43481.29346064815</v>
      </c>
      <c r="C1022" s="5">
        <f t="shared" si="104"/>
        <v>12.999999480000032</v>
      </c>
      <c r="D1022" s="14">
        <v>6.2348150000000002</v>
      </c>
      <c r="E1022" s="14">
        <v>7.2421749999999996</v>
      </c>
      <c r="F1022" s="14">
        <v>5.3363550000000002</v>
      </c>
      <c r="G1022" s="14">
        <v>5.0606660000000003</v>
      </c>
      <c r="H1022" s="15">
        <v>6.2536290000000001</v>
      </c>
      <c r="I1022" s="15">
        <v>3.600209</v>
      </c>
      <c r="J1022" s="15">
        <v>15.796939999999999</v>
      </c>
      <c r="K1022" s="15">
        <v>6.282438</v>
      </c>
      <c r="L1022" s="16">
        <v>4.8785610000000004</v>
      </c>
      <c r="M1022" s="16">
        <v>9.1336399999999998</v>
      </c>
      <c r="N1022" s="16">
        <v>9.6285129999999999</v>
      </c>
      <c r="O1022" s="16">
        <v>5.3521979999999996</v>
      </c>
      <c r="P1022" s="17">
        <v>9.3918649999999992</v>
      </c>
      <c r="Q1022" s="17">
        <v>11.473610000000001</v>
      </c>
      <c r="R1022" s="17">
        <v>6.295992</v>
      </c>
      <c r="S1022" s="17">
        <v>13.7523</v>
      </c>
      <c r="V1022" s="25">
        <v>13</v>
      </c>
      <c r="W1022">
        <f>AVERAGE(D1011:D1022)</f>
        <v>6.2053845000000001</v>
      </c>
      <c r="X1022">
        <f t="shared" ref="X1022:AL1022" si="109">AVERAGE(E1011:E1022)</f>
        <v>7.2130641666666664</v>
      </c>
      <c r="Y1022">
        <f t="shared" si="109"/>
        <v>5.3363549999999984</v>
      </c>
      <c r="Z1022">
        <f t="shared" si="109"/>
        <v>5.0502362500000002</v>
      </c>
      <c r="AA1022">
        <f t="shared" si="109"/>
        <v>6.2520555833333331</v>
      </c>
      <c r="AB1022">
        <f t="shared" si="109"/>
        <v>3.5960719999999999</v>
      </c>
      <c r="AC1022">
        <f t="shared" si="109"/>
        <v>15.796940000000005</v>
      </c>
      <c r="AD1022">
        <f t="shared" si="109"/>
        <v>6.282438</v>
      </c>
      <c r="AE1022">
        <f t="shared" si="109"/>
        <v>4.8785609999999995</v>
      </c>
      <c r="AF1022">
        <f t="shared" si="109"/>
        <v>9.0557821666666651</v>
      </c>
      <c r="AG1022">
        <f t="shared" si="109"/>
        <v>9.591505333333334</v>
      </c>
      <c r="AH1022">
        <f t="shared" si="109"/>
        <v>5.3521980000000005</v>
      </c>
      <c r="AI1022">
        <f t="shared" si="109"/>
        <v>9.3777026666666661</v>
      </c>
      <c r="AJ1022">
        <f t="shared" si="109"/>
        <v>11.463443333333332</v>
      </c>
      <c r="AK1022">
        <f t="shared" si="109"/>
        <v>6.2788461666666668</v>
      </c>
      <c r="AL1022">
        <f t="shared" si="109"/>
        <v>13.747579999999999</v>
      </c>
      <c r="AO1022" s="25">
        <v>13</v>
      </c>
      <c r="AP1022" s="35">
        <f>AVERAGE(W1022:Z1022)</f>
        <v>5.9512599791666663</v>
      </c>
      <c r="AQ1022" s="35">
        <f>AVERAGE(AA1022:AD1022)</f>
        <v>7.9818763958333339</v>
      </c>
      <c r="AR1022" s="35">
        <f>AVERAGE(AE1022:AH1022)</f>
        <v>7.219511625</v>
      </c>
      <c r="AS1022" s="35">
        <f>AVERAGE(AI1022:AL1022)</f>
        <v>10.216893041666665</v>
      </c>
    </row>
    <row r="1023" spans="2:45" x14ac:dyDescent="0.2">
      <c r="B1023" s="2">
        <v>43481.296932870369</v>
      </c>
      <c r="C1023" s="5">
        <f t="shared" si="104"/>
        <v>13.083332810000032</v>
      </c>
      <c r="D1023" s="14">
        <v>6.2409660000000002</v>
      </c>
      <c r="E1023" s="14">
        <v>7.2474679999999996</v>
      </c>
      <c r="F1023" s="14">
        <v>5.3363550000000002</v>
      </c>
      <c r="G1023" s="14">
        <v>5.0606660000000003</v>
      </c>
      <c r="H1023" s="15">
        <v>6.2539150000000001</v>
      </c>
      <c r="I1023" s="15">
        <v>3.601067</v>
      </c>
      <c r="J1023" s="15">
        <v>15.79805</v>
      </c>
      <c r="K1023" s="15">
        <v>6.282438</v>
      </c>
      <c r="L1023" s="16">
        <v>4.8785610000000004</v>
      </c>
      <c r="M1023" s="16">
        <v>9.1488040000000002</v>
      </c>
      <c r="N1023" s="16">
        <v>9.6442490000000003</v>
      </c>
      <c r="O1023" s="16">
        <v>5.3521979999999996</v>
      </c>
      <c r="P1023" s="17">
        <v>9.3944399999999995</v>
      </c>
      <c r="Q1023" s="17">
        <v>11.47532</v>
      </c>
      <c r="R1023" s="17">
        <v>6.301857</v>
      </c>
      <c r="S1023" s="17">
        <v>13.753159999999999</v>
      </c>
      <c r="AP1023" s="35"/>
      <c r="AQ1023" s="35"/>
      <c r="AR1023" s="35"/>
      <c r="AS1023" s="35"/>
    </row>
    <row r="1024" spans="2:45" x14ac:dyDescent="0.2">
      <c r="B1024" s="2">
        <v>43481.300405092596</v>
      </c>
      <c r="C1024" s="5">
        <f t="shared" si="104"/>
        <v>13.166666140000032</v>
      </c>
      <c r="D1024" s="14">
        <v>6.2471170000000003</v>
      </c>
      <c r="E1024" s="14">
        <v>7.2527609999999996</v>
      </c>
      <c r="F1024" s="14">
        <v>5.3363550000000002</v>
      </c>
      <c r="G1024" s="14">
        <v>5.0606660000000003</v>
      </c>
      <c r="H1024" s="15">
        <v>6.2542010000000001</v>
      </c>
      <c r="I1024" s="15">
        <v>3.601925</v>
      </c>
      <c r="J1024" s="15">
        <v>15.802630000000001</v>
      </c>
      <c r="K1024" s="15">
        <v>6.282438</v>
      </c>
      <c r="L1024" s="16">
        <v>4.8785610000000004</v>
      </c>
      <c r="M1024" s="16">
        <v>9.1639669999999995</v>
      </c>
      <c r="N1024" s="16">
        <v>9.6599850000000007</v>
      </c>
      <c r="O1024" s="16">
        <v>5.3521979999999996</v>
      </c>
      <c r="P1024" s="17">
        <v>9.3970149999999997</v>
      </c>
      <c r="Q1024" s="17">
        <v>11.477040000000001</v>
      </c>
      <c r="R1024" s="17">
        <v>6.3077220000000001</v>
      </c>
      <c r="S1024" s="17">
        <v>13.754020000000001</v>
      </c>
      <c r="AP1024" s="35"/>
      <c r="AQ1024" s="35"/>
      <c r="AR1024" s="35"/>
      <c r="AS1024" s="35"/>
    </row>
    <row r="1025" spans="2:45" x14ac:dyDescent="0.2">
      <c r="B1025" s="2">
        <v>43481.303877314815</v>
      </c>
      <c r="C1025" s="5">
        <f t="shared" si="104"/>
        <v>13.249999470000033</v>
      </c>
      <c r="D1025" s="14">
        <v>6.2532680000000003</v>
      </c>
      <c r="E1025" s="14">
        <v>7.2580539999999996</v>
      </c>
      <c r="F1025" s="14">
        <v>5.3363550000000002</v>
      </c>
      <c r="G1025" s="14">
        <v>5.0644819999999999</v>
      </c>
      <c r="H1025" s="15">
        <v>6.2543519999999999</v>
      </c>
      <c r="I1025" s="15">
        <v>3.6020430000000001</v>
      </c>
      <c r="J1025" s="15">
        <v>15.80721</v>
      </c>
      <c r="K1025" s="15">
        <v>6.282438</v>
      </c>
      <c r="L1025" s="16">
        <v>4.8785610000000004</v>
      </c>
      <c r="M1025" s="16">
        <v>9.1791309999999999</v>
      </c>
      <c r="N1025" s="16">
        <v>9.6757200000000001</v>
      </c>
      <c r="O1025" s="16">
        <v>5.3521979999999996</v>
      </c>
      <c r="P1025" s="17">
        <v>9.3995899999999999</v>
      </c>
      <c r="Q1025" s="17">
        <v>11.478759999999999</v>
      </c>
      <c r="R1025" s="17">
        <v>6.3135870000000001</v>
      </c>
      <c r="S1025" s="17">
        <v>13.75488</v>
      </c>
      <c r="AP1025" s="35"/>
      <c r="AQ1025" s="35"/>
      <c r="AR1025" s="35"/>
      <c r="AS1025" s="35"/>
    </row>
    <row r="1026" spans="2:45" x14ac:dyDescent="0.2">
      <c r="B1026" s="2">
        <v>43481.307349537034</v>
      </c>
      <c r="C1026" s="5">
        <f t="shared" si="104"/>
        <v>13.333332800000033</v>
      </c>
      <c r="D1026" s="14">
        <v>6.2594190000000003</v>
      </c>
      <c r="E1026" s="14">
        <v>7.2633470000000004</v>
      </c>
      <c r="F1026" s="14">
        <v>5.3363550000000002</v>
      </c>
      <c r="G1026" s="14">
        <v>5.0692019999999998</v>
      </c>
      <c r="H1026" s="15">
        <v>6.2543519999999999</v>
      </c>
      <c r="I1026" s="15">
        <v>3.6090710000000001</v>
      </c>
      <c r="J1026" s="15">
        <v>15.81179</v>
      </c>
      <c r="K1026" s="15">
        <v>6.282438</v>
      </c>
      <c r="L1026" s="16">
        <v>4.8785610000000004</v>
      </c>
      <c r="M1026" s="16">
        <v>9.1942939999999993</v>
      </c>
      <c r="N1026" s="16">
        <v>9.6914560000000005</v>
      </c>
      <c r="O1026" s="16">
        <v>5.3521979999999996</v>
      </c>
      <c r="P1026" s="17">
        <v>9.4021640000000009</v>
      </c>
      <c r="Q1026" s="17">
        <v>11.48047</v>
      </c>
      <c r="R1026" s="17">
        <v>6.3194520000000001</v>
      </c>
      <c r="S1026" s="17">
        <v>13.75573</v>
      </c>
      <c r="AP1026" s="35"/>
      <c r="AQ1026" s="35"/>
      <c r="AR1026" s="35"/>
      <c r="AS1026" s="35"/>
    </row>
    <row r="1027" spans="2:45" x14ac:dyDescent="0.2">
      <c r="B1027" s="2">
        <v>43481.31082175926</v>
      </c>
      <c r="C1027" s="5">
        <f t="shared" si="104"/>
        <v>13.416666130000033</v>
      </c>
      <c r="D1027" s="14">
        <v>6.2655709999999996</v>
      </c>
      <c r="E1027" s="14">
        <v>7.2686400000000004</v>
      </c>
      <c r="F1027" s="14">
        <v>5.3363550000000002</v>
      </c>
      <c r="G1027" s="14">
        <v>5.0739229999999997</v>
      </c>
      <c r="H1027" s="15">
        <v>6.2543519999999999</v>
      </c>
      <c r="I1027" s="15">
        <v>3.609515</v>
      </c>
      <c r="J1027" s="15">
        <v>15.816369999999999</v>
      </c>
      <c r="K1027" s="15">
        <v>6.282438</v>
      </c>
      <c r="L1027" s="16">
        <v>4.8785610000000004</v>
      </c>
      <c r="M1027" s="16">
        <v>9.2094570000000004</v>
      </c>
      <c r="N1027" s="16">
        <v>9.6973559999999992</v>
      </c>
      <c r="O1027" s="16">
        <v>5.3521979999999996</v>
      </c>
      <c r="P1027" s="17">
        <v>9.4047389999999993</v>
      </c>
      <c r="Q1027" s="17">
        <v>11.482189999999999</v>
      </c>
      <c r="R1027" s="17">
        <v>6.3253170000000001</v>
      </c>
      <c r="S1027" s="17">
        <v>13.756589999999999</v>
      </c>
      <c r="AP1027" s="35"/>
      <c r="AQ1027" s="35"/>
      <c r="AR1027" s="35"/>
      <c r="AS1027" s="35"/>
    </row>
    <row r="1028" spans="2:45" x14ac:dyDescent="0.2">
      <c r="B1028" s="2">
        <v>43481.314293981479</v>
      </c>
      <c r="C1028" s="5">
        <f t="shared" ref="C1028:C1091" si="110">C1027+0.08333333</f>
        <v>13.499999460000033</v>
      </c>
      <c r="D1028" s="14">
        <v>6.2676749999999997</v>
      </c>
      <c r="E1028" s="14">
        <v>7.2739320000000003</v>
      </c>
      <c r="F1028" s="14">
        <v>5.3363550000000002</v>
      </c>
      <c r="G1028" s="14">
        <v>5.0751739999999996</v>
      </c>
      <c r="H1028" s="15">
        <v>6.2543519999999999</v>
      </c>
      <c r="I1028" s="15">
        <v>3.6105879999999999</v>
      </c>
      <c r="J1028" s="15">
        <v>15.82094</v>
      </c>
      <c r="K1028" s="15">
        <v>6.282438</v>
      </c>
      <c r="L1028" s="16">
        <v>4.8785610000000004</v>
      </c>
      <c r="M1028" s="16">
        <v>9.2246210000000008</v>
      </c>
      <c r="N1028" s="16">
        <v>9.6973559999999992</v>
      </c>
      <c r="O1028" s="16">
        <v>5.3521979999999996</v>
      </c>
      <c r="P1028" s="17">
        <v>9.4073139999999995</v>
      </c>
      <c r="Q1028" s="17">
        <v>11.48391</v>
      </c>
      <c r="R1028" s="17">
        <v>6.3311820000000001</v>
      </c>
      <c r="S1028" s="17">
        <v>13.75745</v>
      </c>
      <c r="AP1028" s="35"/>
      <c r="AQ1028" s="35"/>
      <c r="AR1028" s="35"/>
      <c r="AS1028" s="35"/>
    </row>
    <row r="1029" spans="2:45" x14ac:dyDescent="0.2">
      <c r="B1029" s="2">
        <v>43481.317766203705</v>
      </c>
      <c r="C1029" s="5">
        <f t="shared" si="110"/>
        <v>13.583332790000034</v>
      </c>
      <c r="D1029" s="14">
        <v>6.2834110000000001</v>
      </c>
      <c r="E1029" s="14">
        <v>7.2792250000000003</v>
      </c>
      <c r="F1029" s="14">
        <v>5.3363550000000002</v>
      </c>
      <c r="G1029" s="14">
        <v>5.0751739999999996</v>
      </c>
      <c r="H1029" s="15">
        <v>6.2543519999999999</v>
      </c>
      <c r="I1029" s="15">
        <v>3.6116600000000001</v>
      </c>
      <c r="J1029" s="15">
        <v>15.822329999999999</v>
      </c>
      <c r="K1029" s="15">
        <v>6.282438</v>
      </c>
      <c r="L1029" s="16">
        <v>4.8785610000000004</v>
      </c>
      <c r="M1029" s="16">
        <v>9.2397840000000002</v>
      </c>
      <c r="N1029" s="16">
        <v>9.6973559999999992</v>
      </c>
      <c r="O1029" s="16">
        <v>5.3521979999999996</v>
      </c>
      <c r="P1029" s="17">
        <v>9.4098889999999997</v>
      </c>
      <c r="Q1029" s="17">
        <v>11.485620000000001</v>
      </c>
      <c r="R1029" s="17">
        <v>6.3370480000000002</v>
      </c>
      <c r="S1029" s="17">
        <v>13.75831</v>
      </c>
      <c r="AP1029" s="35"/>
      <c r="AQ1029" s="35"/>
      <c r="AR1029" s="35"/>
      <c r="AS1029" s="35"/>
    </row>
    <row r="1030" spans="2:45" x14ac:dyDescent="0.2">
      <c r="B1030" s="2">
        <v>43481.321238425924</v>
      </c>
      <c r="C1030" s="5">
        <f t="shared" si="110"/>
        <v>13.666666120000034</v>
      </c>
      <c r="D1030" s="14">
        <v>6.2991460000000004</v>
      </c>
      <c r="E1030" s="14">
        <v>7.2845180000000003</v>
      </c>
      <c r="F1030" s="14">
        <v>5.3363550000000002</v>
      </c>
      <c r="G1030" s="14">
        <v>5.0751739999999996</v>
      </c>
      <c r="H1030" s="15">
        <v>6.2543519999999999</v>
      </c>
      <c r="I1030" s="15">
        <v>3.612733</v>
      </c>
      <c r="J1030" s="15">
        <v>15.823740000000001</v>
      </c>
      <c r="K1030" s="15">
        <v>6.282438</v>
      </c>
      <c r="L1030" s="16">
        <v>4.8785610000000004</v>
      </c>
      <c r="M1030" s="16">
        <v>9.2549480000000006</v>
      </c>
      <c r="N1030" s="16">
        <v>9.6973559999999992</v>
      </c>
      <c r="O1030" s="16">
        <v>5.3521979999999996</v>
      </c>
      <c r="P1030" s="17">
        <v>9.4124639999999999</v>
      </c>
      <c r="Q1030" s="17">
        <v>11.48734</v>
      </c>
      <c r="R1030" s="17">
        <v>6.3429130000000002</v>
      </c>
      <c r="S1030" s="17">
        <v>13.759169999999999</v>
      </c>
      <c r="AP1030" s="35"/>
      <c r="AQ1030" s="35"/>
      <c r="AR1030" s="35"/>
      <c r="AS1030" s="35"/>
    </row>
    <row r="1031" spans="2:45" x14ac:dyDescent="0.2">
      <c r="B1031" s="2">
        <v>43481.32471064815</v>
      </c>
      <c r="C1031" s="5">
        <f t="shared" si="110"/>
        <v>13.749999450000034</v>
      </c>
      <c r="D1031" s="14">
        <v>6.3148819999999999</v>
      </c>
      <c r="E1031" s="14">
        <v>7.2898110000000003</v>
      </c>
      <c r="F1031" s="14">
        <v>5.3363550000000002</v>
      </c>
      <c r="G1031" s="14">
        <v>5.0751739999999996</v>
      </c>
      <c r="H1031" s="15">
        <v>6.2543519999999999</v>
      </c>
      <c r="I1031" s="15">
        <v>3.6138059999999999</v>
      </c>
      <c r="J1031" s="15">
        <v>15.826309999999999</v>
      </c>
      <c r="K1031" s="15">
        <v>6.282438</v>
      </c>
      <c r="L1031" s="16">
        <v>4.8785610000000004</v>
      </c>
      <c r="M1031" s="16">
        <v>9.270111</v>
      </c>
      <c r="N1031" s="16">
        <v>9.6973559999999992</v>
      </c>
      <c r="O1031" s="16">
        <v>5.3521979999999996</v>
      </c>
      <c r="P1031" s="17">
        <v>9.4150390000000002</v>
      </c>
      <c r="Q1031" s="17">
        <v>11.48906</v>
      </c>
      <c r="R1031" s="17">
        <v>6.3487780000000003</v>
      </c>
      <c r="S1031" s="17">
        <v>13.76003</v>
      </c>
      <c r="AP1031" s="35"/>
      <c r="AQ1031" s="35"/>
      <c r="AR1031" s="35"/>
      <c r="AS1031" s="35"/>
    </row>
    <row r="1032" spans="2:45" x14ac:dyDescent="0.2">
      <c r="B1032" s="2">
        <v>43481.328182870369</v>
      </c>
      <c r="C1032" s="5">
        <f t="shared" si="110"/>
        <v>13.833332780000035</v>
      </c>
      <c r="D1032" s="14">
        <v>6.3306170000000002</v>
      </c>
      <c r="E1032" s="14">
        <v>7.2951040000000003</v>
      </c>
      <c r="F1032" s="14">
        <v>5.3363550000000002</v>
      </c>
      <c r="G1032" s="14">
        <v>5.0751739999999996</v>
      </c>
      <c r="H1032" s="15">
        <v>6.2543519999999999</v>
      </c>
      <c r="I1032" s="15">
        <v>3.6148790000000002</v>
      </c>
      <c r="J1032" s="15">
        <v>15.828889999999999</v>
      </c>
      <c r="K1032" s="15">
        <v>6.282438</v>
      </c>
      <c r="L1032" s="16">
        <v>4.8785610000000004</v>
      </c>
      <c r="M1032" s="16">
        <v>9.2852750000000004</v>
      </c>
      <c r="N1032" s="16">
        <v>9.6973559999999992</v>
      </c>
      <c r="O1032" s="16">
        <v>5.3521979999999996</v>
      </c>
      <c r="P1032" s="17">
        <v>9.4176140000000004</v>
      </c>
      <c r="Q1032" s="17">
        <v>11.490769999999999</v>
      </c>
      <c r="R1032" s="17">
        <v>6.3546430000000003</v>
      </c>
      <c r="S1032" s="17">
        <v>13.76088</v>
      </c>
      <c r="AP1032" s="35"/>
      <c r="AQ1032" s="35"/>
      <c r="AR1032" s="35"/>
      <c r="AS1032" s="35"/>
    </row>
    <row r="1033" spans="2:45" x14ac:dyDescent="0.2">
      <c r="B1033" s="2">
        <v>43481.331655092596</v>
      </c>
      <c r="C1033" s="5">
        <f t="shared" si="110"/>
        <v>13.916666110000035</v>
      </c>
      <c r="D1033" s="14">
        <v>6.3463529999999997</v>
      </c>
      <c r="E1033" s="14">
        <v>7.3003970000000002</v>
      </c>
      <c r="F1033" s="14">
        <v>5.3363550000000002</v>
      </c>
      <c r="G1033" s="14">
        <v>5.0751739999999996</v>
      </c>
      <c r="H1033" s="15">
        <v>6.2543519999999999</v>
      </c>
      <c r="I1033" s="15">
        <v>3.6159520000000001</v>
      </c>
      <c r="J1033" s="15">
        <v>15.83146</v>
      </c>
      <c r="K1033" s="15">
        <v>6.282438</v>
      </c>
      <c r="L1033" s="16">
        <v>4.8785610000000004</v>
      </c>
      <c r="M1033" s="16">
        <v>9.3004379999999998</v>
      </c>
      <c r="N1033" s="16">
        <v>9.6973559999999992</v>
      </c>
      <c r="O1033" s="16">
        <v>5.3521979999999996</v>
      </c>
      <c r="P1033" s="17">
        <v>9.4201890000000006</v>
      </c>
      <c r="Q1033" s="17">
        <v>11.49249</v>
      </c>
      <c r="R1033" s="17">
        <v>6.3605080000000003</v>
      </c>
      <c r="S1033" s="17">
        <v>13.76131</v>
      </c>
      <c r="AP1033" s="35"/>
      <c r="AQ1033" s="35"/>
      <c r="AR1033" s="35"/>
      <c r="AS1033" s="35"/>
    </row>
    <row r="1034" spans="2:45" x14ac:dyDescent="0.2">
      <c r="B1034" s="2">
        <v>43481.335127314815</v>
      </c>
      <c r="C1034" s="5">
        <f t="shared" si="110"/>
        <v>13.999999440000035</v>
      </c>
      <c r="D1034" s="14">
        <v>6.3620890000000001</v>
      </c>
      <c r="E1034" s="14">
        <v>7.3056900000000002</v>
      </c>
      <c r="F1034" s="14">
        <v>5.3363550000000002</v>
      </c>
      <c r="G1034" s="14">
        <v>5.0751739999999996</v>
      </c>
      <c r="H1034" s="15">
        <v>6.2543519999999999</v>
      </c>
      <c r="I1034" s="15">
        <v>3.6170249999999999</v>
      </c>
      <c r="J1034" s="15">
        <v>15.83404</v>
      </c>
      <c r="K1034" s="15">
        <v>6.282438</v>
      </c>
      <c r="L1034" s="16">
        <v>4.8785610000000004</v>
      </c>
      <c r="M1034" s="16">
        <v>9.3156009999999991</v>
      </c>
      <c r="N1034" s="16">
        <v>9.6973559999999992</v>
      </c>
      <c r="O1034" s="16">
        <v>5.3521979999999996</v>
      </c>
      <c r="P1034" s="17">
        <v>9.4227640000000008</v>
      </c>
      <c r="Q1034" s="17">
        <v>11.494210000000001</v>
      </c>
      <c r="R1034" s="17">
        <v>6.3663730000000003</v>
      </c>
      <c r="S1034" s="17">
        <v>13.763019999999999</v>
      </c>
      <c r="V1034" s="25">
        <v>14</v>
      </c>
      <c r="W1034">
        <f>AVERAGE(D1023:D1034)</f>
        <v>6.2892094999999992</v>
      </c>
      <c r="X1034">
        <f t="shared" ref="X1034:AL1034" si="111">AVERAGE(E1023:E1034)</f>
        <v>7.2765789166666659</v>
      </c>
      <c r="Y1034">
        <f t="shared" si="111"/>
        <v>5.3363549999999984</v>
      </c>
      <c r="Z1034">
        <f t="shared" si="111"/>
        <v>5.0712630833333323</v>
      </c>
      <c r="AA1034">
        <f t="shared" si="111"/>
        <v>6.2543029999999993</v>
      </c>
      <c r="AB1034">
        <f t="shared" si="111"/>
        <v>3.6100219999999994</v>
      </c>
      <c r="AC1034">
        <f t="shared" si="111"/>
        <v>15.818646666666664</v>
      </c>
      <c r="AD1034">
        <f t="shared" si="111"/>
        <v>6.282438</v>
      </c>
      <c r="AE1034">
        <f t="shared" si="111"/>
        <v>4.8785609999999995</v>
      </c>
      <c r="AF1034">
        <f t="shared" si="111"/>
        <v>9.2322025833333328</v>
      </c>
      <c r="AG1034">
        <f t="shared" si="111"/>
        <v>9.687521499999999</v>
      </c>
      <c r="AH1034">
        <f t="shared" si="111"/>
        <v>5.3521980000000005</v>
      </c>
      <c r="AI1034">
        <f t="shared" si="111"/>
        <v>9.4086017500000008</v>
      </c>
      <c r="AJ1034">
        <f t="shared" si="111"/>
        <v>11.484765000000001</v>
      </c>
      <c r="AK1034">
        <f t="shared" si="111"/>
        <v>6.3341150000000006</v>
      </c>
      <c r="AL1034">
        <f t="shared" si="111"/>
        <v>13.757879166666669</v>
      </c>
      <c r="AO1034" s="25">
        <v>14</v>
      </c>
      <c r="AP1034" s="35">
        <f>AVERAGE(W1034:Z1034)</f>
        <v>5.993351624999999</v>
      </c>
      <c r="AQ1034" s="35">
        <f>AVERAGE(AA1034:AD1034)</f>
        <v>7.9913524166666656</v>
      </c>
      <c r="AR1034" s="35">
        <f>AVERAGE(AE1034:AH1034)</f>
        <v>7.2876207708333336</v>
      </c>
      <c r="AS1034" s="35">
        <f>AVERAGE(AI1034:AL1034)</f>
        <v>10.246340229166668</v>
      </c>
    </row>
    <row r="1035" spans="2:45" x14ac:dyDescent="0.2">
      <c r="B1035" s="2">
        <v>43481.338599537034</v>
      </c>
      <c r="C1035" s="5">
        <f t="shared" si="110"/>
        <v>14.083332770000036</v>
      </c>
      <c r="D1035" s="14">
        <v>6.3778240000000004</v>
      </c>
      <c r="E1035" s="14">
        <v>7.3109830000000002</v>
      </c>
      <c r="F1035" s="14">
        <v>5.3363550000000002</v>
      </c>
      <c r="G1035" s="14">
        <v>5.0751739999999996</v>
      </c>
      <c r="H1035" s="15">
        <v>6.2543519999999999</v>
      </c>
      <c r="I1035" s="15">
        <v>3.6180979999999998</v>
      </c>
      <c r="J1035" s="15">
        <v>15.83661</v>
      </c>
      <c r="K1035" s="15">
        <v>6.282438</v>
      </c>
      <c r="L1035" s="16">
        <v>4.8785610000000004</v>
      </c>
      <c r="M1035" s="16">
        <v>9.3307649999999995</v>
      </c>
      <c r="N1035" s="16">
        <v>9.6973559999999992</v>
      </c>
      <c r="O1035" s="16">
        <v>5.3521979999999996</v>
      </c>
      <c r="P1035" s="17">
        <v>9.4253389999999992</v>
      </c>
      <c r="Q1035" s="17">
        <v>11.49592</v>
      </c>
      <c r="R1035" s="17">
        <v>6.3722380000000003</v>
      </c>
      <c r="S1035" s="17">
        <v>13.76474</v>
      </c>
      <c r="AP1035" s="35"/>
      <c r="AQ1035" s="35"/>
      <c r="AR1035" s="35"/>
      <c r="AS1035" s="35"/>
    </row>
    <row r="1036" spans="2:45" x14ac:dyDescent="0.2">
      <c r="B1036" s="2">
        <v>43481.34207175926</v>
      </c>
      <c r="C1036" s="5">
        <f t="shared" si="110"/>
        <v>14.166666100000036</v>
      </c>
      <c r="D1036" s="14">
        <v>6.3935599999999999</v>
      </c>
      <c r="E1036" s="14">
        <v>7.3162760000000002</v>
      </c>
      <c r="F1036" s="14">
        <v>5.3363550000000002</v>
      </c>
      <c r="G1036" s="14">
        <v>5.0751739999999996</v>
      </c>
      <c r="H1036" s="15">
        <v>6.2543519999999999</v>
      </c>
      <c r="I1036" s="15">
        <v>3.6191710000000001</v>
      </c>
      <c r="J1036" s="15">
        <v>15.83919</v>
      </c>
      <c r="K1036" s="15">
        <v>6.282438</v>
      </c>
      <c r="L1036" s="16">
        <v>4.8785610000000004</v>
      </c>
      <c r="M1036" s="16">
        <v>9.3459280000000007</v>
      </c>
      <c r="N1036" s="16">
        <v>9.6973559999999992</v>
      </c>
      <c r="O1036" s="16">
        <v>5.3521979999999996</v>
      </c>
      <c r="P1036" s="17">
        <v>9.4279139999999995</v>
      </c>
      <c r="Q1036" s="17">
        <v>11.497640000000001</v>
      </c>
      <c r="R1036" s="17">
        <v>6.3781030000000003</v>
      </c>
      <c r="S1036" s="17">
        <v>13.76646</v>
      </c>
      <c r="AP1036" s="35"/>
      <c r="AQ1036" s="35"/>
      <c r="AR1036" s="35"/>
      <c r="AS1036" s="35"/>
    </row>
    <row r="1037" spans="2:45" x14ac:dyDescent="0.2">
      <c r="B1037" s="2">
        <v>43481.345543981479</v>
      </c>
      <c r="C1037" s="5">
        <f t="shared" si="110"/>
        <v>14.249999430000036</v>
      </c>
      <c r="D1037" s="14">
        <v>6.4092960000000003</v>
      </c>
      <c r="E1037" s="14">
        <v>7.3215680000000001</v>
      </c>
      <c r="F1037" s="14">
        <v>5.3387580000000003</v>
      </c>
      <c r="G1037" s="14">
        <v>5.0751739999999996</v>
      </c>
      <c r="H1037" s="15">
        <v>6.2543519999999999</v>
      </c>
      <c r="I1037" s="15">
        <v>3.620244</v>
      </c>
      <c r="J1037" s="15">
        <v>15.841760000000001</v>
      </c>
      <c r="K1037" s="15">
        <v>6.282438</v>
      </c>
      <c r="L1037" s="16">
        <v>4.8785610000000004</v>
      </c>
      <c r="M1037" s="16">
        <v>9.3610919999999993</v>
      </c>
      <c r="N1037" s="16">
        <v>9.6973559999999992</v>
      </c>
      <c r="O1037" s="16">
        <v>5.3521979999999996</v>
      </c>
      <c r="P1037" s="17">
        <v>9.4304889999999997</v>
      </c>
      <c r="Q1037" s="17">
        <v>11.499359999999999</v>
      </c>
      <c r="R1037" s="17">
        <v>6.3839680000000003</v>
      </c>
      <c r="S1037" s="17">
        <v>13.76817</v>
      </c>
      <c r="AP1037" s="35"/>
      <c r="AQ1037" s="35"/>
      <c r="AR1037" s="35"/>
      <c r="AS1037" s="35"/>
    </row>
    <row r="1038" spans="2:45" x14ac:dyDescent="0.2">
      <c r="B1038" s="2">
        <v>43481.349016203705</v>
      </c>
      <c r="C1038" s="5">
        <f t="shared" si="110"/>
        <v>14.333332760000037</v>
      </c>
      <c r="D1038" s="14">
        <v>6.4250309999999997</v>
      </c>
      <c r="E1038" s="14">
        <v>7.3268610000000001</v>
      </c>
      <c r="F1038" s="14">
        <v>5.3395409999999996</v>
      </c>
      <c r="G1038" s="14">
        <v>5.0751739999999996</v>
      </c>
      <c r="H1038" s="15">
        <v>6.2543519999999999</v>
      </c>
      <c r="I1038" s="15">
        <v>3.6213160000000002</v>
      </c>
      <c r="J1038" s="15">
        <v>15.844340000000001</v>
      </c>
      <c r="K1038" s="15">
        <v>6.282438</v>
      </c>
      <c r="L1038" s="16">
        <v>4.8785610000000004</v>
      </c>
      <c r="M1038" s="16">
        <v>9.3762550000000005</v>
      </c>
      <c r="N1038" s="16">
        <v>9.6973559999999992</v>
      </c>
      <c r="O1038" s="16">
        <v>5.3521979999999996</v>
      </c>
      <c r="P1038" s="17">
        <v>9.4330639999999999</v>
      </c>
      <c r="Q1038" s="17">
        <v>11.50107</v>
      </c>
      <c r="R1038" s="17">
        <v>6.3898330000000003</v>
      </c>
      <c r="S1038" s="17">
        <v>13.76989</v>
      </c>
      <c r="AP1038" s="35"/>
      <c r="AQ1038" s="35"/>
      <c r="AR1038" s="35"/>
      <c r="AS1038" s="35"/>
    </row>
    <row r="1039" spans="2:45" x14ac:dyDescent="0.2">
      <c r="B1039" s="2">
        <v>43481.352488425924</v>
      </c>
      <c r="C1039" s="5">
        <f t="shared" si="110"/>
        <v>14.416666090000037</v>
      </c>
      <c r="D1039" s="14">
        <v>6.4407670000000001</v>
      </c>
      <c r="E1039" s="14">
        <v>7.3321540000000001</v>
      </c>
      <c r="F1039" s="14">
        <v>5.3417820000000003</v>
      </c>
      <c r="G1039" s="14">
        <v>5.0751739999999996</v>
      </c>
      <c r="H1039" s="15">
        <v>6.2543519999999999</v>
      </c>
      <c r="I1039" s="15">
        <v>3.6223890000000001</v>
      </c>
      <c r="J1039" s="15">
        <v>15.846909999999999</v>
      </c>
      <c r="K1039" s="15">
        <v>6.282438</v>
      </c>
      <c r="L1039" s="16">
        <v>4.8785610000000004</v>
      </c>
      <c r="M1039" s="16">
        <v>9.3914179999999998</v>
      </c>
      <c r="N1039" s="16">
        <v>9.6973559999999992</v>
      </c>
      <c r="O1039" s="16">
        <v>5.3521979999999996</v>
      </c>
      <c r="P1039" s="17">
        <v>9.4356380000000009</v>
      </c>
      <c r="Q1039" s="17">
        <v>11.502789999999999</v>
      </c>
      <c r="R1039" s="17">
        <v>6.3956989999999996</v>
      </c>
      <c r="S1039" s="17">
        <v>13.771610000000001</v>
      </c>
      <c r="AP1039" s="35"/>
      <c r="AQ1039" s="35"/>
      <c r="AR1039" s="35"/>
      <c r="AS1039" s="35"/>
    </row>
    <row r="1040" spans="2:45" x14ac:dyDescent="0.2">
      <c r="B1040" s="2">
        <v>43481.35596064815</v>
      </c>
      <c r="C1040" s="5">
        <f t="shared" si="110"/>
        <v>14.499999420000037</v>
      </c>
      <c r="D1040" s="14">
        <v>6.4565020000000004</v>
      </c>
      <c r="E1040" s="14">
        <v>7.3374470000000001</v>
      </c>
      <c r="F1040" s="14">
        <v>5.3419780000000001</v>
      </c>
      <c r="G1040" s="14">
        <v>5.0751739999999996</v>
      </c>
      <c r="H1040" s="15">
        <v>6.2543519999999999</v>
      </c>
      <c r="I1040" s="15">
        <v>3.623462</v>
      </c>
      <c r="J1040" s="15">
        <v>15.849489999999999</v>
      </c>
      <c r="K1040" s="15">
        <v>6.282438</v>
      </c>
      <c r="L1040" s="16">
        <v>4.8785610000000004</v>
      </c>
      <c r="M1040" s="16">
        <v>9.4065820000000002</v>
      </c>
      <c r="N1040" s="16">
        <v>9.6973559999999992</v>
      </c>
      <c r="O1040" s="16">
        <v>5.3521979999999996</v>
      </c>
      <c r="P1040" s="17">
        <v>9.4382129999999993</v>
      </c>
      <c r="Q1040" s="17">
        <v>11.50451</v>
      </c>
      <c r="R1040" s="17">
        <v>6.4015639999999996</v>
      </c>
      <c r="S1040" s="17">
        <v>13.77332</v>
      </c>
      <c r="AP1040" s="35"/>
      <c r="AQ1040" s="35"/>
      <c r="AR1040" s="35"/>
      <c r="AS1040" s="35"/>
    </row>
    <row r="1041" spans="2:45" x14ac:dyDescent="0.2">
      <c r="B1041" s="2">
        <v>43481.359432870369</v>
      </c>
      <c r="C1041" s="5">
        <f t="shared" si="110"/>
        <v>14.583332750000038</v>
      </c>
      <c r="D1041" s="14">
        <v>6.4722379999999999</v>
      </c>
      <c r="E1041" s="14">
        <v>7.34274</v>
      </c>
      <c r="F1041" s="14">
        <v>5.3459839999999996</v>
      </c>
      <c r="G1041" s="14">
        <v>5.0751739999999996</v>
      </c>
      <c r="H1041" s="15">
        <v>6.2543519999999999</v>
      </c>
      <c r="I1041" s="15">
        <v>3.6245349999999998</v>
      </c>
      <c r="J1041" s="15">
        <v>15.85187</v>
      </c>
      <c r="K1041" s="15">
        <v>6.282438</v>
      </c>
      <c r="L1041" s="16">
        <v>4.8785610000000004</v>
      </c>
      <c r="M1041" s="16">
        <v>9.4217449999999996</v>
      </c>
      <c r="N1041" s="16">
        <v>9.6973559999999992</v>
      </c>
      <c r="O1041" s="16">
        <v>5.3521979999999996</v>
      </c>
      <c r="P1041" s="17">
        <v>9.4407879999999995</v>
      </c>
      <c r="Q1041" s="17">
        <v>11.506220000000001</v>
      </c>
      <c r="R1041" s="17">
        <v>6.4074289999999996</v>
      </c>
      <c r="S1041" s="17">
        <v>13.775040000000001</v>
      </c>
      <c r="AP1041" s="35"/>
      <c r="AQ1041" s="35"/>
      <c r="AR1041" s="35"/>
      <c r="AS1041" s="35"/>
    </row>
    <row r="1042" spans="2:45" x14ac:dyDescent="0.2">
      <c r="B1042" s="2">
        <v>43481.362905092596</v>
      </c>
      <c r="C1042" s="5">
        <f t="shared" si="110"/>
        <v>14.666666080000038</v>
      </c>
      <c r="D1042" s="14">
        <v>6.4879740000000004</v>
      </c>
      <c r="E1042" s="14">
        <v>7.348033</v>
      </c>
      <c r="F1042" s="14">
        <v>5.3499889999999999</v>
      </c>
      <c r="G1042" s="14">
        <v>5.0751739999999996</v>
      </c>
      <c r="H1042" s="15">
        <v>6.2543519999999999</v>
      </c>
      <c r="I1042" s="15">
        <v>3.6256080000000002</v>
      </c>
      <c r="J1042" s="15">
        <v>15.85187</v>
      </c>
      <c r="K1042" s="15">
        <v>6.282438</v>
      </c>
      <c r="L1042" s="16">
        <v>4.8785610000000004</v>
      </c>
      <c r="M1042" s="16">
        <v>9.436909</v>
      </c>
      <c r="N1042" s="16">
        <v>9.6973559999999992</v>
      </c>
      <c r="O1042" s="16">
        <v>5.3521979999999996</v>
      </c>
      <c r="P1042" s="17">
        <v>9.4433629999999997</v>
      </c>
      <c r="Q1042" s="17">
        <v>11.50794</v>
      </c>
      <c r="R1042" s="17">
        <v>6.4132939999999996</v>
      </c>
      <c r="S1042" s="17">
        <v>13.77637</v>
      </c>
      <c r="AP1042" s="35"/>
      <c r="AQ1042" s="35"/>
      <c r="AR1042" s="35"/>
      <c r="AS1042" s="35"/>
    </row>
    <row r="1043" spans="2:45" x14ac:dyDescent="0.2">
      <c r="B1043" s="2">
        <v>43481.366377314815</v>
      </c>
      <c r="C1043" s="5">
        <f t="shared" si="110"/>
        <v>14.749999410000038</v>
      </c>
      <c r="D1043" s="14">
        <v>6.5037089999999997</v>
      </c>
      <c r="E1043" s="14">
        <v>7.353326</v>
      </c>
      <c r="F1043" s="14">
        <v>5.3539940000000001</v>
      </c>
      <c r="G1043" s="14">
        <v>5.0751739999999996</v>
      </c>
      <c r="H1043" s="15">
        <v>6.2543519999999999</v>
      </c>
      <c r="I1043" s="15">
        <v>3.626681</v>
      </c>
      <c r="J1043" s="15">
        <v>15.85187</v>
      </c>
      <c r="K1043" s="15">
        <v>6.282438</v>
      </c>
      <c r="L1043" s="16">
        <v>4.8785610000000004</v>
      </c>
      <c r="M1043" s="16">
        <v>9.4520719999999994</v>
      </c>
      <c r="N1043" s="16">
        <v>9.6973559999999992</v>
      </c>
      <c r="O1043" s="16">
        <v>5.3521979999999996</v>
      </c>
      <c r="P1043" s="17">
        <v>9.4459379999999999</v>
      </c>
      <c r="Q1043" s="17">
        <v>11.50966</v>
      </c>
      <c r="R1043" s="17">
        <v>6.4191589999999996</v>
      </c>
      <c r="S1043" s="17">
        <v>13.77637</v>
      </c>
      <c r="AP1043" s="35"/>
      <c r="AQ1043" s="35"/>
      <c r="AR1043" s="35"/>
      <c r="AS1043" s="35"/>
    </row>
    <row r="1044" spans="2:45" x14ac:dyDescent="0.2">
      <c r="B1044" s="2">
        <v>43481.369849537034</v>
      </c>
      <c r="C1044" s="5">
        <f t="shared" si="110"/>
        <v>14.833332740000039</v>
      </c>
      <c r="D1044" s="14">
        <v>6.5194450000000002</v>
      </c>
      <c r="E1044" s="14">
        <v>7.358619</v>
      </c>
      <c r="F1044" s="14">
        <v>5.3579999999999997</v>
      </c>
      <c r="G1044" s="14">
        <v>5.0751739999999996</v>
      </c>
      <c r="H1044" s="15">
        <v>6.2543519999999999</v>
      </c>
      <c r="I1044" s="15">
        <v>3.6277539999999999</v>
      </c>
      <c r="J1044" s="15">
        <v>15.85187</v>
      </c>
      <c r="K1044" s="15">
        <v>6.282438</v>
      </c>
      <c r="L1044" s="16">
        <v>4.8785610000000004</v>
      </c>
      <c r="M1044" s="16">
        <v>9.4672359999999998</v>
      </c>
      <c r="N1044" s="16">
        <v>9.6973559999999992</v>
      </c>
      <c r="O1044" s="16">
        <v>5.3521979999999996</v>
      </c>
      <c r="P1044" s="17">
        <v>9.4485130000000002</v>
      </c>
      <c r="Q1044" s="17">
        <v>11.511369999999999</v>
      </c>
      <c r="R1044" s="17">
        <v>6.4250239999999996</v>
      </c>
      <c r="S1044" s="17">
        <v>13.77637</v>
      </c>
      <c r="AP1044" s="35"/>
      <c r="AQ1044" s="35"/>
      <c r="AR1044" s="35"/>
      <c r="AS1044" s="35"/>
    </row>
    <row r="1045" spans="2:45" x14ac:dyDescent="0.2">
      <c r="B1045" s="2">
        <v>43481.37332175926</v>
      </c>
      <c r="C1045" s="5">
        <f t="shared" si="110"/>
        <v>14.916666070000039</v>
      </c>
      <c r="D1045" s="14">
        <v>6.5351809999999997</v>
      </c>
      <c r="E1045" s="14">
        <v>7.363912</v>
      </c>
      <c r="F1045" s="14">
        <v>5.3620049999999999</v>
      </c>
      <c r="G1045" s="14">
        <v>5.0751739999999996</v>
      </c>
      <c r="H1045" s="15">
        <v>6.2543519999999999</v>
      </c>
      <c r="I1045" s="15">
        <v>3.6288269999999998</v>
      </c>
      <c r="J1045" s="15">
        <v>15.85187</v>
      </c>
      <c r="K1045" s="15">
        <v>6.282438</v>
      </c>
      <c r="L1045" s="16">
        <v>4.8785610000000004</v>
      </c>
      <c r="M1045" s="16">
        <v>9.4823989999999991</v>
      </c>
      <c r="N1045" s="16">
        <v>9.6973559999999992</v>
      </c>
      <c r="O1045" s="16">
        <v>5.3521979999999996</v>
      </c>
      <c r="P1045" s="17">
        <v>9.4510880000000004</v>
      </c>
      <c r="Q1045" s="17">
        <v>11.51309</v>
      </c>
      <c r="R1045" s="17">
        <v>6.4308889999999996</v>
      </c>
      <c r="S1045" s="17">
        <v>13.77637</v>
      </c>
      <c r="AP1045" s="35"/>
      <c r="AQ1045" s="35"/>
      <c r="AR1045" s="35"/>
      <c r="AS1045" s="35"/>
    </row>
    <row r="1046" spans="2:45" x14ac:dyDescent="0.2">
      <c r="B1046" s="2">
        <v>43481.376793981479</v>
      </c>
      <c r="C1046" s="5">
        <f t="shared" si="110"/>
        <v>14.999999400000039</v>
      </c>
      <c r="D1046" s="14">
        <v>6.550916</v>
      </c>
      <c r="E1046" s="14">
        <v>7.369205</v>
      </c>
      <c r="F1046" s="14">
        <v>5.3660110000000003</v>
      </c>
      <c r="G1046" s="14">
        <v>5.0751739999999996</v>
      </c>
      <c r="H1046" s="15">
        <v>6.2543519999999999</v>
      </c>
      <c r="I1046" s="15">
        <v>3.6299000000000001</v>
      </c>
      <c r="J1046" s="15">
        <v>15.85674</v>
      </c>
      <c r="K1046" s="15">
        <v>6.282438</v>
      </c>
      <c r="L1046" s="16">
        <v>4.8785610000000004</v>
      </c>
      <c r="M1046" s="16">
        <v>9.4975620000000003</v>
      </c>
      <c r="N1046" s="16">
        <v>9.6973559999999992</v>
      </c>
      <c r="O1046" s="16">
        <v>5.3521979999999996</v>
      </c>
      <c r="P1046" s="17">
        <v>9.4536630000000006</v>
      </c>
      <c r="Q1046" s="17">
        <v>11.514810000000001</v>
      </c>
      <c r="R1046" s="17">
        <v>6.4367539999999996</v>
      </c>
      <c r="S1046" s="17">
        <v>13.77637</v>
      </c>
      <c r="V1046" s="25">
        <v>15</v>
      </c>
      <c r="W1046">
        <f>AVERAGE(D1035:D1046)</f>
        <v>6.4643702499999991</v>
      </c>
      <c r="X1046">
        <f t="shared" ref="X1046:AL1046" si="112">AVERAGE(E1035:E1046)</f>
        <v>7.3400936666666672</v>
      </c>
      <c r="Y1046">
        <f t="shared" si="112"/>
        <v>5.3475626666666658</v>
      </c>
      <c r="Z1046">
        <f t="shared" si="112"/>
        <v>5.0751739999999987</v>
      </c>
      <c r="AA1046">
        <f t="shared" si="112"/>
        <v>6.2543519999999981</v>
      </c>
      <c r="AB1046">
        <f t="shared" si="112"/>
        <v>3.6239987500000002</v>
      </c>
      <c r="AC1046">
        <f t="shared" si="112"/>
        <v>15.847865833333332</v>
      </c>
      <c r="AD1046">
        <f t="shared" si="112"/>
        <v>6.282438</v>
      </c>
      <c r="AE1046">
        <f t="shared" si="112"/>
        <v>4.8785609999999995</v>
      </c>
      <c r="AF1046">
        <f t="shared" si="112"/>
        <v>9.4141635833333339</v>
      </c>
      <c r="AG1046">
        <f t="shared" si="112"/>
        <v>9.6973559999999992</v>
      </c>
      <c r="AH1046">
        <f t="shared" si="112"/>
        <v>5.3521980000000005</v>
      </c>
      <c r="AI1046">
        <f t="shared" si="112"/>
        <v>9.4395008333333354</v>
      </c>
      <c r="AJ1046">
        <f t="shared" si="112"/>
        <v>11.505364999999999</v>
      </c>
      <c r="AK1046">
        <f t="shared" si="112"/>
        <v>6.4044961666666653</v>
      </c>
      <c r="AL1046">
        <f t="shared" si="112"/>
        <v>13.772589999999999</v>
      </c>
      <c r="AO1046" s="25">
        <v>15</v>
      </c>
      <c r="AP1046" s="35">
        <f>AVERAGE(W1046:Z1046)</f>
        <v>6.056800145833332</v>
      </c>
      <c r="AQ1046" s="35">
        <f>AVERAGE(AA1046:AD1046)</f>
        <v>8.002163645833333</v>
      </c>
      <c r="AR1046" s="35">
        <f>AVERAGE(AE1046:AH1046)</f>
        <v>7.335569645833333</v>
      </c>
      <c r="AS1046" s="35">
        <f>AVERAGE(AI1046:AL1046)</f>
        <v>10.280488</v>
      </c>
    </row>
    <row r="1047" spans="2:45" x14ac:dyDescent="0.2">
      <c r="B1047" s="2">
        <v>43481.380266203705</v>
      </c>
      <c r="C1047" s="5">
        <f t="shared" si="110"/>
        <v>15.083332730000039</v>
      </c>
      <c r="D1047" s="14">
        <v>6.5666520000000004</v>
      </c>
      <c r="E1047" s="14">
        <v>7.3744969999999999</v>
      </c>
      <c r="F1047" s="14">
        <v>5.3700159999999997</v>
      </c>
      <c r="G1047" s="14">
        <v>5.0751739999999996</v>
      </c>
      <c r="H1047" s="15">
        <v>6.2543519999999999</v>
      </c>
      <c r="I1047" s="15">
        <v>3.6309719999999999</v>
      </c>
      <c r="J1047" s="15">
        <v>15.86619</v>
      </c>
      <c r="K1047" s="15">
        <v>6.282438</v>
      </c>
      <c r="L1047" s="16">
        <v>4.8785610000000004</v>
      </c>
      <c r="M1047" s="16">
        <v>9.5127260000000007</v>
      </c>
      <c r="N1047" s="16">
        <v>9.6973559999999992</v>
      </c>
      <c r="O1047" s="16">
        <v>5.3521979999999996</v>
      </c>
      <c r="P1047" s="17">
        <v>9.4562380000000008</v>
      </c>
      <c r="Q1047" s="17">
        <v>11.51652</v>
      </c>
      <c r="R1047" s="17">
        <v>6.4426189999999997</v>
      </c>
      <c r="S1047" s="17">
        <v>13.777900000000001</v>
      </c>
      <c r="AP1047" s="35"/>
      <c r="AQ1047" s="35"/>
      <c r="AR1047" s="35"/>
      <c r="AS1047" s="35"/>
    </row>
    <row r="1048" spans="2:45" x14ac:dyDescent="0.2">
      <c r="B1048" s="2">
        <v>43481.383738425924</v>
      </c>
      <c r="C1048" s="5">
        <f t="shared" si="110"/>
        <v>15.16666606000004</v>
      </c>
      <c r="D1048" s="14">
        <v>6.5823869999999998</v>
      </c>
      <c r="E1048" s="14">
        <v>7.3797899999999998</v>
      </c>
      <c r="F1048" s="14">
        <v>5.3740220000000001</v>
      </c>
      <c r="G1048" s="14">
        <v>5.0751739999999996</v>
      </c>
      <c r="H1048" s="15">
        <v>6.2543519999999999</v>
      </c>
      <c r="I1048" s="15">
        <v>3.6320450000000002</v>
      </c>
      <c r="J1048" s="15">
        <v>15.875629999999999</v>
      </c>
      <c r="K1048" s="15">
        <v>6.282438</v>
      </c>
      <c r="L1048" s="16">
        <v>4.8785610000000004</v>
      </c>
      <c r="M1048" s="16">
        <v>9.5278890000000001</v>
      </c>
      <c r="N1048" s="16">
        <v>9.6973559999999992</v>
      </c>
      <c r="O1048" s="16">
        <v>5.3521979999999996</v>
      </c>
      <c r="P1048" s="17">
        <v>9.4588129999999992</v>
      </c>
      <c r="Q1048" s="17">
        <v>11.517010000000001</v>
      </c>
      <c r="R1048" s="17">
        <v>6.4484839999999997</v>
      </c>
      <c r="S1048" s="17">
        <v>13.780189999999999</v>
      </c>
      <c r="AP1048" s="35"/>
      <c r="AQ1048" s="35"/>
      <c r="AR1048" s="35"/>
      <c r="AS1048" s="35"/>
    </row>
    <row r="1049" spans="2:45" x14ac:dyDescent="0.2">
      <c r="B1049" s="2">
        <v>43481.38721064815</v>
      </c>
      <c r="C1049" s="5">
        <f t="shared" si="110"/>
        <v>15.24999939000004</v>
      </c>
      <c r="D1049" s="14">
        <v>6.5981230000000002</v>
      </c>
      <c r="E1049" s="14">
        <v>7.3850829999999998</v>
      </c>
      <c r="F1049" s="14">
        <v>5.3780270000000003</v>
      </c>
      <c r="G1049" s="14">
        <v>5.0751739999999996</v>
      </c>
      <c r="H1049" s="15">
        <v>6.2543519999999999</v>
      </c>
      <c r="I1049" s="15">
        <v>3.6331180000000001</v>
      </c>
      <c r="J1049" s="15">
        <v>15.885070000000001</v>
      </c>
      <c r="K1049" s="15">
        <v>6.282438</v>
      </c>
      <c r="L1049" s="16">
        <v>4.8785610000000004</v>
      </c>
      <c r="M1049" s="16">
        <v>9.5430530000000005</v>
      </c>
      <c r="N1049" s="16">
        <v>9.6973559999999992</v>
      </c>
      <c r="O1049" s="16">
        <v>5.3521979999999996</v>
      </c>
      <c r="P1049" s="17">
        <v>9.4613879999999995</v>
      </c>
      <c r="Q1049" s="17">
        <v>11.517010000000001</v>
      </c>
      <c r="R1049" s="17">
        <v>6.4543499999999998</v>
      </c>
      <c r="S1049" s="17">
        <v>13.78248</v>
      </c>
      <c r="AP1049" s="35"/>
      <c r="AQ1049" s="35"/>
      <c r="AR1049" s="35"/>
      <c r="AS1049" s="35"/>
    </row>
    <row r="1050" spans="2:45" x14ac:dyDescent="0.2">
      <c r="B1050" s="2">
        <v>43481.390682870369</v>
      </c>
      <c r="C1050" s="5">
        <f t="shared" si="110"/>
        <v>15.33333272000004</v>
      </c>
      <c r="D1050" s="14">
        <v>6.6138589999999997</v>
      </c>
      <c r="E1050" s="14">
        <v>7.3903759999999998</v>
      </c>
      <c r="F1050" s="14">
        <v>5.3820319999999997</v>
      </c>
      <c r="G1050" s="14">
        <v>5.0751739999999996</v>
      </c>
      <c r="H1050" s="15">
        <v>6.2543519999999999</v>
      </c>
      <c r="I1050" s="15">
        <v>3.6341909999999999</v>
      </c>
      <c r="J1050" s="15">
        <v>15.89451</v>
      </c>
      <c r="K1050" s="15">
        <v>6.282438</v>
      </c>
      <c r="L1050" s="16">
        <v>4.8785610000000004</v>
      </c>
      <c r="M1050" s="16">
        <v>9.5582159999999998</v>
      </c>
      <c r="N1050" s="16">
        <v>9.6973559999999992</v>
      </c>
      <c r="O1050" s="16">
        <v>5.3521979999999996</v>
      </c>
      <c r="P1050" s="17">
        <v>9.4639629999999997</v>
      </c>
      <c r="Q1050" s="17">
        <v>11.517010000000001</v>
      </c>
      <c r="R1050" s="17">
        <v>6.4602149999999998</v>
      </c>
      <c r="S1050" s="17">
        <v>13.78477</v>
      </c>
      <c r="AP1050" s="35"/>
      <c r="AQ1050" s="35"/>
      <c r="AR1050" s="35"/>
      <c r="AS1050" s="35"/>
    </row>
    <row r="1051" spans="2:45" x14ac:dyDescent="0.2">
      <c r="B1051" s="2">
        <v>43481.394155092596</v>
      </c>
      <c r="C1051" s="5">
        <f t="shared" si="110"/>
        <v>15.416666050000041</v>
      </c>
      <c r="D1051" s="14">
        <v>6.629594</v>
      </c>
      <c r="E1051" s="14">
        <v>7.3956689999999998</v>
      </c>
      <c r="F1051" s="14">
        <v>5.3860380000000001</v>
      </c>
      <c r="G1051" s="14">
        <v>5.0751739999999996</v>
      </c>
      <c r="H1051" s="15">
        <v>6.2543519999999999</v>
      </c>
      <c r="I1051" s="15">
        <v>3.6352639999999998</v>
      </c>
      <c r="J1051" s="15">
        <v>15.90395</v>
      </c>
      <c r="K1051" s="15">
        <v>6.282438</v>
      </c>
      <c r="L1051" s="16">
        <v>4.8785610000000004</v>
      </c>
      <c r="M1051" s="16">
        <v>9.5733800000000002</v>
      </c>
      <c r="N1051" s="16">
        <v>9.6973559999999992</v>
      </c>
      <c r="O1051" s="16">
        <v>5.3521979999999996</v>
      </c>
      <c r="P1051" s="17">
        <v>9.4665370000000006</v>
      </c>
      <c r="Q1051" s="17">
        <v>11.517060000000001</v>
      </c>
      <c r="R1051" s="17">
        <v>6.4660799999999998</v>
      </c>
      <c r="S1051" s="17">
        <v>13.78706</v>
      </c>
      <c r="AP1051" s="35"/>
      <c r="AQ1051" s="35"/>
      <c r="AR1051" s="35"/>
      <c r="AS1051" s="35"/>
    </row>
    <row r="1052" spans="2:45" x14ac:dyDescent="0.2">
      <c r="B1052" s="2">
        <v>43481.397627314815</v>
      </c>
      <c r="C1052" s="5">
        <f t="shared" si="110"/>
        <v>15.499999380000041</v>
      </c>
      <c r="D1052" s="14">
        <v>6.6453300000000004</v>
      </c>
      <c r="E1052" s="14">
        <v>7.4009619999999998</v>
      </c>
      <c r="F1052" s="14">
        <v>5.3900430000000004</v>
      </c>
      <c r="G1052" s="14">
        <v>5.0751739999999996</v>
      </c>
      <c r="H1052" s="15">
        <v>6.2543519999999999</v>
      </c>
      <c r="I1052" s="15">
        <v>3.6363370000000002</v>
      </c>
      <c r="J1052" s="15">
        <v>15.91339</v>
      </c>
      <c r="K1052" s="15">
        <v>6.282438</v>
      </c>
      <c r="L1052" s="16">
        <v>4.8785610000000004</v>
      </c>
      <c r="M1052" s="16">
        <v>9.5885429999999996</v>
      </c>
      <c r="N1052" s="16">
        <v>9.6973559999999992</v>
      </c>
      <c r="O1052" s="16">
        <v>5.3521979999999996</v>
      </c>
      <c r="P1052" s="17">
        <v>9.4691120000000009</v>
      </c>
      <c r="Q1052" s="17">
        <v>11.523899999999999</v>
      </c>
      <c r="R1052" s="17">
        <v>6.4719449999999998</v>
      </c>
      <c r="S1052" s="17">
        <v>13.789339999999999</v>
      </c>
      <c r="AP1052" s="35"/>
      <c r="AQ1052" s="35"/>
      <c r="AR1052" s="35"/>
      <c r="AS1052" s="35"/>
    </row>
    <row r="1053" spans="2:45" x14ac:dyDescent="0.2">
      <c r="B1053" s="2">
        <v>43481.401099537034</v>
      </c>
      <c r="C1053" s="5">
        <f t="shared" si="110"/>
        <v>15.583332710000041</v>
      </c>
      <c r="D1053" s="14">
        <v>6.6610659999999999</v>
      </c>
      <c r="E1053" s="14">
        <v>7.4062549999999998</v>
      </c>
      <c r="F1053" s="14">
        <v>5.3940489999999999</v>
      </c>
      <c r="G1053" s="14">
        <v>5.0751739999999996</v>
      </c>
      <c r="H1053" s="15">
        <v>6.2543519999999999</v>
      </c>
      <c r="I1053" s="15">
        <v>3.63741</v>
      </c>
      <c r="J1053" s="15">
        <v>15.922829999999999</v>
      </c>
      <c r="K1053" s="15">
        <v>6.282438</v>
      </c>
      <c r="L1053" s="16">
        <v>4.8785610000000004</v>
      </c>
      <c r="M1053" s="16">
        <v>9.6037060000000007</v>
      </c>
      <c r="N1053" s="16">
        <v>9.6973559999999992</v>
      </c>
      <c r="O1053" s="16">
        <v>5.3521979999999996</v>
      </c>
      <c r="P1053" s="17">
        <v>9.4716869999999993</v>
      </c>
      <c r="Q1053" s="17">
        <v>11.530760000000001</v>
      </c>
      <c r="R1053" s="17">
        <v>6.4778099999999998</v>
      </c>
      <c r="S1053" s="17">
        <v>13.79163</v>
      </c>
      <c r="AP1053" s="35"/>
      <c r="AQ1053" s="35"/>
      <c r="AR1053" s="35"/>
      <c r="AS1053" s="35"/>
    </row>
    <row r="1054" spans="2:45" x14ac:dyDescent="0.2">
      <c r="B1054" s="2">
        <v>43481.40457175926</v>
      </c>
      <c r="C1054" s="5">
        <f t="shared" si="110"/>
        <v>15.666666040000042</v>
      </c>
      <c r="D1054" s="14">
        <v>6.6768010000000002</v>
      </c>
      <c r="E1054" s="14">
        <v>7.4115479999999998</v>
      </c>
      <c r="F1054" s="14">
        <v>5.3980540000000001</v>
      </c>
      <c r="G1054" s="14">
        <v>5.0751739999999996</v>
      </c>
      <c r="H1054" s="15">
        <v>6.2543519999999999</v>
      </c>
      <c r="I1054" s="15">
        <v>3.6384829999999999</v>
      </c>
      <c r="J1054" s="15">
        <v>15.932270000000001</v>
      </c>
      <c r="K1054" s="15">
        <v>6.282438</v>
      </c>
      <c r="L1054" s="16">
        <v>4.8785610000000004</v>
      </c>
      <c r="M1054" s="16">
        <v>9.6188699999999994</v>
      </c>
      <c r="N1054" s="16">
        <v>9.6973559999999992</v>
      </c>
      <c r="O1054" s="16">
        <v>5.3521979999999996</v>
      </c>
      <c r="P1054" s="17">
        <v>9.4742619999999995</v>
      </c>
      <c r="Q1054" s="17">
        <v>11.53763</v>
      </c>
      <c r="R1054" s="17">
        <v>6.4836749999999999</v>
      </c>
      <c r="S1054" s="17">
        <v>13.79392</v>
      </c>
      <c r="AP1054" s="35"/>
      <c r="AQ1054" s="35"/>
      <c r="AR1054" s="35"/>
      <c r="AS1054" s="35"/>
    </row>
    <row r="1055" spans="2:45" x14ac:dyDescent="0.2">
      <c r="B1055" s="2">
        <v>43481.408043981479</v>
      </c>
      <c r="C1055" s="5">
        <f t="shared" si="110"/>
        <v>15.749999370000042</v>
      </c>
      <c r="D1055" s="14">
        <v>6.6925369999999997</v>
      </c>
      <c r="E1055" s="14">
        <v>7.4168409999999998</v>
      </c>
      <c r="F1055" s="14">
        <v>5.4020599999999996</v>
      </c>
      <c r="G1055" s="14">
        <v>5.0751739999999996</v>
      </c>
      <c r="H1055" s="15">
        <v>6.2543519999999999</v>
      </c>
      <c r="I1055" s="15">
        <v>3.6395550000000001</v>
      </c>
      <c r="J1055" s="15">
        <v>15.94172</v>
      </c>
      <c r="K1055" s="15">
        <v>6.282438</v>
      </c>
      <c r="L1055" s="16">
        <v>4.8785610000000004</v>
      </c>
      <c r="M1055" s="16">
        <v>9.6340330000000005</v>
      </c>
      <c r="N1055" s="16">
        <v>9.6973559999999992</v>
      </c>
      <c r="O1055" s="16">
        <v>5.3521979999999996</v>
      </c>
      <c r="P1055" s="17">
        <v>9.4768369999999997</v>
      </c>
      <c r="Q1055" s="17">
        <v>11.544499999999999</v>
      </c>
      <c r="R1055" s="17">
        <v>6.4895399999999999</v>
      </c>
      <c r="S1055" s="17">
        <v>13.79621</v>
      </c>
      <c r="AP1055" s="35"/>
      <c r="AQ1055" s="35"/>
      <c r="AR1055" s="35"/>
      <c r="AS1055" s="35"/>
    </row>
    <row r="1056" spans="2:45" x14ac:dyDescent="0.2">
      <c r="B1056" s="2">
        <v>43481.411516203705</v>
      </c>
      <c r="C1056" s="5">
        <f t="shared" si="110"/>
        <v>15.833332700000042</v>
      </c>
      <c r="D1056" s="14">
        <v>6.708272</v>
      </c>
      <c r="E1056" s="14">
        <v>7.4221329999999996</v>
      </c>
      <c r="F1056" s="14">
        <v>5.4060649999999999</v>
      </c>
      <c r="G1056" s="14">
        <v>5.0751739999999996</v>
      </c>
      <c r="H1056" s="15">
        <v>6.2543519999999999</v>
      </c>
      <c r="I1056" s="15">
        <v>3.640628</v>
      </c>
      <c r="J1056" s="15">
        <v>15.95116</v>
      </c>
      <c r="K1056" s="15">
        <v>6.282438</v>
      </c>
      <c r="L1056" s="16">
        <v>4.8785610000000004</v>
      </c>
      <c r="M1056" s="16">
        <v>9.6491969999999991</v>
      </c>
      <c r="N1056" s="16">
        <v>9.6973559999999992</v>
      </c>
      <c r="O1056" s="16">
        <v>5.3521979999999996</v>
      </c>
      <c r="P1056" s="17">
        <v>9.4794119999999999</v>
      </c>
      <c r="Q1056" s="17">
        <v>11.551360000000001</v>
      </c>
      <c r="R1056" s="17">
        <v>6.4954049999999999</v>
      </c>
      <c r="S1056" s="17">
        <v>13.798500000000001</v>
      </c>
      <c r="AP1056" s="35"/>
      <c r="AQ1056" s="35"/>
      <c r="AR1056" s="35"/>
      <c r="AS1056" s="35"/>
    </row>
    <row r="1057" spans="2:45" x14ac:dyDescent="0.2">
      <c r="B1057" s="2">
        <v>43481.414988425924</v>
      </c>
      <c r="C1057" s="5">
        <f t="shared" si="110"/>
        <v>15.916666030000043</v>
      </c>
      <c r="D1057" s="14">
        <v>6.7240080000000004</v>
      </c>
      <c r="E1057" s="14">
        <v>7.4274259999999996</v>
      </c>
      <c r="F1057" s="14">
        <v>5.4100700000000002</v>
      </c>
      <c r="G1057" s="14">
        <v>5.0751739999999996</v>
      </c>
      <c r="H1057" s="15">
        <v>6.2543519999999999</v>
      </c>
      <c r="I1057" s="15">
        <v>3.6417009999999999</v>
      </c>
      <c r="J1057" s="15">
        <v>15.960599999999999</v>
      </c>
      <c r="K1057" s="15">
        <v>6.282438</v>
      </c>
      <c r="L1057" s="16">
        <v>4.8785610000000004</v>
      </c>
      <c r="M1057" s="16">
        <v>9.6643600000000003</v>
      </c>
      <c r="N1057" s="16">
        <v>9.6973559999999992</v>
      </c>
      <c r="O1057" s="16">
        <v>5.3521979999999996</v>
      </c>
      <c r="P1057" s="17">
        <v>9.4819870000000002</v>
      </c>
      <c r="Q1057" s="17">
        <v>11.55823</v>
      </c>
      <c r="R1057" s="17">
        <v>6.5012699999999999</v>
      </c>
      <c r="S1057" s="17">
        <v>13.800789999999999</v>
      </c>
      <c r="AP1057" s="35"/>
      <c r="AQ1057" s="35"/>
      <c r="AR1057" s="35"/>
      <c r="AS1057" s="35"/>
    </row>
    <row r="1058" spans="2:45" x14ac:dyDescent="0.2">
      <c r="B1058" s="2">
        <v>43481.41846064815</v>
      </c>
      <c r="C1058" s="5">
        <f t="shared" si="110"/>
        <v>15.999999360000043</v>
      </c>
      <c r="D1058" s="14">
        <v>6.739744</v>
      </c>
      <c r="E1058" s="14">
        <v>7.4327189999999996</v>
      </c>
      <c r="F1058" s="14">
        <v>5.4140759999999997</v>
      </c>
      <c r="G1058" s="14">
        <v>5.0751739999999996</v>
      </c>
      <c r="H1058" s="15">
        <v>6.2543519999999999</v>
      </c>
      <c r="I1058" s="15">
        <v>3.6427740000000002</v>
      </c>
      <c r="J1058" s="15">
        <v>15.970039999999999</v>
      </c>
      <c r="K1058" s="15">
        <v>6.282438</v>
      </c>
      <c r="L1058" s="16">
        <v>4.8785610000000004</v>
      </c>
      <c r="M1058" s="16">
        <v>9.6795229999999997</v>
      </c>
      <c r="N1058" s="16">
        <v>9.6973559999999992</v>
      </c>
      <c r="O1058" s="16">
        <v>5.3521979999999996</v>
      </c>
      <c r="P1058" s="17">
        <v>9.4845620000000004</v>
      </c>
      <c r="Q1058" s="17">
        <v>11.565099999999999</v>
      </c>
      <c r="R1058" s="17">
        <v>6.5071349999999999</v>
      </c>
      <c r="S1058" s="17">
        <v>13.80308</v>
      </c>
      <c r="V1058" s="25">
        <v>16</v>
      </c>
      <c r="W1058">
        <f>AVERAGE(D1047:D1058)</f>
        <v>6.6531977499999995</v>
      </c>
      <c r="X1058">
        <f t="shared" ref="X1058:AL1058" si="113">AVERAGE(E1047:E1058)</f>
        <v>7.4036082500000013</v>
      </c>
      <c r="Y1058">
        <f t="shared" si="113"/>
        <v>5.3920459999999997</v>
      </c>
      <c r="Z1058">
        <f t="shared" si="113"/>
        <v>5.0751739999999987</v>
      </c>
      <c r="AA1058">
        <f t="shared" si="113"/>
        <v>6.2543519999999981</v>
      </c>
      <c r="AB1058">
        <f t="shared" si="113"/>
        <v>3.6368731666666663</v>
      </c>
      <c r="AC1058">
        <f t="shared" si="113"/>
        <v>15.918113333333332</v>
      </c>
      <c r="AD1058">
        <f t="shared" si="113"/>
        <v>6.282438</v>
      </c>
      <c r="AE1058">
        <f t="shared" si="113"/>
        <v>4.8785609999999995</v>
      </c>
      <c r="AF1058">
        <f t="shared" si="113"/>
        <v>9.5961246666666682</v>
      </c>
      <c r="AG1058">
        <f t="shared" si="113"/>
        <v>9.6973559999999992</v>
      </c>
      <c r="AH1058">
        <f t="shared" si="113"/>
        <v>5.3521980000000005</v>
      </c>
      <c r="AI1058">
        <f t="shared" si="113"/>
        <v>9.4703998333333335</v>
      </c>
      <c r="AJ1058">
        <f t="shared" si="113"/>
        <v>11.533007499999998</v>
      </c>
      <c r="AK1058">
        <f t="shared" si="113"/>
        <v>6.4748773333333327</v>
      </c>
      <c r="AL1058">
        <f t="shared" si="113"/>
        <v>13.790489166666667</v>
      </c>
      <c r="AO1058" s="25">
        <v>16</v>
      </c>
      <c r="AP1058" s="35">
        <f>AVERAGE(W1058:Z1058)</f>
        <v>6.1310064999999998</v>
      </c>
      <c r="AQ1058" s="35">
        <f>AVERAGE(AA1058:AD1058)</f>
        <v>8.0229441249999986</v>
      </c>
      <c r="AR1058" s="35">
        <f>AVERAGE(AE1058:AH1058)</f>
        <v>7.3810599166666666</v>
      </c>
      <c r="AS1058" s="35">
        <f>AVERAGE(AI1058:AL1058)</f>
        <v>10.317193458333332</v>
      </c>
    </row>
    <row r="1059" spans="2:45" x14ac:dyDescent="0.2">
      <c r="B1059" s="2">
        <v>43481.421932870369</v>
      </c>
      <c r="C1059" s="5">
        <f t="shared" si="110"/>
        <v>16.083332690000042</v>
      </c>
      <c r="D1059" s="14">
        <v>6.7554790000000002</v>
      </c>
      <c r="E1059" s="14">
        <v>7.4380119999999996</v>
      </c>
      <c r="F1059" s="14">
        <v>5.4180809999999999</v>
      </c>
      <c r="G1059" s="14">
        <v>5.0751739999999996</v>
      </c>
      <c r="H1059" s="15">
        <v>6.2543519999999999</v>
      </c>
      <c r="I1059" s="15">
        <v>3.6438470000000001</v>
      </c>
      <c r="J1059" s="15">
        <v>15.979480000000001</v>
      </c>
      <c r="K1059" s="15">
        <v>6.282438</v>
      </c>
      <c r="L1059" s="16">
        <v>4.8785610000000004</v>
      </c>
      <c r="M1059" s="16">
        <v>9.6946870000000001</v>
      </c>
      <c r="N1059" s="16">
        <v>9.6973559999999992</v>
      </c>
      <c r="O1059" s="16">
        <v>5.3521979999999996</v>
      </c>
      <c r="P1059" s="17">
        <v>9.4871370000000006</v>
      </c>
      <c r="Q1059" s="17">
        <v>11.571960000000001</v>
      </c>
      <c r="R1059" s="17">
        <v>6.5129999999999999</v>
      </c>
      <c r="S1059" s="17">
        <v>13.80537</v>
      </c>
      <c r="AP1059" s="35"/>
      <c r="AQ1059" s="35"/>
      <c r="AR1059" s="35"/>
      <c r="AS1059" s="35"/>
    </row>
    <row r="1060" spans="2:45" x14ac:dyDescent="0.2">
      <c r="B1060" s="2">
        <v>43481.425405092596</v>
      </c>
      <c r="C1060" s="5">
        <f t="shared" si="110"/>
        <v>16.16666602000004</v>
      </c>
      <c r="D1060" s="14">
        <v>6.7712149999999998</v>
      </c>
      <c r="E1060" s="14">
        <v>7.4433049999999996</v>
      </c>
      <c r="F1060" s="14">
        <v>5.4220870000000003</v>
      </c>
      <c r="G1060" s="14">
        <v>5.0751739999999996</v>
      </c>
      <c r="H1060" s="15">
        <v>6.2543519999999999</v>
      </c>
      <c r="I1060" s="15">
        <v>3.6449199999999999</v>
      </c>
      <c r="J1060" s="15">
        <v>15.98892</v>
      </c>
      <c r="K1060" s="15">
        <v>6.282438</v>
      </c>
      <c r="L1060" s="16">
        <v>4.8785610000000004</v>
      </c>
      <c r="M1060" s="16">
        <v>9.7098499999999994</v>
      </c>
      <c r="N1060" s="16">
        <v>9.6973559999999992</v>
      </c>
      <c r="O1060" s="16">
        <v>5.3521979999999996</v>
      </c>
      <c r="P1060" s="17">
        <v>9.4897120000000008</v>
      </c>
      <c r="Q1060" s="17">
        <v>11.57883</v>
      </c>
      <c r="R1060" s="17">
        <v>6.518866</v>
      </c>
      <c r="S1060" s="17">
        <v>13.807650000000001</v>
      </c>
      <c r="AP1060" s="35"/>
      <c r="AQ1060" s="35"/>
      <c r="AR1060" s="35"/>
      <c r="AS1060" s="35"/>
    </row>
    <row r="1061" spans="2:45" x14ac:dyDescent="0.2">
      <c r="B1061" s="2">
        <v>43481.428877314815</v>
      </c>
      <c r="C1061" s="5">
        <f t="shared" si="110"/>
        <v>16.249999350000039</v>
      </c>
      <c r="D1061" s="14">
        <v>6.7869510000000002</v>
      </c>
      <c r="E1061" s="14">
        <v>7.4485979999999996</v>
      </c>
      <c r="F1061" s="14">
        <v>5.4260919999999997</v>
      </c>
      <c r="G1061" s="14">
        <v>5.0751739999999996</v>
      </c>
      <c r="H1061" s="15">
        <v>6.2543519999999999</v>
      </c>
      <c r="I1061" s="15">
        <v>3.6459929999999998</v>
      </c>
      <c r="J1061" s="15">
        <v>15.99836</v>
      </c>
      <c r="K1061" s="15">
        <v>6.282438</v>
      </c>
      <c r="L1061" s="16">
        <v>4.8785610000000004</v>
      </c>
      <c r="M1061" s="16">
        <v>9.7250139999999998</v>
      </c>
      <c r="N1061" s="16">
        <v>9.6973559999999992</v>
      </c>
      <c r="O1061" s="16">
        <v>5.3521979999999996</v>
      </c>
      <c r="P1061" s="17">
        <v>9.4922869999999993</v>
      </c>
      <c r="Q1061" s="17">
        <v>11.585699999999999</v>
      </c>
      <c r="R1061" s="17">
        <v>6.5247310000000001</v>
      </c>
      <c r="S1061" s="17">
        <v>13.809939999999999</v>
      </c>
      <c r="AP1061" s="35"/>
      <c r="AQ1061" s="35"/>
      <c r="AR1061" s="35"/>
      <c r="AS1061" s="35"/>
    </row>
    <row r="1062" spans="2:45" x14ac:dyDescent="0.2">
      <c r="B1062" s="2">
        <v>43481.432349537034</v>
      </c>
      <c r="C1062" s="5">
        <f t="shared" si="110"/>
        <v>16.333332680000037</v>
      </c>
      <c r="D1062" s="14">
        <v>6.8026859999999996</v>
      </c>
      <c r="E1062" s="14">
        <v>7.4538909999999996</v>
      </c>
      <c r="F1062" s="14">
        <v>5.4300980000000001</v>
      </c>
      <c r="G1062" s="14">
        <v>5.0751739999999996</v>
      </c>
      <c r="H1062" s="15">
        <v>6.2543519999999999</v>
      </c>
      <c r="I1062" s="15">
        <v>3.6470660000000001</v>
      </c>
      <c r="J1062" s="15">
        <v>16.007570000000001</v>
      </c>
      <c r="K1062" s="15">
        <v>6.282438</v>
      </c>
      <c r="L1062" s="16">
        <v>4.8785610000000004</v>
      </c>
      <c r="M1062" s="16">
        <v>9.7401769999999992</v>
      </c>
      <c r="N1062" s="16">
        <v>9.6973559999999992</v>
      </c>
      <c r="O1062" s="16">
        <v>5.3521979999999996</v>
      </c>
      <c r="P1062" s="17">
        <v>9.4948619999999995</v>
      </c>
      <c r="Q1062" s="17">
        <v>11.592560000000001</v>
      </c>
      <c r="R1062" s="17">
        <v>6.5270469999999996</v>
      </c>
      <c r="S1062" s="17">
        <v>13.81223</v>
      </c>
      <c r="AP1062" s="35"/>
      <c r="AQ1062" s="35"/>
      <c r="AR1062" s="35"/>
      <c r="AS1062" s="35"/>
    </row>
    <row r="1063" spans="2:45" x14ac:dyDescent="0.2">
      <c r="B1063" s="2">
        <v>43481.43582175926</v>
      </c>
      <c r="C1063" s="5">
        <f t="shared" si="110"/>
        <v>16.416666010000036</v>
      </c>
      <c r="D1063" s="14">
        <v>6.818422</v>
      </c>
      <c r="E1063" s="14">
        <v>7.4577720000000003</v>
      </c>
      <c r="F1063" s="14">
        <v>5.4341030000000003</v>
      </c>
      <c r="G1063" s="14">
        <v>5.0751739999999996</v>
      </c>
      <c r="H1063" s="15">
        <v>6.2543519999999999</v>
      </c>
      <c r="I1063" s="15">
        <v>3.648139</v>
      </c>
      <c r="J1063" s="15">
        <v>16.016719999999999</v>
      </c>
      <c r="K1063" s="15">
        <v>6.282438</v>
      </c>
      <c r="L1063" s="16">
        <v>4.8785610000000004</v>
      </c>
      <c r="M1063" s="16">
        <v>9.7553409999999996</v>
      </c>
      <c r="N1063" s="16">
        <v>9.6973559999999992</v>
      </c>
      <c r="O1063" s="16">
        <v>5.3521979999999996</v>
      </c>
      <c r="P1063" s="17">
        <v>9.4974369999999997</v>
      </c>
      <c r="Q1063" s="17">
        <v>11.59943</v>
      </c>
      <c r="R1063" s="17">
        <v>6.5270469999999996</v>
      </c>
      <c r="S1063" s="17">
        <v>13.81452</v>
      </c>
      <c r="AP1063" s="35"/>
      <c r="AQ1063" s="35"/>
      <c r="AR1063" s="35"/>
      <c r="AS1063" s="35"/>
    </row>
    <row r="1064" spans="2:45" x14ac:dyDescent="0.2">
      <c r="B1064" s="2">
        <v>43481.439293981479</v>
      </c>
      <c r="C1064" s="5">
        <f t="shared" si="110"/>
        <v>16.499999340000034</v>
      </c>
      <c r="D1064" s="14">
        <v>6.8341570000000003</v>
      </c>
      <c r="E1064" s="14">
        <v>7.4577720000000003</v>
      </c>
      <c r="F1064" s="14">
        <v>5.4373139999999998</v>
      </c>
      <c r="G1064" s="14">
        <v>5.0751739999999996</v>
      </c>
      <c r="H1064" s="15">
        <v>6.2543519999999999</v>
      </c>
      <c r="I1064" s="15">
        <v>3.6492110000000002</v>
      </c>
      <c r="J1064" s="15">
        <v>16.025880000000001</v>
      </c>
      <c r="K1064" s="15">
        <v>6.282438</v>
      </c>
      <c r="L1064" s="16">
        <v>4.8785610000000004</v>
      </c>
      <c r="M1064" s="16">
        <v>9.7705040000000007</v>
      </c>
      <c r="N1064" s="16">
        <v>9.6973559999999992</v>
      </c>
      <c r="O1064" s="16">
        <v>5.3521979999999996</v>
      </c>
      <c r="P1064" s="17">
        <v>9.5000110000000006</v>
      </c>
      <c r="Q1064" s="17">
        <v>11.606299999999999</v>
      </c>
      <c r="R1064" s="17">
        <v>6.5270469999999996</v>
      </c>
      <c r="S1064" s="17">
        <v>13.81681</v>
      </c>
      <c r="AP1064" s="35"/>
      <c r="AQ1064" s="35"/>
      <c r="AR1064" s="35"/>
      <c r="AS1064" s="35"/>
    </row>
    <row r="1065" spans="2:45" x14ac:dyDescent="0.2">
      <c r="B1065" s="2">
        <v>43481.442766203705</v>
      </c>
      <c r="C1065" s="5">
        <f t="shared" si="110"/>
        <v>16.583332670000033</v>
      </c>
      <c r="D1065" s="14">
        <v>6.8498929999999998</v>
      </c>
      <c r="E1065" s="14">
        <v>7.4577720000000003</v>
      </c>
      <c r="F1065" s="14">
        <v>5.4373139999999998</v>
      </c>
      <c r="G1065" s="14">
        <v>5.0751739999999996</v>
      </c>
      <c r="H1065" s="15">
        <v>6.2543519999999999</v>
      </c>
      <c r="I1065" s="15">
        <v>3.6502840000000001</v>
      </c>
      <c r="J1065" s="15">
        <v>16.035029999999999</v>
      </c>
      <c r="K1065" s="15">
        <v>6.282438</v>
      </c>
      <c r="L1065" s="16">
        <v>4.8785610000000004</v>
      </c>
      <c r="M1065" s="16">
        <v>9.7856670000000001</v>
      </c>
      <c r="N1065" s="16">
        <v>9.6973559999999992</v>
      </c>
      <c r="O1065" s="16">
        <v>5.3521979999999996</v>
      </c>
      <c r="P1065" s="17">
        <v>9.5025860000000009</v>
      </c>
      <c r="Q1065" s="17">
        <v>11.613160000000001</v>
      </c>
      <c r="R1065" s="17">
        <v>6.5270469999999996</v>
      </c>
      <c r="S1065" s="17">
        <v>13.819100000000001</v>
      </c>
      <c r="AP1065" s="35"/>
      <c r="AQ1065" s="35"/>
      <c r="AR1065" s="35"/>
      <c r="AS1065" s="35"/>
    </row>
    <row r="1066" spans="2:45" x14ac:dyDescent="0.2">
      <c r="B1066" s="2">
        <v>43481.446238425924</v>
      </c>
      <c r="C1066" s="5">
        <f t="shared" si="110"/>
        <v>16.666666000000031</v>
      </c>
      <c r="D1066" s="14">
        <v>6.8656290000000002</v>
      </c>
      <c r="E1066" s="14">
        <v>7.473007</v>
      </c>
      <c r="F1066" s="14">
        <v>5.4410610000000004</v>
      </c>
      <c r="G1066" s="14">
        <v>5.0751739999999996</v>
      </c>
      <c r="H1066" s="15">
        <v>6.2543519999999999</v>
      </c>
      <c r="I1066" s="15">
        <v>3.651357</v>
      </c>
      <c r="J1066" s="15">
        <v>16.04419</v>
      </c>
      <c r="K1066" s="15">
        <v>6.282438</v>
      </c>
      <c r="L1066" s="16">
        <v>4.8785610000000004</v>
      </c>
      <c r="M1066" s="16">
        <v>9.8008310000000005</v>
      </c>
      <c r="N1066" s="16">
        <v>9.6973559999999992</v>
      </c>
      <c r="O1066" s="16">
        <v>5.3521979999999996</v>
      </c>
      <c r="P1066" s="17">
        <v>9.5051609999999993</v>
      </c>
      <c r="Q1066" s="17">
        <v>11.62003</v>
      </c>
      <c r="R1066" s="17">
        <v>6.5270469999999996</v>
      </c>
      <c r="S1066" s="17">
        <v>13.820970000000001</v>
      </c>
      <c r="AP1066" s="35"/>
      <c r="AQ1066" s="35"/>
      <c r="AR1066" s="35"/>
      <c r="AS1066" s="35"/>
    </row>
    <row r="1067" spans="2:45" x14ac:dyDescent="0.2">
      <c r="B1067" s="2">
        <v>43481.44971064815</v>
      </c>
      <c r="C1067" s="5">
        <f t="shared" si="110"/>
        <v>16.74999933000003</v>
      </c>
      <c r="D1067" s="14">
        <v>6.8813639999999996</v>
      </c>
      <c r="E1067" s="14">
        <v>7.5373799999999997</v>
      </c>
      <c r="F1067" s="14">
        <v>5.4454960000000003</v>
      </c>
      <c r="G1067" s="14">
        <v>5.0751739999999996</v>
      </c>
      <c r="H1067" s="15">
        <v>6.2543519999999999</v>
      </c>
      <c r="I1067" s="15">
        <v>3.6524299999999998</v>
      </c>
      <c r="J1067" s="15">
        <v>16.053339999999999</v>
      </c>
      <c r="K1067" s="15">
        <v>6.282438</v>
      </c>
      <c r="L1067" s="16">
        <v>4.8785610000000004</v>
      </c>
      <c r="M1067" s="16">
        <v>9.8089929999999992</v>
      </c>
      <c r="N1067" s="16">
        <v>9.6973559999999992</v>
      </c>
      <c r="O1067" s="16">
        <v>5.3521979999999996</v>
      </c>
      <c r="P1067" s="17">
        <v>9.5077359999999995</v>
      </c>
      <c r="Q1067" s="17">
        <v>11.62689</v>
      </c>
      <c r="R1067" s="17">
        <v>6.5270469999999996</v>
      </c>
      <c r="S1067" s="17">
        <v>13.820970000000001</v>
      </c>
      <c r="AP1067" s="35"/>
      <c r="AQ1067" s="35"/>
      <c r="AR1067" s="35"/>
      <c r="AS1067" s="35"/>
    </row>
    <row r="1068" spans="2:45" x14ac:dyDescent="0.2">
      <c r="B1068" s="2">
        <v>43481.453182870369</v>
      </c>
      <c r="C1068" s="5">
        <f t="shared" si="110"/>
        <v>16.833332660000028</v>
      </c>
      <c r="D1068" s="14">
        <v>6.8971</v>
      </c>
      <c r="E1068" s="14">
        <v>7.6017530000000004</v>
      </c>
      <c r="F1068" s="14">
        <v>5.4499300000000002</v>
      </c>
      <c r="G1068" s="14">
        <v>5.0751739999999996</v>
      </c>
      <c r="H1068" s="15">
        <v>6.2543519999999999</v>
      </c>
      <c r="I1068" s="15">
        <v>3.6535030000000002</v>
      </c>
      <c r="J1068" s="15">
        <v>16.0625</v>
      </c>
      <c r="K1068" s="15">
        <v>6.282438</v>
      </c>
      <c r="L1068" s="16">
        <v>4.8785610000000004</v>
      </c>
      <c r="M1068" s="16">
        <v>9.8089929999999992</v>
      </c>
      <c r="N1068" s="16">
        <v>9.6973559999999992</v>
      </c>
      <c r="O1068" s="16">
        <v>5.3521979999999996</v>
      </c>
      <c r="P1068" s="17">
        <v>9.5103109999999997</v>
      </c>
      <c r="Q1068" s="17">
        <v>11.633330000000001</v>
      </c>
      <c r="R1068" s="17">
        <v>6.5270469999999996</v>
      </c>
      <c r="S1068" s="17">
        <v>13.820970000000001</v>
      </c>
      <c r="AP1068" s="35"/>
      <c r="AQ1068" s="35"/>
      <c r="AR1068" s="35"/>
      <c r="AS1068" s="35"/>
    </row>
    <row r="1069" spans="2:45" x14ac:dyDescent="0.2">
      <c r="B1069" s="2">
        <v>43481.456655092596</v>
      </c>
      <c r="C1069" s="5">
        <f t="shared" si="110"/>
        <v>16.916665990000027</v>
      </c>
      <c r="D1069" s="14">
        <v>6.9128360000000004</v>
      </c>
      <c r="E1069" s="14">
        <v>7.6661260000000002</v>
      </c>
      <c r="F1069" s="14">
        <v>5.4543650000000001</v>
      </c>
      <c r="G1069" s="14">
        <v>5.0751739999999996</v>
      </c>
      <c r="H1069" s="15">
        <v>6.2543519999999999</v>
      </c>
      <c r="I1069" s="15">
        <v>3.654576</v>
      </c>
      <c r="J1069" s="15">
        <v>16.071660000000001</v>
      </c>
      <c r="K1069" s="15">
        <v>6.282438</v>
      </c>
      <c r="L1069" s="16">
        <v>4.8785610000000004</v>
      </c>
      <c r="M1069" s="16">
        <v>9.8089929999999992</v>
      </c>
      <c r="N1069" s="16">
        <v>9.6973559999999992</v>
      </c>
      <c r="O1069" s="16">
        <v>5.3521979999999996</v>
      </c>
      <c r="P1069" s="17">
        <v>9.512886</v>
      </c>
      <c r="Q1069" s="17">
        <v>11.633660000000001</v>
      </c>
      <c r="R1069" s="17">
        <v>6.5270469999999996</v>
      </c>
      <c r="S1069" s="17">
        <v>13.83104</v>
      </c>
      <c r="AP1069" s="35"/>
      <c r="AQ1069" s="35"/>
      <c r="AR1069" s="35"/>
      <c r="AS1069" s="35"/>
    </row>
    <row r="1070" spans="2:45" x14ac:dyDescent="0.2">
      <c r="B1070" s="2">
        <v>43481.460127314815</v>
      </c>
      <c r="C1070" s="5">
        <f t="shared" si="110"/>
        <v>16.999999320000025</v>
      </c>
      <c r="D1070" s="14">
        <v>6.9285709999999998</v>
      </c>
      <c r="E1070" s="14">
        <v>7.730499</v>
      </c>
      <c r="F1070" s="14">
        <v>5.458799</v>
      </c>
      <c r="G1070" s="14">
        <v>5.0751739999999996</v>
      </c>
      <c r="H1070" s="15">
        <v>6.2543519999999999</v>
      </c>
      <c r="I1070" s="15">
        <v>3.6556489999999999</v>
      </c>
      <c r="J1070" s="15">
        <v>16.08081</v>
      </c>
      <c r="K1070" s="15">
        <v>6.282438</v>
      </c>
      <c r="L1070" s="16">
        <v>4.8785610000000004</v>
      </c>
      <c r="M1070" s="16">
        <v>9.8390579999999996</v>
      </c>
      <c r="N1070" s="16">
        <v>9.6973559999999992</v>
      </c>
      <c r="O1070" s="16">
        <v>5.3521979999999996</v>
      </c>
      <c r="P1070" s="17">
        <v>9.5154610000000002</v>
      </c>
      <c r="Q1070" s="17">
        <v>11.63566</v>
      </c>
      <c r="R1070" s="17">
        <v>6.5270469999999996</v>
      </c>
      <c r="S1070" s="17">
        <v>13.843629999999999</v>
      </c>
      <c r="V1070" s="25">
        <v>17</v>
      </c>
      <c r="W1070">
        <f>AVERAGE(D1059:D1070)</f>
        <v>6.8420252499999998</v>
      </c>
      <c r="X1070">
        <f t="shared" ref="X1070:AK1070" si="114">AVERAGE(E1059:E1070)</f>
        <v>7.5138239166666665</v>
      </c>
      <c r="Y1070">
        <f t="shared" si="114"/>
        <v>5.4378950000000001</v>
      </c>
      <c r="Z1070">
        <f t="shared" si="114"/>
        <v>5.0751739999999987</v>
      </c>
      <c r="AA1070">
        <f t="shared" si="114"/>
        <v>6.2543519999999981</v>
      </c>
      <c r="AB1070">
        <f t="shared" si="114"/>
        <v>3.6497479166666662</v>
      </c>
      <c r="AC1070">
        <f t="shared" si="114"/>
        <v>16.030371666666667</v>
      </c>
      <c r="AD1070">
        <f t="shared" si="114"/>
        <v>6.282438</v>
      </c>
      <c r="AE1070">
        <f t="shared" si="114"/>
        <v>4.8785609999999995</v>
      </c>
      <c r="AF1070">
        <f t="shared" si="114"/>
        <v>9.7706756666666674</v>
      </c>
      <c r="AG1070">
        <f t="shared" si="114"/>
        <v>9.6973559999999992</v>
      </c>
      <c r="AH1070">
        <f t="shared" si="114"/>
        <v>5.3521980000000005</v>
      </c>
      <c r="AI1070">
        <f t="shared" si="114"/>
        <v>9.5012989166666664</v>
      </c>
      <c r="AJ1070">
        <f t="shared" si="114"/>
        <v>11.608125833333334</v>
      </c>
      <c r="AK1070">
        <f t="shared" si="114"/>
        <v>6.5250016666666646</v>
      </c>
      <c r="AL1070">
        <f>AVERAGE(S1059:S1070)</f>
        <v>13.818599999999998</v>
      </c>
      <c r="AO1070" s="25">
        <v>17</v>
      </c>
      <c r="AP1070" s="35">
        <f>AVERAGE(W1070:Z1070)</f>
        <v>6.2172295416666667</v>
      </c>
      <c r="AQ1070" s="35">
        <f>AVERAGE(AA1070:AD1070)</f>
        <v>8.0542273958333332</v>
      </c>
      <c r="AR1070" s="35">
        <f>AVERAGE(AE1070:AH1070)</f>
        <v>7.4246976666666669</v>
      </c>
      <c r="AS1070" s="35">
        <f>AVERAGE(AI1070:AL1070)</f>
        <v>10.363256604166667</v>
      </c>
    </row>
    <row r="1071" spans="2:45" x14ac:dyDescent="0.2">
      <c r="B1071" s="2">
        <v>43481.463599537034</v>
      </c>
      <c r="C1071" s="5">
        <f t="shared" si="110"/>
        <v>17.083332650000024</v>
      </c>
      <c r="D1071" s="14">
        <v>6.9443070000000002</v>
      </c>
      <c r="E1071" s="14">
        <v>7.7350050000000001</v>
      </c>
      <c r="F1071" s="14">
        <v>5.4632339999999999</v>
      </c>
      <c r="G1071" s="14">
        <v>5.0751739999999996</v>
      </c>
      <c r="H1071" s="15">
        <v>6.2543519999999999</v>
      </c>
      <c r="I1071" s="15">
        <v>3.6567219999999998</v>
      </c>
      <c r="J1071" s="15">
        <v>16.089970000000001</v>
      </c>
      <c r="K1071" s="15">
        <v>6.282438</v>
      </c>
      <c r="L1071" s="16">
        <v>4.8785610000000004</v>
      </c>
      <c r="M1071" s="16">
        <v>9.8945620000000005</v>
      </c>
      <c r="N1071" s="16">
        <v>9.6973559999999992</v>
      </c>
      <c r="O1071" s="16">
        <v>5.3521979999999996</v>
      </c>
      <c r="P1071" s="17">
        <v>9.5180360000000004</v>
      </c>
      <c r="Q1071" s="17">
        <v>11.63767</v>
      </c>
      <c r="R1071" s="17">
        <v>6.5270469999999996</v>
      </c>
      <c r="S1071" s="17">
        <v>13.85622</v>
      </c>
      <c r="AP1071" s="35"/>
      <c r="AQ1071" s="35"/>
      <c r="AR1071" s="35"/>
      <c r="AS1071" s="35"/>
    </row>
    <row r="1072" spans="2:45" x14ac:dyDescent="0.2">
      <c r="B1072" s="2">
        <v>43481.46707175926</v>
      </c>
      <c r="C1072" s="5">
        <f t="shared" si="110"/>
        <v>17.166665980000023</v>
      </c>
      <c r="D1072" s="14">
        <v>6.9600419999999996</v>
      </c>
      <c r="E1072" s="14">
        <v>7.7350050000000001</v>
      </c>
      <c r="F1072" s="14">
        <v>5.4676689999999999</v>
      </c>
      <c r="G1072" s="14">
        <v>5.0751739999999996</v>
      </c>
      <c r="H1072" s="15">
        <v>6.2543519999999999</v>
      </c>
      <c r="I1072" s="15">
        <v>3.657794</v>
      </c>
      <c r="J1072" s="15">
        <v>16.099119999999999</v>
      </c>
      <c r="K1072" s="15">
        <v>6.282438</v>
      </c>
      <c r="L1072" s="16">
        <v>4.8785610000000004</v>
      </c>
      <c r="M1072" s="16">
        <v>9.9500659999999996</v>
      </c>
      <c r="N1072" s="16">
        <v>9.7049059999999994</v>
      </c>
      <c r="O1072" s="16">
        <v>5.3521979999999996</v>
      </c>
      <c r="P1072" s="17">
        <v>9.5206110000000006</v>
      </c>
      <c r="Q1072" s="17">
        <v>11.639670000000001</v>
      </c>
      <c r="R1072" s="17">
        <v>6.5270469999999996</v>
      </c>
      <c r="S1072" s="17">
        <v>13.8688</v>
      </c>
      <c r="AP1072" s="35"/>
      <c r="AQ1072" s="35"/>
      <c r="AR1072" s="35"/>
      <c r="AS1072" s="35"/>
    </row>
    <row r="1073" spans="2:45" x14ac:dyDescent="0.2">
      <c r="B1073" s="2">
        <v>43481.470543981479</v>
      </c>
      <c r="C1073" s="5">
        <f t="shared" si="110"/>
        <v>17.249999310000021</v>
      </c>
      <c r="D1073" s="14">
        <v>6.975778</v>
      </c>
      <c r="E1073" s="14">
        <v>7.739617</v>
      </c>
      <c r="F1073" s="14">
        <v>5.4721029999999997</v>
      </c>
      <c r="G1073" s="14">
        <v>5.0751739999999996</v>
      </c>
      <c r="H1073" s="15">
        <v>6.2543519999999999</v>
      </c>
      <c r="I1073" s="15">
        <v>3.6588669999999999</v>
      </c>
      <c r="J1073" s="15">
        <v>16.108280000000001</v>
      </c>
      <c r="K1073" s="15">
        <v>6.282438</v>
      </c>
      <c r="L1073" s="16">
        <v>4.8785610000000004</v>
      </c>
      <c r="M1073" s="16">
        <v>10.005570000000001</v>
      </c>
      <c r="N1073" s="16">
        <v>9.7272219999999994</v>
      </c>
      <c r="O1073" s="16">
        <v>5.3521979999999996</v>
      </c>
      <c r="P1073" s="17">
        <v>9.5231860000000008</v>
      </c>
      <c r="Q1073" s="17">
        <v>11.64167</v>
      </c>
      <c r="R1073" s="17">
        <v>6.5270469999999996</v>
      </c>
      <c r="S1073" s="17">
        <v>13.88139</v>
      </c>
      <c r="AP1073" s="35"/>
      <c r="AQ1073" s="35"/>
      <c r="AR1073" s="35"/>
      <c r="AS1073" s="35"/>
    </row>
    <row r="1074" spans="2:45" x14ac:dyDescent="0.2">
      <c r="B1074" s="2">
        <v>43481.474016203705</v>
      </c>
      <c r="C1074" s="5">
        <f t="shared" si="110"/>
        <v>17.33333264000002</v>
      </c>
      <c r="D1074" s="14">
        <v>6.9915139999999996</v>
      </c>
      <c r="E1074" s="14">
        <v>7.745196</v>
      </c>
      <c r="F1074" s="14">
        <v>5.4765379999999997</v>
      </c>
      <c r="G1074" s="14">
        <v>5.0751739999999996</v>
      </c>
      <c r="H1074" s="15">
        <v>6.2543519999999999</v>
      </c>
      <c r="I1074" s="15">
        <v>3.6599400000000002</v>
      </c>
      <c r="J1074" s="15">
        <v>16.117429999999999</v>
      </c>
      <c r="K1074" s="15">
        <v>6.282438</v>
      </c>
      <c r="L1074" s="16">
        <v>4.8785610000000004</v>
      </c>
      <c r="M1074" s="16">
        <v>10.061070000000001</v>
      </c>
      <c r="N1074" s="16">
        <v>9.7495379999999994</v>
      </c>
      <c r="O1074" s="16">
        <v>5.3521979999999996</v>
      </c>
      <c r="P1074" s="17">
        <v>9.5257609999999993</v>
      </c>
      <c r="Q1074" s="17">
        <v>11.64367</v>
      </c>
      <c r="R1074" s="17">
        <v>6.5270469999999996</v>
      </c>
      <c r="S1074" s="17">
        <v>13.893980000000001</v>
      </c>
      <c r="AP1074" s="35"/>
      <c r="AQ1074" s="35"/>
      <c r="AR1074" s="35"/>
      <c r="AS1074" s="35"/>
    </row>
    <row r="1075" spans="2:45" x14ac:dyDescent="0.2">
      <c r="B1075" s="2">
        <v>43481.477488425924</v>
      </c>
      <c r="C1075" s="5">
        <f t="shared" si="110"/>
        <v>17.416665970000018</v>
      </c>
      <c r="D1075" s="14">
        <v>7.0072489999999998</v>
      </c>
      <c r="E1075" s="14">
        <v>7.750775</v>
      </c>
      <c r="F1075" s="14">
        <v>5.4809720000000004</v>
      </c>
      <c r="G1075" s="14">
        <v>5.0751739999999996</v>
      </c>
      <c r="H1075" s="15">
        <v>6.2543519999999999</v>
      </c>
      <c r="I1075" s="15">
        <v>3.6610130000000001</v>
      </c>
      <c r="J1075" s="15">
        <v>16.12659</v>
      </c>
      <c r="K1075" s="15">
        <v>6.282438</v>
      </c>
      <c r="L1075" s="16">
        <v>4.8785610000000004</v>
      </c>
      <c r="M1075" s="16">
        <v>10.116580000000001</v>
      </c>
      <c r="N1075" s="16">
        <v>9.7718539999999994</v>
      </c>
      <c r="O1075" s="16">
        <v>5.3521979999999996</v>
      </c>
      <c r="P1075" s="17">
        <v>9.5283359999999995</v>
      </c>
      <c r="Q1075" s="17">
        <v>11.64568</v>
      </c>
      <c r="R1075" s="17">
        <v>6.5270469999999996</v>
      </c>
      <c r="S1075" s="17">
        <v>13.90657</v>
      </c>
      <c r="AP1075" s="35"/>
      <c r="AQ1075" s="35"/>
      <c r="AR1075" s="35"/>
      <c r="AS1075" s="35"/>
    </row>
    <row r="1076" spans="2:45" x14ac:dyDescent="0.2">
      <c r="B1076" s="2">
        <v>43481.48096064815</v>
      </c>
      <c r="C1076" s="5">
        <f t="shared" si="110"/>
        <v>17.499999300000017</v>
      </c>
      <c r="D1076" s="14">
        <v>7.0229850000000003</v>
      </c>
      <c r="E1076" s="14">
        <v>7.7526539999999997</v>
      </c>
      <c r="F1076" s="14">
        <v>5.4854070000000004</v>
      </c>
      <c r="G1076" s="14">
        <v>5.0751739999999996</v>
      </c>
      <c r="H1076" s="15">
        <v>6.2543519999999999</v>
      </c>
      <c r="I1076" s="15">
        <v>3.662086</v>
      </c>
      <c r="J1076" s="15">
        <v>16.135739999999998</v>
      </c>
      <c r="K1076" s="15">
        <v>6.282438</v>
      </c>
      <c r="L1076" s="16">
        <v>4.8785610000000004</v>
      </c>
      <c r="M1076" s="16">
        <v>10.172079999999999</v>
      </c>
      <c r="N1076" s="16">
        <v>9.7941699999999994</v>
      </c>
      <c r="O1076" s="16">
        <v>5.3521979999999996</v>
      </c>
      <c r="P1076" s="17">
        <v>9.5309100000000004</v>
      </c>
      <c r="Q1076" s="17">
        <v>11.64757</v>
      </c>
      <c r="R1076" s="17">
        <v>6.5270469999999996</v>
      </c>
      <c r="S1076" s="17">
        <v>13.91916</v>
      </c>
      <c r="AP1076" s="35"/>
      <c r="AQ1076" s="35"/>
      <c r="AR1076" s="35"/>
      <c r="AS1076" s="35"/>
    </row>
    <row r="1077" spans="2:45" x14ac:dyDescent="0.2">
      <c r="B1077" s="2">
        <v>43481.484432870369</v>
      </c>
      <c r="C1077" s="5">
        <f t="shared" si="110"/>
        <v>17.583332630000015</v>
      </c>
      <c r="D1077" s="14">
        <v>7.0387209999999998</v>
      </c>
      <c r="E1077" s="14">
        <v>7.7526539999999997</v>
      </c>
      <c r="F1077" s="14">
        <v>5.4898410000000002</v>
      </c>
      <c r="G1077" s="14">
        <v>5.0751739999999996</v>
      </c>
      <c r="H1077" s="15">
        <v>6.2543519999999999</v>
      </c>
      <c r="I1077" s="15">
        <v>3.6631589999999998</v>
      </c>
      <c r="J1077" s="15">
        <v>16.1449</v>
      </c>
      <c r="K1077" s="15">
        <v>6.282438</v>
      </c>
      <c r="L1077" s="16">
        <v>4.8785610000000004</v>
      </c>
      <c r="M1077" s="16">
        <v>10.201219999999999</v>
      </c>
      <c r="N1077" s="16">
        <v>9.8164859999999994</v>
      </c>
      <c r="O1077" s="16">
        <v>5.3521979999999996</v>
      </c>
      <c r="P1077" s="17">
        <v>9.5334850000000007</v>
      </c>
      <c r="Q1077" s="17">
        <v>11.64757</v>
      </c>
      <c r="R1077" s="17">
        <v>6.5270469999999996</v>
      </c>
      <c r="S1077" s="17">
        <v>13.931749999999999</v>
      </c>
      <c r="AP1077" s="35"/>
      <c r="AQ1077" s="35"/>
      <c r="AR1077" s="35"/>
      <c r="AS1077" s="35"/>
    </row>
    <row r="1078" spans="2:45" x14ac:dyDescent="0.2">
      <c r="B1078" s="2">
        <v>43481.487905092596</v>
      </c>
      <c r="C1078" s="5">
        <f t="shared" si="110"/>
        <v>17.666665960000014</v>
      </c>
      <c r="D1078" s="14">
        <v>7.0440180000000003</v>
      </c>
      <c r="E1078" s="14">
        <v>7.7526539999999997</v>
      </c>
      <c r="F1078" s="14">
        <v>5.4942760000000002</v>
      </c>
      <c r="G1078" s="14">
        <v>5.0751739999999996</v>
      </c>
      <c r="H1078" s="15">
        <v>6.2543519999999999</v>
      </c>
      <c r="I1078" s="15">
        <v>3.6642320000000002</v>
      </c>
      <c r="J1078" s="15">
        <v>16.154050000000002</v>
      </c>
      <c r="K1078" s="15">
        <v>6.282438</v>
      </c>
      <c r="L1078" s="16">
        <v>4.8785610000000004</v>
      </c>
      <c r="M1078" s="16">
        <v>10.201219999999999</v>
      </c>
      <c r="N1078" s="16">
        <v>9.8388019999999994</v>
      </c>
      <c r="O1078" s="16">
        <v>5.3521979999999996</v>
      </c>
      <c r="P1078" s="17">
        <v>9.5360600000000009</v>
      </c>
      <c r="Q1078" s="17">
        <v>11.649459999999999</v>
      </c>
      <c r="R1078" s="17">
        <v>6.5270469999999996</v>
      </c>
      <c r="S1078" s="17">
        <v>13.944330000000001</v>
      </c>
      <c r="AP1078" s="35"/>
      <c r="AQ1078" s="35"/>
      <c r="AR1078" s="35"/>
      <c r="AS1078" s="35"/>
    </row>
    <row r="1079" spans="2:45" x14ac:dyDescent="0.2">
      <c r="B1079" s="2">
        <v>43481.491377314815</v>
      </c>
      <c r="C1079" s="5">
        <f t="shared" si="110"/>
        <v>17.749999290000012</v>
      </c>
      <c r="D1079" s="14">
        <v>7.0440180000000003</v>
      </c>
      <c r="E1079" s="14">
        <v>7.7526539999999997</v>
      </c>
      <c r="F1079" s="14">
        <v>5.4987110000000001</v>
      </c>
      <c r="G1079" s="14">
        <v>5.0751739999999996</v>
      </c>
      <c r="H1079" s="15">
        <v>6.2543519999999999</v>
      </c>
      <c r="I1079" s="15">
        <v>3.665305</v>
      </c>
      <c r="J1079" s="15">
        <v>16.15814</v>
      </c>
      <c r="K1079" s="15">
        <v>6.282438</v>
      </c>
      <c r="L1079" s="16">
        <v>4.8785610000000004</v>
      </c>
      <c r="M1079" s="16">
        <v>10.201219999999999</v>
      </c>
      <c r="N1079" s="16">
        <v>9.8611179999999994</v>
      </c>
      <c r="O1079" s="16">
        <v>5.3521979999999996</v>
      </c>
      <c r="P1079" s="17">
        <v>9.5386349999999993</v>
      </c>
      <c r="Q1079" s="17">
        <v>11.65175</v>
      </c>
      <c r="R1079" s="17">
        <v>6.5270469999999996</v>
      </c>
      <c r="S1079" s="17">
        <v>13.95692</v>
      </c>
      <c r="AP1079" s="35"/>
      <c r="AQ1079" s="35"/>
      <c r="AR1079" s="35"/>
      <c r="AS1079" s="35"/>
    </row>
    <row r="1080" spans="2:45" x14ac:dyDescent="0.2">
      <c r="B1080" s="2">
        <v>43481.494849537034</v>
      </c>
      <c r="C1080" s="5">
        <f t="shared" si="110"/>
        <v>17.833332620000011</v>
      </c>
      <c r="D1080" s="14">
        <v>7.0444529999999999</v>
      </c>
      <c r="E1080" s="14">
        <v>7.7526539999999997</v>
      </c>
      <c r="F1080" s="14">
        <v>5.503145</v>
      </c>
      <c r="G1080" s="14">
        <v>5.0751739999999996</v>
      </c>
      <c r="H1080" s="15">
        <v>6.2543519999999999</v>
      </c>
      <c r="I1080" s="15">
        <v>3.6663779999999999</v>
      </c>
      <c r="J1080" s="15">
        <v>16.15814</v>
      </c>
      <c r="K1080" s="15">
        <v>6.282438</v>
      </c>
      <c r="L1080" s="16">
        <v>4.8785610000000004</v>
      </c>
      <c r="M1080" s="16">
        <v>10.201219999999999</v>
      </c>
      <c r="N1080" s="16">
        <v>9.8834339999999994</v>
      </c>
      <c r="O1080" s="16">
        <v>5.3521979999999996</v>
      </c>
      <c r="P1080" s="17">
        <v>9.5412099999999995</v>
      </c>
      <c r="Q1080" s="17">
        <v>11.65404</v>
      </c>
      <c r="R1080" s="17">
        <v>6.5270469999999996</v>
      </c>
      <c r="S1080" s="17">
        <v>13.96951</v>
      </c>
      <c r="AP1080" s="35"/>
      <c r="AQ1080" s="35"/>
      <c r="AR1080" s="35"/>
      <c r="AS1080" s="35"/>
    </row>
    <row r="1081" spans="2:45" x14ac:dyDescent="0.2">
      <c r="B1081" s="2">
        <v>43481.49832175926</v>
      </c>
      <c r="C1081" s="5">
        <f t="shared" si="110"/>
        <v>17.916665950000009</v>
      </c>
      <c r="D1081" s="14">
        <v>7.0553249999999998</v>
      </c>
      <c r="E1081" s="14">
        <v>7.7526539999999997</v>
      </c>
      <c r="F1081" s="14">
        <v>5.5075799999999999</v>
      </c>
      <c r="G1081" s="14">
        <v>5.0751739999999996</v>
      </c>
      <c r="H1081" s="15">
        <v>6.2546309999999998</v>
      </c>
      <c r="I1081" s="15">
        <v>3.6674500000000001</v>
      </c>
      <c r="J1081" s="15">
        <v>16.15814</v>
      </c>
      <c r="K1081" s="15">
        <v>6.282438</v>
      </c>
      <c r="L1081" s="16">
        <v>4.8785610000000004</v>
      </c>
      <c r="M1081" s="16">
        <v>10.201219999999999</v>
      </c>
      <c r="N1081" s="16">
        <v>9.9057499999999994</v>
      </c>
      <c r="O1081" s="16">
        <v>5.3521979999999996</v>
      </c>
      <c r="P1081" s="17">
        <v>9.5437849999999997</v>
      </c>
      <c r="Q1081" s="17">
        <v>11.656319999999999</v>
      </c>
      <c r="R1081" s="17">
        <v>6.5270469999999996</v>
      </c>
      <c r="S1081" s="17">
        <v>13.982100000000001</v>
      </c>
      <c r="AP1081" s="35"/>
      <c r="AQ1081" s="35"/>
      <c r="AR1081" s="35"/>
      <c r="AS1081" s="35"/>
    </row>
    <row r="1082" spans="2:45" x14ac:dyDescent="0.2">
      <c r="B1082" s="2">
        <v>43481.501793981479</v>
      </c>
      <c r="C1082" s="5">
        <f t="shared" si="110"/>
        <v>17.999999280000008</v>
      </c>
      <c r="D1082" s="14">
        <v>7.0578260000000004</v>
      </c>
      <c r="E1082" s="14">
        <v>7.7526539999999997</v>
      </c>
      <c r="F1082" s="14">
        <v>5.5120139999999997</v>
      </c>
      <c r="G1082" s="14">
        <v>5.0751739999999996</v>
      </c>
      <c r="H1082" s="15">
        <v>6.2554889999999999</v>
      </c>
      <c r="I1082" s="15">
        <v>3.668523</v>
      </c>
      <c r="J1082" s="15">
        <v>16.15814</v>
      </c>
      <c r="K1082" s="15">
        <v>6.282438</v>
      </c>
      <c r="L1082" s="16">
        <v>4.8785610000000004</v>
      </c>
      <c r="M1082" s="16">
        <v>10.201219999999999</v>
      </c>
      <c r="N1082" s="16">
        <v>9.9280659999999994</v>
      </c>
      <c r="O1082" s="16">
        <v>5.3521979999999996</v>
      </c>
      <c r="P1082" s="17">
        <v>9.54636</v>
      </c>
      <c r="Q1082" s="17">
        <v>11.658609999999999</v>
      </c>
      <c r="R1082" s="17">
        <v>6.5270469999999996</v>
      </c>
      <c r="S1082" s="17">
        <v>13.99469</v>
      </c>
      <c r="V1082" s="25">
        <v>18</v>
      </c>
      <c r="W1082">
        <f>AVERAGE(D1071:D1082)</f>
        <v>7.015519666666667</v>
      </c>
      <c r="X1082">
        <f t="shared" ref="X1082:AL1082" si="115">AVERAGE(E1071:E1082)</f>
        <v>7.7478480000000021</v>
      </c>
      <c r="Y1082">
        <f t="shared" si="115"/>
        <v>5.4876241666666665</v>
      </c>
      <c r="Z1082">
        <f t="shared" si="115"/>
        <v>5.0751739999999987</v>
      </c>
      <c r="AA1082">
        <f t="shared" si="115"/>
        <v>6.2544699999999986</v>
      </c>
      <c r="AB1082">
        <f t="shared" si="115"/>
        <v>3.6626224166666668</v>
      </c>
      <c r="AC1082">
        <f t="shared" si="115"/>
        <v>16.134053333333338</v>
      </c>
      <c r="AD1082">
        <f t="shared" si="115"/>
        <v>6.282438</v>
      </c>
      <c r="AE1082">
        <f t="shared" si="115"/>
        <v>4.8785609999999995</v>
      </c>
      <c r="AF1082">
        <f t="shared" si="115"/>
        <v>10.11727066666667</v>
      </c>
      <c r="AG1082">
        <f t="shared" si="115"/>
        <v>9.8065584999999995</v>
      </c>
      <c r="AH1082">
        <f t="shared" si="115"/>
        <v>5.3521980000000005</v>
      </c>
      <c r="AI1082">
        <f t="shared" si="115"/>
        <v>9.5321979166666679</v>
      </c>
      <c r="AJ1082">
        <f t="shared" si="115"/>
        <v>11.647806666666668</v>
      </c>
      <c r="AK1082">
        <f t="shared" si="115"/>
        <v>6.5270469999999969</v>
      </c>
      <c r="AL1082">
        <f t="shared" si="115"/>
        <v>13.925451666666666</v>
      </c>
      <c r="AO1082" s="25">
        <v>18</v>
      </c>
      <c r="AP1082" s="35">
        <f>AVERAGE(W1082:Z1082)</f>
        <v>6.3315414583333336</v>
      </c>
      <c r="AQ1082" s="35">
        <f>AVERAGE(AA1082:AD1082)</f>
        <v>8.0833959375000006</v>
      </c>
      <c r="AR1082" s="35">
        <f>AVERAGE(AE1082:AH1082)</f>
        <v>7.5386470416666675</v>
      </c>
      <c r="AS1082" s="35">
        <f>AVERAGE(AI1082:AL1082)</f>
        <v>10.4081258125</v>
      </c>
    </row>
    <row r="1083" spans="2:45" x14ac:dyDescent="0.2">
      <c r="B1083" s="2">
        <v>43481.505266203705</v>
      </c>
      <c r="C1083" s="5">
        <f t="shared" si="110"/>
        <v>18.083332610000006</v>
      </c>
      <c r="D1083" s="14">
        <v>7.0578260000000004</v>
      </c>
      <c r="E1083" s="14">
        <v>7.7526539999999997</v>
      </c>
      <c r="F1083" s="14">
        <v>5.5164489999999997</v>
      </c>
      <c r="G1083" s="14">
        <v>5.0751739999999996</v>
      </c>
      <c r="H1083" s="15">
        <v>6.2563469999999999</v>
      </c>
      <c r="I1083" s="15">
        <v>3.6695959999999999</v>
      </c>
      <c r="J1083" s="15">
        <v>16.15814</v>
      </c>
      <c r="K1083" s="15">
        <v>6.282438</v>
      </c>
      <c r="L1083" s="16">
        <v>4.8785610000000004</v>
      </c>
      <c r="M1083" s="16">
        <v>10.201219999999999</v>
      </c>
      <c r="N1083" s="16">
        <v>9.9503819999999994</v>
      </c>
      <c r="O1083" s="16">
        <v>5.3521979999999996</v>
      </c>
      <c r="P1083" s="17">
        <v>9.5489350000000002</v>
      </c>
      <c r="Q1083" s="17">
        <v>11.6609</v>
      </c>
      <c r="R1083" s="17">
        <v>6.5270469999999996</v>
      </c>
      <c r="S1083" s="17">
        <v>14.00728</v>
      </c>
      <c r="AP1083" s="35"/>
      <c r="AQ1083" s="35"/>
      <c r="AR1083" s="35"/>
      <c r="AS1083" s="35"/>
    </row>
    <row r="1084" spans="2:45" x14ac:dyDescent="0.2">
      <c r="B1084" s="2">
        <v>43481.508738425924</v>
      </c>
      <c r="C1084" s="5">
        <f t="shared" si="110"/>
        <v>18.166665940000005</v>
      </c>
      <c r="D1084" s="14">
        <v>7.0746960000000003</v>
      </c>
      <c r="E1084" s="14">
        <v>7.7526539999999997</v>
      </c>
      <c r="F1084" s="14">
        <v>5.5208839999999997</v>
      </c>
      <c r="G1084" s="14">
        <v>5.0751739999999996</v>
      </c>
      <c r="H1084" s="15">
        <v>6.2572049999999999</v>
      </c>
      <c r="I1084" s="15">
        <v>3.6706690000000002</v>
      </c>
      <c r="J1084" s="15">
        <v>16.15814</v>
      </c>
      <c r="K1084" s="15">
        <v>6.282438</v>
      </c>
      <c r="L1084" s="16">
        <v>4.8785610000000004</v>
      </c>
      <c r="M1084" s="16">
        <v>10.201219999999999</v>
      </c>
      <c r="N1084" s="16">
        <v>9.9726979999999994</v>
      </c>
      <c r="O1084" s="16">
        <v>5.3521979999999996</v>
      </c>
      <c r="P1084" s="17">
        <v>9.5515100000000004</v>
      </c>
      <c r="Q1084" s="17">
        <v>11.66319</v>
      </c>
      <c r="R1084" s="17">
        <v>6.5270469999999996</v>
      </c>
      <c r="S1084" s="17">
        <v>14.019869999999999</v>
      </c>
      <c r="AP1084" s="35"/>
      <c r="AQ1084" s="35"/>
      <c r="AR1084" s="35"/>
      <c r="AS1084" s="35"/>
    </row>
    <row r="1085" spans="2:45" x14ac:dyDescent="0.2">
      <c r="B1085" s="2">
        <v>43481.51221064815</v>
      </c>
      <c r="C1085" s="5">
        <f t="shared" si="110"/>
        <v>18.249999270000004</v>
      </c>
      <c r="D1085" s="14">
        <v>7.0921479999999999</v>
      </c>
      <c r="E1085" s="14">
        <v>7.7526539999999997</v>
      </c>
      <c r="F1085" s="14">
        <v>5.5253180000000004</v>
      </c>
      <c r="G1085" s="14">
        <v>5.0751739999999996</v>
      </c>
      <c r="H1085" s="15">
        <v>6.2580640000000001</v>
      </c>
      <c r="I1085" s="15">
        <v>3.6717420000000001</v>
      </c>
      <c r="J1085" s="15">
        <v>16.167680000000001</v>
      </c>
      <c r="K1085" s="15">
        <v>6.282438</v>
      </c>
      <c r="L1085" s="16">
        <v>4.8785610000000004</v>
      </c>
      <c r="M1085" s="16">
        <v>10.201219999999999</v>
      </c>
      <c r="N1085" s="16">
        <v>9.9950139999999994</v>
      </c>
      <c r="O1085" s="16">
        <v>5.3521979999999996</v>
      </c>
      <c r="P1085" s="17">
        <v>9.5540850000000006</v>
      </c>
      <c r="Q1085" s="17">
        <v>11.66358</v>
      </c>
      <c r="R1085" s="17">
        <v>6.5270469999999996</v>
      </c>
      <c r="S1085" s="17">
        <v>14.032450000000001</v>
      </c>
      <c r="AP1085" s="35"/>
      <c r="AQ1085" s="35"/>
      <c r="AR1085" s="35"/>
      <c r="AS1085" s="35"/>
    </row>
    <row r="1086" spans="2:45" x14ac:dyDescent="0.2">
      <c r="B1086" s="2">
        <v>43481.515682870369</v>
      </c>
      <c r="C1086" s="5">
        <f t="shared" si="110"/>
        <v>18.333332600000002</v>
      </c>
      <c r="D1086" s="14">
        <v>7.1096009999999996</v>
      </c>
      <c r="E1086" s="14">
        <v>7.7526539999999997</v>
      </c>
      <c r="F1086" s="14">
        <v>5.5297530000000004</v>
      </c>
      <c r="G1086" s="14">
        <v>5.0751739999999996</v>
      </c>
      <c r="H1086" s="15">
        <v>6.2589220000000001</v>
      </c>
      <c r="I1086" s="15">
        <v>3.6728149999999999</v>
      </c>
      <c r="J1086" s="15">
        <v>16.190570000000001</v>
      </c>
      <c r="K1086" s="15">
        <v>6.282438</v>
      </c>
      <c r="L1086" s="16">
        <v>4.8785610000000004</v>
      </c>
      <c r="M1086" s="16">
        <v>10.201219999999999</v>
      </c>
      <c r="N1086" s="16">
        <v>10.017329999999999</v>
      </c>
      <c r="O1086" s="16">
        <v>5.3521979999999996</v>
      </c>
      <c r="P1086" s="17">
        <v>9.5566600000000008</v>
      </c>
      <c r="Q1086" s="17">
        <v>11.665609999999999</v>
      </c>
      <c r="R1086" s="17">
        <v>6.5270469999999996</v>
      </c>
      <c r="S1086" s="17">
        <v>14.04504</v>
      </c>
      <c r="AP1086" s="35"/>
      <c r="AQ1086" s="35"/>
      <c r="AR1086" s="35"/>
      <c r="AS1086" s="35"/>
    </row>
    <row r="1087" spans="2:45" x14ac:dyDescent="0.2">
      <c r="B1087" s="2">
        <v>43481.519155092596</v>
      </c>
      <c r="C1087" s="5">
        <f t="shared" si="110"/>
        <v>18.416665930000001</v>
      </c>
      <c r="D1087" s="14">
        <v>7.1270530000000001</v>
      </c>
      <c r="E1087" s="14">
        <v>7.7526539999999997</v>
      </c>
      <c r="F1087" s="14">
        <v>5.5341870000000002</v>
      </c>
      <c r="G1087" s="14">
        <v>5.0751739999999996</v>
      </c>
      <c r="H1087" s="15">
        <v>6.2597800000000001</v>
      </c>
      <c r="I1087" s="15">
        <v>3.6738879999999998</v>
      </c>
      <c r="J1087" s="15">
        <v>16.213460000000001</v>
      </c>
      <c r="K1087" s="15">
        <v>6.282438</v>
      </c>
      <c r="L1087" s="16">
        <v>4.8785610000000004</v>
      </c>
      <c r="M1087" s="16">
        <v>10.201219999999999</v>
      </c>
      <c r="N1087" s="16">
        <v>10.03965</v>
      </c>
      <c r="O1087" s="16">
        <v>5.3521979999999996</v>
      </c>
      <c r="P1087" s="17">
        <v>9.5592349999999993</v>
      </c>
      <c r="Q1087" s="17">
        <v>11.667899999999999</v>
      </c>
      <c r="R1087" s="17">
        <v>6.5270469999999996</v>
      </c>
      <c r="S1087" s="17">
        <v>14.05763</v>
      </c>
      <c r="AP1087" s="35"/>
      <c r="AQ1087" s="35"/>
      <c r="AR1087" s="35"/>
      <c r="AS1087" s="35"/>
    </row>
    <row r="1088" spans="2:45" x14ac:dyDescent="0.2">
      <c r="B1088" s="2">
        <v>43481.522627314815</v>
      </c>
      <c r="C1088" s="5">
        <f t="shared" si="110"/>
        <v>18.499999259999999</v>
      </c>
      <c r="D1088" s="14">
        <v>7.1445049999999997</v>
      </c>
      <c r="E1088" s="14">
        <v>7.7526539999999997</v>
      </c>
      <c r="F1088" s="14">
        <v>5.5386220000000002</v>
      </c>
      <c r="G1088" s="14">
        <v>5.0751739999999996</v>
      </c>
      <c r="H1088" s="15">
        <v>6.2606390000000003</v>
      </c>
      <c r="I1088" s="15">
        <v>3.6749610000000001</v>
      </c>
      <c r="J1088" s="15">
        <v>16.236339999999998</v>
      </c>
      <c r="K1088" s="15">
        <v>6.282438</v>
      </c>
      <c r="L1088" s="16">
        <v>4.8785610000000004</v>
      </c>
      <c r="M1088" s="16">
        <v>10.201219999999999</v>
      </c>
      <c r="N1088" s="16">
        <v>10.061959999999999</v>
      </c>
      <c r="O1088" s="16">
        <v>5.3521979999999996</v>
      </c>
      <c r="P1088" s="17">
        <v>9.5618099999999995</v>
      </c>
      <c r="Q1088" s="17">
        <v>11.67019</v>
      </c>
      <c r="R1088" s="17">
        <v>6.5270469999999996</v>
      </c>
      <c r="S1088" s="17">
        <v>14.070220000000001</v>
      </c>
      <c r="AP1088" s="35"/>
      <c r="AQ1088" s="35"/>
      <c r="AR1088" s="35"/>
      <c r="AS1088" s="35"/>
    </row>
    <row r="1089" spans="2:45" x14ac:dyDescent="0.2">
      <c r="B1089" s="2">
        <v>43481.526099537034</v>
      </c>
      <c r="C1089" s="5">
        <f t="shared" si="110"/>
        <v>18.583332589999998</v>
      </c>
      <c r="D1089" s="14">
        <v>7.1619570000000001</v>
      </c>
      <c r="E1089" s="14">
        <v>7.7526539999999997</v>
      </c>
      <c r="F1089" s="14">
        <v>5.543056</v>
      </c>
      <c r="G1089" s="14">
        <v>5.0751739999999996</v>
      </c>
      <c r="H1089" s="15">
        <v>6.2614970000000003</v>
      </c>
      <c r="I1089" s="15">
        <v>3.6760329999999999</v>
      </c>
      <c r="J1089" s="15">
        <v>16.259229999999999</v>
      </c>
      <c r="K1089" s="15">
        <v>6.282438</v>
      </c>
      <c r="L1089" s="16">
        <v>4.8785610000000004</v>
      </c>
      <c r="M1089" s="16">
        <v>10.201219999999999</v>
      </c>
      <c r="N1089" s="16">
        <v>10.08428</v>
      </c>
      <c r="O1089" s="16">
        <v>5.3521979999999996</v>
      </c>
      <c r="P1089" s="17">
        <v>9.5643840000000004</v>
      </c>
      <c r="Q1089" s="17">
        <v>11.670489999999999</v>
      </c>
      <c r="R1089" s="17">
        <v>6.5270469999999996</v>
      </c>
      <c r="S1089" s="17">
        <v>14.08281</v>
      </c>
      <c r="AP1089" s="35"/>
      <c r="AQ1089" s="35"/>
      <c r="AR1089" s="35"/>
      <c r="AS1089" s="35"/>
    </row>
    <row r="1090" spans="2:45" x14ac:dyDescent="0.2">
      <c r="B1090" s="2">
        <v>43481.52957175926</v>
      </c>
      <c r="C1090" s="5">
        <f t="shared" si="110"/>
        <v>18.666665919999996</v>
      </c>
      <c r="D1090" s="14">
        <v>7.1794099999999998</v>
      </c>
      <c r="E1090" s="14">
        <v>7.7526539999999997</v>
      </c>
      <c r="F1090" s="14">
        <v>5.5474909999999999</v>
      </c>
      <c r="G1090" s="14">
        <v>5.0751739999999996</v>
      </c>
      <c r="H1090" s="15">
        <v>6.2623550000000003</v>
      </c>
      <c r="I1090" s="15">
        <v>3.6771060000000002</v>
      </c>
      <c r="J1090" s="15">
        <v>16.282119999999999</v>
      </c>
      <c r="K1090" s="15">
        <v>6.282438</v>
      </c>
      <c r="L1090" s="16">
        <v>4.8785610000000004</v>
      </c>
      <c r="M1090" s="16">
        <v>10.201219999999999</v>
      </c>
      <c r="N1090" s="16">
        <v>10.106590000000001</v>
      </c>
      <c r="O1090" s="16">
        <v>5.3521979999999996</v>
      </c>
      <c r="P1090" s="17">
        <v>9.5669590000000007</v>
      </c>
      <c r="Q1090" s="17">
        <v>11.670489999999999</v>
      </c>
      <c r="R1090" s="17">
        <v>6.5270469999999996</v>
      </c>
      <c r="S1090" s="17">
        <v>14.0954</v>
      </c>
      <c r="AP1090" s="35"/>
      <c r="AQ1090" s="35"/>
      <c r="AR1090" s="35"/>
      <c r="AS1090" s="35"/>
    </row>
    <row r="1091" spans="2:45" x14ac:dyDescent="0.2">
      <c r="B1091" s="2">
        <v>43481.533043981479</v>
      </c>
      <c r="C1091" s="5">
        <f t="shared" si="110"/>
        <v>18.749999249999995</v>
      </c>
      <c r="D1091" s="14">
        <v>7.1968620000000003</v>
      </c>
      <c r="E1091" s="14">
        <v>7.7526539999999997</v>
      </c>
      <c r="F1091" s="14">
        <v>5.5519259999999999</v>
      </c>
      <c r="G1091" s="14">
        <v>5.0751739999999996</v>
      </c>
      <c r="H1091" s="15">
        <v>6.2632139999999996</v>
      </c>
      <c r="I1091" s="15">
        <v>3.6781790000000001</v>
      </c>
      <c r="J1091" s="15">
        <v>16.305009999999999</v>
      </c>
      <c r="K1091" s="15">
        <v>6.282438</v>
      </c>
      <c r="L1091" s="16">
        <v>4.8785610000000004</v>
      </c>
      <c r="M1091" s="16">
        <v>10.201219999999999</v>
      </c>
      <c r="N1091" s="16">
        <v>10.128909999999999</v>
      </c>
      <c r="O1091" s="16">
        <v>5.3521979999999996</v>
      </c>
      <c r="P1091" s="17">
        <v>9.5695340000000009</v>
      </c>
      <c r="Q1091" s="17">
        <v>11.670529999999999</v>
      </c>
      <c r="R1091" s="17">
        <v>6.5270469999999996</v>
      </c>
      <c r="S1091" s="17">
        <v>14.107989999999999</v>
      </c>
      <c r="AP1091" s="35"/>
      <c r="AQ1091" s="35"/>
      <c r="AR1091" s="35"/>
      <c r="AS1091" s="35"/>
    </row>
    <row r="1092" spans="2:45" x14ac:dyDescent="0.2">
      <c r="B1092" s="2">
        <v>43481.536516203705</v>
      </c>
      <c r="C1092" s="5">
        <f t="shared" ref="C1092:C1153" si="116">C1091+0.08333333</f>
        <v>18.833332579999993</v>
      </c>
      <c r="D1092" s="14">
        <v>7.2143139999999999</v>
      </c>
      <c r="E1092" s="14">
        <v>7.7526539999999997</v>
      </c>
      <c r="F1092" s="14">
        <v>5.5563599999999997</v>
      </c>
      <c r="G1092" s="14">
        <v>5.0751739999999996</v>
      </c>
      <c r="H1092" s="15">
        <v>6.2640719999999996</v>
      </c>
      <c r="I1092" s="15">
        <v>3.679252</v>
      </c>
      <c r="J1092" s="15">
        <v>16.3279</v>
      </c>
      <c r="K1092" s="15">
        <v>6.282438</v>
      </c>
      <c r="L1092" s="16">
        <v>4.8785610000000004</v>
      </c>
      <c r="M1092" s="16">
        <v>10.201219999999999</v>
      </c>
      <c r="N1092" s="16">
        <v>10.15123</v>
      </c>
      <c r="O1092" s="16">
        <v>5.3521979999999996</v>
      </c>
      <c r="P1092" s="17">
        <v>9.5721089999999993</v>
      </c>
      <c r="Q1092" s="17">
        <v>11.670809999999999</v>
      </c>
      <c r="R1092" s="17">
        <v>6.5270469999999996</v>
      </c>
      <c r="S1092" s="17">
        <v>14.120570000000001</v>
      </c>
      <c r="AP1092" s="35"/>
      <c r="AQ1092" s="35"/>
      <c r="AR1092" s="35"/>
      <c r="AS1092" s="35"/>
    </row>
    <row r="1093" spans="2:45" x14ac:dyDescent="0.2">
      <c r="B1093" s="2">
        <v>43481.539988425924</v>
      </c>
      <c r="C1093" s="5">
        <f t="shared" si="116"/>
        <v>18.916665909999992</v>
      </c>
      <c r="D1093" s="14">
        <v>7.2317660000000004</v>
      </c>
      <c r="E1093" s="14">
        <v>7.7526539999999997</v>
      </c>
      <c r="F1093" s="14">
        <v>5.5607949999999997</v>
      </c>
      <c r="G1093" s="14">
        <v>5.0751739999999996</v>
      </c>
      <c r="H1093" s="15">
        <v>6.2649299999999997</v>
      </c>
      <c r="I1093" s="15">
        <v>3.6803249999999998</v>
      </c>
      <c r="J1093" s="15">
        <v>16.35078</v>
      </c>
      <c r="K1093" s="15">
        <v>6.282438</v>
      </c>
      <c r="L1093" s="16">
        <v>4.8785610000000004</v>
      </c>
      <c r="M1093" s="16">
        <v>10.201219999999999</v>
      </c>
      <c r="N1093" s="16">
        <v>10.173539999999999</v>
      </c>
      <c r="O1093" s="16">
        <v>5.3521979999999996</v>
      </c>
      <c r="P1093" s="17">
        <v>9.5746839999999995</v>
      </c>
      <c r="Q1093" s="17">
        <v>11.671099999999999</v>
      </c>
      <c r="R1093" s="17">
        <v>6.5270469999999996</v>
      </c>
      <c r="S1093" s="17">
        <v>14.13316</v>
      </c>
      <c r="AP1093" s="35"/>
      <c r="AQ1093" s="35"/>
      <c r="AR1093" s="35"/>
      <c r="AS1093" s="35"/>
    </row>
    <row r="1094" spans="2:45" x14ac:dyDescent="0.2">
      <c r="B1094" s="2">
        <v>43481.54346064815</v>
      </c>
      <c r="C1094" s="5">
        <f t="shared" si="116"/>
        <v>18.99999923999999</v>
      </c>
      <c r="D1094" s="14">
        <v>7.2492179999999999</v>
      </c>
      <c r="E1094" s="14">
        <v>7.7526539999999997</v>
      </c>
      <c r="F1094" s="14">
        <v>5.5652290000000004</v>
      </c>
      <c r="G1094" s="14">
        <v>5.0751739999999996</v>
      </c>
      <c r="H1094" s="15">
        <v>6.2657889999999998</v>
      </c>
      <c r="I1094" s="15">
        <v>3.6813980000000002</v>
      </c>
      <c r="J1094" s="15">
        <v>16.373670000000001</v>
      </c>
      <c r="K1094" s="15">
        <v>6.282438</v>
      </c>
      <c r="L1094" s="16">
        <v>4.8785610000000004</v>
      </c>
      <c r="M1094" s="16">
        <v>10.201219999999999</v>
      </c>
      <c r="N1094" s="16">
        <v>10.19586</v>
      </c>
      <c r="O1094" s="16">
        <v>5.3521979999999996</v>
      </c>
      <c r="P1094" s="17">
        <v>9.5772589999999997</v>
      </c>
      <c r="Q1094" s="17">
        <v>11.671390000000001</v>
      </c>
      <c r="R1094" s="17">
        <v>6.5270469999999996</v>
      </c>
      <c r="S1094" s="17">
        <v>14.14575</v>
      </c>
      <c r="V1094" s="25">
        <v>19</v>
      </c>
      <c r="W1094">
        <f>AVERAGE(D1083:D1094)</f>
        <v>7.1532796666666663</v>
      </c>
      <c r="X1094">
        <f t="shared" ref="X1094:AL1094" si="117">AVERAGE(E1083:E1094)</f>
        <v>7.7526540000000024</v>
      </c>
      <c r="Y1094">
        <f t="shared" si="117"/>
        <v>5.5408391666666672</v>
      </c>
      <c r="Z1094">
        <f t="shared" si="117"/>
        <v>5.0751739999999987</v>
      </c>
      <c r="AA1094">
        <f t="shared" si="117"/>
        <v>6.2610678333333318</v>
      </c>
      <c r="AB1094">
        <f t="shared" si="117"/>
        <v>3.675497</v>
      </c>
      <c r="AC1094">
        <f t="shared" si="117"/>
        <v>16.251920000000002</v>
      </c>
      <c r="AD1094">
        <f t="shared" si="117"/>
        <v>6.282438</v>
      </c>
      <c r="AE1094">
        <f t="shared" si="117"/>
        <v>4.8785609999999995</v>
      </c>
      <c r="AF1094">
        <f t="shared" si="117"/>
        <v>10.201220000000001</v>
      </c>
      <c r="AG1094">
        <f t="shared" si="117"/>
        <v>10.073120333333334</v>
      </c>
      <c r="AH1094">
        <f t="shared" si="117"/>
        <v>5.3521980000000005</v>
      </c>
      <c r="AI1094">
        <f t="shared" si="117"/>
        <v>9.5630970000000008</v>
      </c>
      <c r="AJ1094">
        <f t="shared" si="117"/>
        <v>11.668015000000002</v>
      </c>
      <c r="AK1094">
        <f t="shared" si="117"/>
        <v>6.5270469999999969</v>
      </c>
      <c r="AL1094">
        <f t="shared" si="117"/>
        <v>14.076514166666668</v>
      </c>
      <c r="AO1094" s="25">
        <v>19</v>
      </c>
      <c r="AP1094" s="35">
        <f>AVERAGE(W1094:Z1094)</f>
        <v>6.3804867083333345</v>
      </c>
      <c r="AQ1094" s="35">
        <f>AVERAGE(AA1094:AD1094)</f>
        <v>8.1177307083333332</v>
      </c>
      <c r="AR1094" s="35">
        <f>AVERAGE(AE1094:AH1094)</f>
        <v>7.6262748333333334</v>
      </c>
      <c r="AS1094" s="35">
        <f>AVERAGE(AI1094:AL1094)</f>
        <v>10.458668291666667</v>
      </c>
    </row>
    <row r="1095" spans="2:45" x14ac:dyDescent="0.2">
      <c r="B1095" s="2">
        <v>43481.546932870369</v>
      </c>
      <c r="C1095" s="5">
        <f t="shared" si="116"/>
        <v>19.083332569999989</v>
      </c>
      <c r="D1095" s="14">
        <v>7.2666709999999997</v>
      </c>
      <c r="E1095" s="14">
        <v>7.7526539999999997</v>
      </c>
      <c r="F1095" s="14">
        <v>5.5696640000000004</v>
      </c>
      <c r="G1095" s="14">
        <v>5.0751739999999996</v>
      </c>
      <c r="H1095" s="15">
        <v>6.2666469999999999</v>
      </c>
      <c r="I1095" s="15">
        <v>3.682471</v>
      </c>
      <c r="J1095" s="15">
        <v>16.396560000000001</v>
      </c>
      <c r="K1095" s="15">
        <v>6.282438</v>
      </c>
      <c r="L1095" s="16">
        <v>4.8910660000000004</v>
      </c>
      <c r="M1095" s="16">
        <v>10.201219999999999</v>
      </c>
      <c r="N1095" s="16">
        <v>10.218170000000001</v>
      </c>
      <c r="O1095" s="16">
        <v>5.3521979999999996</v>
      </c>
      <c r="P1095" s="17">
        <v>9.579834</v>
      </c>
      <c r="Q1095" s="17">
        <v>11.671670000000001</v>
      </c>
      <c r="R1095" s="17">
        <v>6.5270469999999996</v>
      </c>
      <c r="S1095" s="17">
        <v>14.158340000000001</v>
      </c>
      <c r="AP1095" s="35"/>
      <c r="AQ1095" s="35"/>
      <c r="AR1095" s="35"/>
      <c r="AS1095" s="35"/>
    </row>
    <row r="1096" spans="2:45" x14ac:dyDescent="0.2">
      <c r="B1096" s="2">
        <v>43481.550405092596</v>
      </c>
      <c r="C1096" s="5">
        <f t="shared" si="116"/>
        <v>19.166665899999987</v>
      </c>
      <c r="D1096" s="14">
        <v>7.2841230000000001</v>
      </c>
      <c r="E1096" s="14">
        <v>7.7526539999999997</v>
      </c>
      <c r="F1096" s="14">
        <v>5.5740990000000004</v>
      </c>
      <c r="G1096" s="14">
        <v>5.0751739999999996</v>
      </c>
      <c r="H1096" s="15">
        <v>6.2675049999999999</v>
      </c>
      <c r="I1096" s="15">
        <v>3.6835439999999999</v>
      </c>
      <c r="J1096" s="15">
        <v>16.419450000000001</v>
      </c>
      <c r="K1096" s="15">
        <v>6.282438</v>
      </c>
      <c r="L1096" s="16">
        <v>4.9176739999999999</v>
      </c>
      <c r="M1096" s="16">
        <v>10.201219999999999</v>
      </c>
      <c r="N1096" s="16">
        <v>10.240489999999999</v>
      </c>
      <c r="O1096" s="16">
        <v>5.3521979999999996</v>
      </c>
      <c r="P1096" s="17">
        <v>9.5824090000000002</v>
      </c>
      <c r="Q1096" s="17">
        <v>11.67179</v>
      </c>
      <c r="R1096" s="17">
        <v>6.5270469999999996</v>
      </c>
      <c r="S1096" s="17">
        <v>14.17093</v>
      </c>
      <c r="AP1096" s="35"/>
      <c r="AQ1096" s="35"/>
      <c r="AR1096" s="35"/>
      <c r="AS1096" s="35"/>
    </row>
    <row r="1097" spans="2:45" x14ac:dyDescent="0.2">
      <c r="B1097" s="2">
        <v>43481.553877314815</v>
      </c>
      <c r="C1097" s="5">
        <f t="shared" si="116"/>
        <v>19.249999229999986</v>
      </c>
      <c r="D1097" s="14">
        <v>7.3015749999999997</v>
      </c>
      <c r="E1097" s="14">
        <v>7.7526539999999997</v>
      </c>
      <c r="F1097" s="14">
        <v>5.5785330000000002</v>
      </c>
      <c r="G1097" s="14">
        <v>5.0751739999999996</v>
      </c>
      <c r="H1097" s="15">
        <v>6.2683629999999999</v>
      </c>
      <c r="I1097" s="15">
        <v>3.6846169999999998</v>
      </c>
      <c r="J1097" s="15">
        <v>16.442340000000002</v>
      </c>
      <c r="K1097" s="15">
        <v>6.282438</v>
      </c>
      <c r="L1097" s="16">
        <v>4.9442810000000001</v>
      </c>
      <c r="M1097" s="16">
        <v>10.201219999999999</v>
      </c>
      <c r="N1097" s="16">
        <v>10.26281</v>
      </c>
      <c r="O1097" s="16">
        <v>5.3521979999999996</v>
      </c>
      <c r="P1097" s="17">
        <v>9.5849840000000004</v>
      </c>
      <c r="Q1097" s="17">
        <v>11.67272</v>
      </c>
      <c r="R1097" s="17">
        <v>6.5270469999999996</v>
      </c>
      <c r="S1097" s="17">
        <v>14.18352</v>
      </c>
      <c r="AP1097" s="35"/>
      <c r="AQ1097" s="35"/>
      <c r="AR1097" s="35"/>
      <c r="AS1097" s="35"/>
    </row>
    <row r="1098" spans="2:45" x14ac:dyDescent="0.2">
      <c r="B1098" s="2">
        <v>43481.557349537034</v>
      </c>
      <c r="C1098" s="5">
        <f t="shared" si="116"/>
        <v>19.333332559999985</v>
      </c>
      <c r="D1098" s="14">
        <v>7.3190270000000002</v>
      </c>
      <c r="E1098" s="14">
        <v>7.7737990000000003</v>
      </c>
      <c r="F1098" s="14">
        <v>5.5796939999999999</v>
      </c>
      <c r="G1098" s="14">
        <v>5.0751739999999996</v>
      </c>
      <c r="H1098" s="15">
        <v>6.2692220000000001</v>
      </c>
      <c r="I1098" s="15">
        <v>3.685689</v>
      </c>
      <c r="J1098" s="15">
        <v>16.465229999999998</v>
      </c>
      <c r="K1098" s="15">
        <v>6.282438</v>
      </c>
      <c r="L1098" s="16">
        <v>4.9708889999999997</v>
      </c>
      <c r="M1098" s="16">
        <v>10.201219999999999</v>
      </c>
      <c r="N1098" s="16">
        <v>10.285119999999999</v>
      </c>
      <c r="O1098" s="16">
        <v>5.3521979999999996</v>
      </c>
      <c r="P1098" s="17">
        <v>9.5875590000000006</v>
      </c>
      <c r="Q1098" s="17">
        <v>11.673870000000001</v>
      </c>
      <c r="R1098" s="17">
        <v>6.5270469999999996</v>
      </c>
      <c r="S1098" s="17">
        <v>14.196109999999999</v>
      </c>
      <c r="AP1098" s="35"/>
      <c r="AQ1098" s="35"/>
      <c r="AR1098" s="35"/>
      <c r="AS1098" s="35"/>
    </row>
    <row r="1099" spans="2:45" x14ac:dyDescent="0.2">
      <c r="B1099" s="2">
        <v>43481.56082175926</v>
      </c>
      <c r="C1099" s="5">
        <f t="shared" si="116"/>
        <v>19.416665889999983</v>
      </c>
      <c r="D1099" s="14">
        <v>7.3364799999999999</v>
      </c>
      <c r="E1099" s="14">
        <v>7.7996910000000002</v>
      </c>
      <c r="F1099" s="14">
        <v>5.5829449999999996</v>
      </c>
      <c r="G1099" s="14">
        <v>5.0751739999999996</v>
      </c>
      <c r="H1099" s="15">
        <v>6.2700800000000001</v>
      </c>
      <c r="I1099" s="15">
        <v>3.6867619999999999</v>
      </c>
      <c r="J1099" s="15">
        <v>16.488109999999999</v>
      </c>
      <c r="K1099" s="15">
        <v>6.282438</v>
      </c>
      <c r="L1099" s="16">
        <v>4.9974959999999999</v>
      </c>
      <c r="M1099" s="16">
        <v>10.201219999999999</v>
      </c>
      <c r="N1099" s="16">
        <v>10.30744</v>
      </c>
      <c r="O1099" s="16">
        <v>5.3521979999999996</v>
      </c>
      <c r="P1099" s="17">
        <v>9.5901340000000008</v>
      </c>
      <c r="Q1099" s="17">
        <v>11.67501</v>
      </c>
      <c r="R1099" s="17">
        <v>6.5270469999999996</v>
      </c>
      <c r="S1099" s="17">
        <v>14.208690000000001</v>
      </c>
      <c r="AP1099" s="35"/>
      <c r="AQ1099" s="35"/>
      <c r="AR1099" s="35"/>
      <c r="AS1099" s="35"/>
    </row>
    <row r="1100" spans="2:45" x14ac:dyDescent="0.2">
      <c r="B1100" s="2">
        <v>43481.564293981479</v>
      </c>
      <c r="C1100" s="5">
        <f t="shared" si="116"/>
        <v>19.499999219999982</v>
      </c>
      <c r="D1100" s="14">
        <v>7.3539320000000004</v>
      </c>
      <c r="E1100" s="14">
        <v>7.825583</v>
      </c>
      <c r="F1100" s="14">
        <v>5.5893819999999996</v>
      </c>
      <c r="G1100" s="14">
        <v>5.0751739999999996</v>
      </c>
      <c r="H1100" s="15">
        <v>6.2709380000000001</v>
      </c>
      <c r="I1100" s="15">
        <v>3.6878350000000002</v>
      </c>
      <c r="J1100" s="15">
        <v>16.510999999999999</v>
      </c>
      <c r="K1100" s="15">
        <v>6.282438</v>
      </c>
      <c r="L1100" s="16">
        <v>5.0241040000000003</v>
      </c>
      <c r="M1100" s="16">
        <v>10.201219999999999</v>
      </c>
      <c r="N1100" s="16">
        <v>10.329750000000001</v>
      </c>
      <c r="O1100" s="16">
        <v>5.3521979999999996</v>
      </c>
      <c r="P1100" s="17">
        <v>9.5927089999999993</v>
      </c>
      <c r="Q1100" s="17">
        <v>11.676159999999999</v>
      </c>
      <c r="R1100" s="17">
        <v>6.5270469999999996</v>
      </c>
      <c r="S1100" s="17">
        <v>14.22128</v>
      </c>
      <c r="AP1100" s="35"/>
      <c r="AQ1100" s="35"/>
      <c r="AR1100" s="35"/>
      <c r="AS1100" s="35"/>
    </row>
    <row r="1101" spans="2:45" x14ac:dyDescent="0.2">
      <c r="B1101" s="2">
        <v>43481.567766203705</v>
      </c>
      <c r="C1101" s="5">
        <f t="shared" si="116"/>
        <v>19.58333254999998</v>
      </c>
      <c r="D1101" s="14">
        <v>7.3713839999999999</v>
      </c>
      <c r="E1101" s="14">
        <v>7.8514759999999999</v>
      </c>
      <c r="F1101" s="14">
        <v>5.5958189999999997</v>
      </c>
      <c r="G1101" s="14">
        <v>5.0751739999999996</v>
      </c>
      <c r="H1101" s="15">
        <v>6.2717970000000003</v>
      </c>
      <c r="I1101" s="15">
        <v>3.6889080000000001</v>
      </c>
      <c r="J1101" s="15">
        <v>16.521149999999999</v>
      </c>
      <c r="K1101" s="15">
        <v>6.282438</v>
      </c>
      <c r="L1101" s="16">
        <v>5.0507109999999997</v>
      </c>
      <c r="M1101" s="16">
        <v>10.201219999999999</v>
      </c>
      <c r="N1101" s="16">
        <v>10.352069999999999</v>
      </c>
      <c r="O1101" s="16">
        <v>5.3521979999999996</v>
      </c>
      <c r="P1101" s="17">
        <v>9.5952839999999995</v>
      </c>
      <c r="Q1101" s="17">
        <v>11.677300000000001</v>
      </c>
      <c r="R1101" s="17">
        <v>6.5281479999999998</v>
      </c>
      <c r="S1101" s="17">
        <v>14.23387</v>
      </c>
      <c r="AP1101" s="35"/>
      <c r="AQ1101" s="35"/>
      <c r="AR1101" s="35"/>
      <c r="AS1101" s="35"/>
    </row>
    <row r="1102" spans="2:45" x14ac:dyDescent="0.2">
      <c r="B1102" s="2">
        <v>43481.571238425924</v>
      </c>
      <c r="C1102" s="5">
        <f t="shared" si="116"/>
        <v>19.666665879999979</v>
      </c>
      <c r="D1102" s="14">
        <v>7.3888360000000004</v>
      </c>
      <c r="E1102" s="14">
        <v>7.8773679999999997</v>
      </c>
      <c r="F1102" s="14">
        <v>5.6022569999999998</v>
      </c>
      <c r="G1102" s="14">
        <v>5.0751739999999996</v>
      </c>
      <c r="H1102" s="15">
        <v>6.2726550000000003</v>
      </c>
      <c r="I1102" s="15">
        <v>3.689981</v>
      </c>
      <c r="J1102" s="15">
        <v>16.549320000000002</v>
      </c>
      <c r="K1102" s="15">
        <v>6.282438</v>
      </c>
      <c r="L1102" s="16">
        <v>5.0773190000000001</v>
      </c>
      <c r="M1102" s="16">
        <v>10.201219999999999</v>
      </c>
      <c r="N1102" s="16">
        <v>10.37439</v>
      </c>
      <c r="O1102" s="16">
        <v>5.3521979999999996</v>
      </c>
      <c r="P1102" s="17">
        <v>9.5978580000000004</v>
      </c>
      <c r="Q1102" s="17">
        <v>11.67844</v>
      </c>
      <c r="R1102" s="17">
        <v>6.5300070000000003</v>
      </c>
      <c r="S1102" s="17">
        <v>14.246460000000001</v>
      </c>
      <c r="AP1102" s="35"/>
      <c r="AQ1102" s="35"/>
      <c r="AR1102" s="35"/>
      <c r="AS1102" s="35"/>
    </row>
    <row r="1103" spans="2:45" x14ac:dyDescent="0.2">
      <c r="B1103" s="2">
        <v>43481.57471064815</v>
      </c>
      <c r="C1103" s="5">
        <f t="shared" si="116"/>
        <v>19.749999209999977</v>
      </c>
      <c r="D1103" s="14">
        <v>7.4062890000000001</v>
      </c>
      <c r="E1103" s="14">
        <v>7.9032600000000004</v>
      </c>
      <c r="F1103" s="14">
        <v>5.6086939999999998</v>
      </c>
      <c r="G1103" s="14">
        <v>5.0751739999999996</v>
      </c>
      <c r="H1103" s="15">
        <v>6.2735130000000003</v>
      </c>
      <c r="I1103" s="15">
        <v>3.6910539999999998</v>
      </c>
      <c r="J1103" s="15">
        <v>16.608830000000001</v>
      </c>
      <c r="K1103" s="15">
        <v>6.282438</v>
      </c>
      <c r="L1103" s="16">
        <v>5.1039260000000004</v>
      </c>
      <c r="M1103" s="16">
        <v>10.201219999999999</v>
      </c>
      <c r="N1103" s="16">
        <v>10.396699999999999</v>
      </c>
      <c r="O1103" s="16">
        <v>5.3521979999999996</v>
      </c>
      <c r="P1103" s="17">
        <v>9.6004330000000007</v>
      </c>
      <c r="Q1103" s="17">
        <v>11.679589999999999</v>
      </c>
      <c r="R1103" s="17">
        <v>6.5318670000000001</v>
      </c>
      <c r="S1103" s="17">
        <v>14.25905</v>
      </c>
      <c r="AP1103" s="35"/>
      <c r="AQ1103" s="35"/>
      <c r="AR1103" s="35"/>
      <c r="AS1103" s="35"/>
    </row>
    <row r="1104" spans="2:45" x14ac:dyDescent="0.2">
      <c r="B1104" s="2">
        <v>43481.578182870369</v>
      </c>
      <c r="C1104" s="5">
        <f t="shared" si="116"/>
        <v>19.833332539999976</v>
      </c>
      <c r="D1104" s="14">
        <v>7.4237409999999997</v>
      </c>
      <c r="E1104" s="14">
        <v>7.9291520000000002</v>
      </c>
      <c r="F1104" s="14">
        <v>5.6151309999999999</v>
      </c>
      <c r="G1104" s="14">
        <v>5.0751739999999996</v>
      </c>
      <c r="H1104" s="15">
        <v>6.2743719999999996</v>
      </c>
      <c r="I1104" s="15">
        <v>3.6921270000000002</v>
      </c>
      <c r="J1104" s="15">
        <v>16.668330000000001</v>
      </c>
      <c r="K1104" s="15">
        <v>6.282438</v>
      </c>
      <c r="L1104" s="16">
        <v>5.1305339999999999</v>
      </c>
      <c r="M1104" s="16">
        <v>10.201219999999999</v>
      </c>
      <c r="N1104" s="16">
        <v>10.41902</v>
      </c>
      <c r="O1104" s="16">
        <v>5.3521979999999996</v>
      </c>
      <c r="P1104" s="17">
        <v>9.6030080000000009</v>
      </c>
      <c r="Q1104" s="17">
        <v>11.680730000000001</v>
      </c>
      <c r="R1104" s="17">
        <v>6.5337269999999998</v>
      </c>
      <c r="S1104" s="17">
        <v>14.27164</v>
      </c>
      <c r="AP1104" s="35"/>
      <c r="AQ1104" s="35"/>
      <c r="AR1104" s="35"/>
      <c r="AS1104" s="35"/>
    </row>
    <row r="1105" spans="2:45" x14ac:dyDescent="0.2">
      <c r="B1105" s="2">
        <v>43481.581655092596</v>
      </c>
      <c r="C1105" s="5">
        <f t="shared" si="116"/>
        <v>19.916665869999974</v>
      </c>
      <c r="D1105" s="14">
        <v>7.4411930000000002</v>
      </c>
      <c r="E1105" s="14">
        <v>7.9550450000000001</v>
      </c>
      <c r="F1105" s="14">
        <v>5.621569</v>
      </c>
      <c r="G1105" s="14">
        <v>5.0751739999999996</v>
      </c>
      <c r="H1105" s="15">
        <v>6.2752299999999996</v>
      </c>
      <c r="I1105" s="15">
        <v>3.6932</v>
      </c>
      <c r="J1105" s="15">
        <v>16.72784</v>
      </c>
      <c r="K1105" s="15">
        <v>6.282438</v>
      </c>
      <c r="L1105" s="16">
        <v>5.1571410000000002</v>
      </c>
      <c r="M1105" s="16">
        <v>10.201219999999999</v>
      </c>
      <c r="N1105" s="16">
        <v>10.441330000000001</v>
      </c>
      <c r="O1105" s="16">
        <v>5.3521979999999996</v>
      </c>
      <c r="P1105" s="17">
        <v>9.6055829999999993</v>
      </c>
      <c r="Q1105" s="17">
        <v>11.68188</v>
      </c>
      <c r="R1105" s="17">
        <v>6.5355860000000003</v>
      </c>
      <c r="S1105" s="17">
        <v>14.284219999999999</v>
      </c>
      <c r="AP1105" s="35"/>
      <c r="AQ1105" s="35"/>
      <c r="AR1105" s="35"/>
      <c r="AS1105" s="35"/>
    </row>
    <row r="1106" spans="2:45" x14ac:dyDescent="0.2">
      <c r="B1106" s="2">
        <v>43481.585127314815</v>
      </c>
      <c r="C1106" s="5">
        <f t="shared" si="116"/>
        <v>19.999999199999973</v>
      </c>
      <c r="D1106" s="14">
        <v>7.4428799999999997</v>
      </c>
      <c r="E1106" s="14">
        <v>7.9809369999999999</v>
      </c>
      <c r="F1106" s="14">
        <v>5.6280060000000001</v>
      </c>
      <c r="G1106" s="14">
        <v>5.0751739999999996</v>
      </c>
      <c r="H1106" s="15">
        <v>6.2760879999999997</v>
      </c>
      <c r="I1106" s="15">
        <v>3.6942729999999999</v>
      </c>
      <c r="J1106" s="15">
        <v>16.78735</v>
      </c>
      <c r="K1106" s="15">
        <v>6.282438</v>
      </c>
      <c r="L1106" s="16">
        <v>5.1837489999999997</v>
      </c>
      <c r="M1106" s="16">
        <v>10.201219999999999</v>
      </c>
      <c r="N1106" s="16">
        <v>10.463649999999999</v>
      </c>
      <c r="O1106" s="16">
        <v>5.3521979999999996</v>
      </c>
      <c r="P1106" s="17">
        <v>9.6081579999999995</v>
      </c>
      <c r="Q1106" s="17">
        <v>11.68303</v>
      </c>
      <c r="R1106" s="17">
        <v>6.5374460000000001</v>
      </c>
      <c r="S1106" s="17">
        <v>14.296810000000001</v>
      </c>
      <c r="V1106" s="25">
        <v>20</v>
      </c>
      <c r="W1106">
        <f>AVERAGE(D1095:D1106)</f>
        <v>7.3613442499999993</v>
      </c>
      <c r="X1106">
        <f t="shared" ref="X1106:AL1106" si="118">AVERAGE(E1095:E1106)</f>
        <v>7.8461894166666655</v>
      </c>
      <c r="Y1106">
        <f t="shared" si="118"/>
        <v>5.5954827499999995</v>
      </c>
      <c r="Z1106">
        <f t="shared" si="118"/>
        <v>5.0751739999999987</v>
      </c>
      <c r="AA1106">
        <f t="shared" si="118"/>
        <v>6.2713675000000002</v>
      </c>
      <c r="AB1106">
        <f t="shared" si="118"/>
        <v>3.6883717499999999</v>
      </c>
      <c r="AC1106">
        <f t="shared" si="118"/>
        <v>16.548792500000001</v>
      </c>
      <c r="AD1106">
        <f t="shared" si="118"/>
        <v>6.282438</v>
      </c>
      <c r="AE1106">
        <f t="shared" si="118"/>
        <v>5.0374075000000005</v>
      </c>
      <c r="AF1106">
        <f t="shared" si="118"/>
        <v>10.201220000000001</v>
      </c>
      <c r="AG1106">
        <f t="shared" si="118"/>
        <v>10.340911666666669</v>
      </c>
      <c r="AH1106">
        <f t="shared" si="118"/>
        <v>5.3521980000000005</v>
      </c>
      <c r="AI1106">
        <f t="shared" si="118"/>
        <v>9.593996083333332</v>
      </c>
      <c r="AJ1106">
        <f t="shared" si="118"/>
        <v>11.676849166666665</v>
      </c>
      <c r="AK1106">
        <f t="shared" si="118"/>
        <v>6.529921916666666</v>
      </c>
      <c r="AL1106">
        <f t="shared" si="118"/>
        <v>14.227576666666666</v>
      </c>
      <c r="AO1106" s="25">
        <v>20</v>
      </c>
      <c r="AP1106" s="35">
        <f>AVERAGE(W1106:Z1106)</f>
        <v>6.4695476041666655</v>
      </c>
      <c r="AQ1106" s="35">
        <f>AVERAGE(AA1106:AD1106)</f>
        <v>8.1977424375000005</v>
      </c>
      <c r="AR1106" s="35">
        <f>AVERAGE(AE1106:AH1106)</f>
        <v>7.7329342916666679</v>
      </c>
      <c r="AS1106" s="35">
        <f>AVERAGE(AI1106:AL1106)</f>
        <v>10.507085958333333</v>
      </c>
    </row>
    <row r="1107" spans="2:45" x14ac:dyDescent="0.2">
      <c r="B1107" s="2">
        <v>43481.588599537034</v>
      </c>
      <c r="C1107" s="5">
        <f t="shared" si="116"/>
        <v>20.083332529999971</v>
      </c>
      <c r="D1107" s="14">
        <v>7.4530000000000003</v>
      </c>
      <c r="E1107" s="14">
        <v>8.0068669999999997</v>
      </c>
      <c r="F1107" s="14">
        <v>5.6344430000000001</v>
      </c>
      <c r="G1107" s="14">
        <v>5.0751739999999996</v>
      </c>
      <c r="H1107" s="15">
        <v>6.2769469999999998</v>
      </c>
      <c r="I1107" s="15">
        <v>3.6953450000000001</v>
      </c>
      <c r="J1107" s="15">
        <v>16.84686</v>
      </c>
      <c r="K1107" s="15">
        <v>6.282438</v>
      </c>
      <c r="L1107" s="16">
        <v>5.210356</v>
      </c>
      <c r="M1107" s="16">
        <v>10.201219999999999</v>
      </c>
      <c r="N1107" s="16">
        <v>10.48597</v>
      </c>
      <c r="O1107" s="16">
        <v>5.3521979999999996</v>
      </c>
      <c r="P1107" s="17">
        <v>9.6107329999999997</v>
      </c>
      <c r="Q1107" s="17">
        <v>11.68303</v>
      </c>
      <c r="R1107" s="17">
        <v>6.5393059999999998</v>
      </c>
      <c r="S1107" s="17">
        <v>14.3094</v>
      </c>
      <c r="AP1107" s="35"/>
      <c r="AQ1107" s="35"/>
      <c r="AR1107" s="35"/>
      <c r="AS1107" s="35"/>
    </row>
    <row r="1108" spans="2:45" x14ac:dyDescent="0.2">
      <c r="B1108" s="2">
        <v>43481.59207175926</v>
      </c>
      <c r="C1108" s="5">
        <f t="shared" si="116"/>
        <v>20.16666585999997</v>
      </c>
      <c r="D1108" s="14">
        <v>7.4645869999999999</v>
      </c>
      <c r="E1108" s="14">
        <v>8.0329029999999992</v>
      </c>
      <c r="F1108" s="14">
        <v>5.6381709999999998</v>
      </c>
      <c r="G1108" s="14">
        <v>5.0751739999999996</v>
      </c>
      <c r="H1108" s="15">
        <v>6.2778049999999999</v>
      </c>
      <c r="I1108" s="15">
        <v>3.696418</v>
      </c>
      <c r="J1108" s="15">
        <v>16.906369999999999</v>
      </c>
      <c r="K1108" s="15">
        <v>6.282438</v>
      </c>
      <c r="L1108" s="16">
        <v>5.2369640000000004</v>
      </c>
      <c r="M1108" s="16">
        <v>10.201219999999999</v>
      </c>
      <c r="N1108" s="16">
        <v>10.508279999999999</v>
      </c>
      <c r="O1108" s="16">
        <v>5.3521979999999996</v>
      </c>
      <c r="P1108" s="17">
        <v>9.613308</v>
      </c>
      <c r="Q1108" s="17">
        <v>11.68303</v>
      </c>
      <c r="R1108" s="17">
        <v>6.5411650000000003</v>
      </c>
      <c r="S1108" s="17">
        <v>14.32199</v>
      </c>
      <c r="AP1108" s="35"/>
      <c r="AQ1108" s="35"/>
      <c r="AR1108" s="35"/>
      <c r="AS1108" s="35"/>
    </row>
    <row r="1109" spans="2:45" x14ac:dyDescent="0.2">
      <c r="B1109" s="2">
        <v>43481.595543981479</v>
      </c>
      <c r="C1109" s="5">
        <f t="shared" si="116"/>
        <v>20.249999189999969</v>
      </c>
      <c r="D1109" s="14">
        <v>7.4761740000000003</v>
      </c>
      <c r="E1109" s="14">
        <v>8.0589379999999995</v>
      </c>
      <c r="F1109" s="14">
        <v>5.6478979999999996</v>
      </c>
      <c r="G1109" s="14">
        <v>5.0780529999999997</v>
      </c>
      <c r="H1109" s="15">
        <v>6.2786629999999999</v>
      </c>
      <c r="I1109" s="15">
        <v>3.6974909999999999</v>
      </c>
      <c r="J1109" s="15">
        <v>16.965879999999999</v>
      </c>
      <c r="K1109" s="15">
        <v>6.282438</v>
      </c>
      <c r="L1109" s="16">
        <v>5.247153</v>
      </c>
      <c r="M1109" s="16">
        <v>10.201219999999999</v>
      </c>
      <c r="N1109" s="16">
        <v>10.5306</v>
      </c>
      <c r="O1109" s="16">
        <v>5.3521979999999996</v>
      </c>
      <c r="P1109" s="17">
        <v>9.6158830000000002</v>
      </c>
      <c r="Q1109" s="17">
        <v>11.68323</v>
      </c>
      <c r="R1109" s="17">
        <v>6.5430250000000001</v>
      </c>
      <c r="S1109" s="17">
        <v>14.334580000000001</v>
      </c>
      <c r="AP1109" s="35"/>
      <c r="AQ1109" s="35"/>
      <c r="AR1109" s="35"/>
      <c r="AS1109" s="35"/>
    </row>
    <row r="1110" spans="2:45" x14ac:dyDescent="0.2">
      <c r="B1110" s="2">
        <v>43481.599016203705</v>
      </c>
      <c r="C1110" s="5">
        <f t="shared" si="116"/>
        <v>20.333332519999967</v>
      </c>
      <c r="D1110" s="14">
        <v>7.4877609999999999</v>
      </c>
      <c r="E1110" s="14">
        <v>8.0849729999999997</v>
      </c>
      <c r="F1110" s="14">
        <v>5.6576259999999996</v>
      </c>
      <c r="G1110" s="14">
        <v>5.0816290000000004</v>
      </c>
      <c r="H1110" s="15">
        <v>6.2795209999999999</v>
      </c>
      <c r="I1110" s="15">
        <v>3.6985640000000002</v>
      </c>
      <c r="J1110" s="15">
        <v>17.025390000000002</v>
      </c>
      <c r="K1110" s="15">
        <v>6.282438</v>
      </c>
      <c r="L1110" s="16">
        <v>5.26389</v>
      </c>
      <c r="M1110" s="16">
        <v>10.201219999999999</v>
      </c>
      <c r="N1110" s="16">
        <v>10.552910000000001</v>
      </c>
      <c r="O1110" s="16">
        <v>5.3521979999999996</v>
      </c>
      <c r="P1110" s="17">
        <v>9.6184580000000004</v>
      </c>
      <c r="Q1110" s="17">
        <v>11.68473</v>
      </c>
      <c r="R1110" s="17">
        <v>6.5448849999999998</v>
      </c>
      <c r="S1110" s="17">
        <v>14.34717</v>
      </c>
      <c r="AP1110" s="35"/>
      <c r="AQ1110" s="35"/>
      <c r="AR1110" s="35"/>
      <c r="AS1110" s="35"/>
    </row>
    <row r="1111" spans="2:45" x14ac:dyDescent="0.2">
      <c r="B1111" s="2">
        <v>43481.602488425924</v>
      </c>
      <c r="C1111" s="5">
        <f t="shared" si="116"/>
        <v>20.416665849999966</v>
      </c>
      <c r="D1111" s="14">
        <v>7.4993480000000003</v>
      </c>
      <c r="E1111" s="14">
        <v>8.1110089999999992</v>
      </c>
      <c r="F1111" s="14">
        <v>5.6673530000000003</v>
      </c>
      <c r="G1111" s="14">
        <v>5.0852050000000002</v>
      </c>
      <c r="H1111" s="15">
        <v>6.2803800000000001</v>
      </c>
      <c r="I1111" s="15">
        <v>3.6996370000000001</v>
      </c>
      <c r="J1111" s="15">
        <v>17.084900000000001</v>
      </c>
      <c r="K1111" s="15">
        <v>6.282438</v>
      </c>
      <c r="L1111" s="16">
        <v>5.280627</v>
      </c>
      <c r="M1111" s="16">
        <v>10.201219999999999</v>
      </c>
      <c r="N1111" s="16">
        <v>10.575229999999999</v>
      </c>
      <c r="O1111" s="16">
        <v>5.3521979999999996</v>
      </c>
      <c r="P1111" s="17">
        <v>9.6210330000000006</v>
      </c>
      <c r="Q1111" s="17">
        <v>11.686349999999999</v>
      </c>
      <c r="R1111" s="17">
        <v>6.5467440000000003</v>
      </c>
      <c r="S1111" s="17">
        <v>14.35976</v>
      </c>
      <c r="AP1111" s="35"/>
      <c r="AQ1111" s="35"/>
      <c r="AR1111" s="35"/>
      <c r="AS1111" s="35"/>
    </row>
    <row r="1112" spans="2:45" x14ac:dyDescent="0.2">
      <c r="B1112" s="2">
        <v>43481.60596064815</v>
      </c>
      <c r="C1112" s="5">
        <f t="shared" si="116"/>
        <v>20.499999179999964</v>
      </c>
      <c r="D1112" s="14">
        <v>7.5109349999999999</v>
      </c>
      <c r="E1112" s="14">
        <v>8.1370439999999995</v>
      </c>
      <c r="F1112" s="14">
        <v>5.6770810000000003</v>
      </c>
      <c r="G1112" s="14">
        <v>5.088781</v>
      </c>
      <c r="H1112" s="15">
        <v>6.2812380000000001</v>
      </c>
      <c r="I1112" s="15">
        <v>3.7007099999999999</v>
      </c>
      <c r="J1112" s="15">
        <v>17.144410000000001</v>
      </c>
      <c r="K1112" s="15">
        <v>6.282438</v>
      </c>
      <c r="L1112" s="16">
        <v>5.297364</v>
      </c>
      <c r="M1112" s="16">
        <v>10.201219999999999</v>
      </c>
      <c r="N1112" s="16">
        <v>10.59755</v>
      </c>
      <c r="O1112" s="16">
        <v>5.3521979999999996</v>
      </c>
      <c r="P1112" s="17">
        <v>9.6236080000000008</v>
      </c>
      <c r="Q1112" s="17">
        <v>11.689209999999999</v>
      </c>
      <c r="R1112" s="17">
        <v>6.5486040000000001</v>
      </c>
      <c r="S1112" s="17">
        <v>14.372339999999999</v>
      </c>
      <c r="AP1112" s="35"/>
      <c r="AQ1112" s="35"/>
      <c r="AR1112" s="35"/>
      <c r="AS1112" s="35"/>
    </row>
    <row r="1113" spans="2:45" x14ac:dyDescent="0.2">
      <c r="B1113" s="2">
        <v>43481.609432870369</v>
      </c>
      <c r="C1113" s="5">
        <f t="shared" si="116"/>
        <v>20.583332509999963</v>
      </c>
      <c r="D1113" s="14">
        <v>7.5225220000000004</v>
      </c>
      <c r="E1113" s="14">
        <v>8.1630789999999998</v>
      </c>
      <c r="F1113" s="14">
        <v>5.6868080000000001</v>
      </c>
      <c r="G1113" s="14">
        <v>5.0923579999999999</v>
      </c>
      <c r="H1113" s="15">
        <v>6.2820960000000001</v>
      </c>
      <c r="I1113" s="15">
        <v>3.7017829999999998</v>
      </c>
      <c r="J1113" s="15">
        <v>17.20392</v>
      </c>
      <c r="K1113" s="15">
        <v>6.282438</v>
      </c>
      <c r="L1113" s="16">
        <v>5.314101</v>
      </c>
      <c r="M1113" s="16">
        <v>10.201219999999999</v>
      </c>
      <c r="N1113" s="16">
        <v>10.60971</v>
      </c>
      <c r="O1113" s="16">
        <v>5.3521979999999996</v>
      </c>
      <c r="P1113" s="17">
        <v>9.6261829999999993</v>
      </c>
      <c r="Q1113" s="17">
        <v>11.692069999999999</v>
      </c>
      <c r="R1113" s="17">
        <v>6.5504639999999998</v>
      </c>
      <c r="S1113" s="17">
        <v>14.384930000000001</v>
      </c>
      <c r="AP1113" s="35"/>
      <c r="AQ1113" s="35"/>
      <c r="AR1113" s="35"/>
      <c r="AS1113" s="35"/>
    </row>
    <row r="1114" spans="2:45" x14ac:dyDescent="0.2">
      <c r="B1114" s="2">
        <v>43481.612905092596</v>
      </c>
      <c r="C1114" s="5">
        <f t="shared" si="116"/>
        <v>20.666665839999961</v>
      </c>
      <c r="D1114" s="14">
        <v>7.5341100000000001</v>
      </c>
      <c r="E1114" s="14">
        <v>8.178267</v>
      </c>
      <c r="F1114" s="14">
        <v>5.696536</v>
      </c>
      <c r="G1114" s="14">
        <v>5.0959339999999997</v>
      </c>
      <c r="H1114" s="15">
        <v>6.2829550000000003</v>
      </c>
      <c r="I1114" s="15">
        <v>3.7028560000000001</v>
      </c>
      <c r="J1114" s="15">
        <v>17.26343</v>
      </c>
      <c r="K1114" s="15">
        <v>6.282438</v>
      </c>
      <c r="L1114" s="16">
        <v>5.330838</v>
      </c>
      <c r="M1114" s="16">
        <v>10.201219999999999</v>
      </c>
      <c r="N1114" s="16">
        <v>10.60971</v>
      </c>
      <c r="O1114" s="16">
        <v>5.3521979999999996</v>
      </c>
      <c r="P1114" s="17">
        <v>9.6287570000000002</v>
      </c>
      <c r="Q1114" s="17">
        <v>11.694929999999999</v>
      </c>
      <c r="R1114" s="17">
        <v>6.5523230000000003</v>
      </c>
      <c r="S1114" s="17">
        <v>14.39752</v>
      </c>
      <c r="AP1114" s="35"/>
      <c r="AQ1114" s="35"/>
      <c r="AR1114" s="35"/>
      <c r="AS1114" s="35"/>
    </row>
    <row r="1115" spans="2:45" x14ac:dyDescent="0.2">
      <c r="B1115" s="2">
        <v>43481.616377314815</v>
      </c>
      <c r="C1115" s="5">
        <f t="shared" si="116"/>
        <v>20.74999916999996</v>
      </c>
      <c r="D1115" s="14">
        <v>7.5358859999999996</v>
      </c>
      <c r="E1115" s="14">
        <v>8.1806950000000001</v>
      </c>
      <c r="F1115" s="14">
        <v>5.7062629999999999</v>
      </c>
      <c r="G1115" s="14">
        <v>5.0995100000000004</v>
      </c>
      <c r="H1115" s="15">
        <v>6.2838130000000003</v>
      </c>
      <c r="I1115" s="15">
        <v>3.7039279999999999</v>
      </c>
      <c r="J1115" s="15">
        <v>17.322939999999999</v>
      </c>
      <c r="K1115" s="15">
        <v>6.282438</v>
      </c>
      <c r="L1115" s="16">
        <v>5.347575</v>
      </c>
      <c r="M1115" s="16">
        <v>10.201219999999999</v>
      </c>
      <c r="N1115" s="16">
        <v>10.60971</v>
      </c>
      <c r="O1115" s="16">
        <v>5.3521979999999996</v>
      </c>
      <c r="P1115" s="17">
        <v>9.6313320000000004</v>
      </c>
      <c r="Q1115" s="17">
        <v>11.697789999999999</v>
      </c>
      <c r="R1115" s="17">
        <v>6.5541830000000001</v>
      </c>
      <c r="S1115" s="17">
        <v>14.41011</v>
      </c>
      <c r="AP1115" s="35"/>
      <c r="AQ1115" s="35"/>
      <c r="AR1115" s="35"/>
      <c r="AS1115" s="35"/>
    </row>
    <row r="1116" spans="2:45" x14ac:dyDescent="0.2">
      <c r="B1116" s="2">
        <v>43481.619849537034</v>
      </c>
      <c r="C1116" s="5">
        <f t="shared" si="116"/>
        <v>20.833332499999958</v>
      </c>
      <c r="D1116" s="14">
        <v>7.5358859999999996</v>
      </c>
      <c r="E1116" s="14">
        <v>8.1915659999999999</v>
      </c>
      <c r="F1116" s="14">
        <v>5.7159909999999998</v>
      </c>
      <c r="G1116" s="14">
        <v>5.100625</v>
      </c>
      <c r="H1116" s="15">
        <v>6.2846710000000003</v>
      </c>
      <c r="I1116" s="15">
        <v>3.7050010000000002</v>
      </c>
      <c r="J1116" s="15">
        <v>17.362410000000001</v>
      </c>
      <c r="K1116" s="15">
        <v>6.282438</v>
      </c>
      <c r="L1116" s="16">
        <v>5.364312</v>
      </c>
      <c r="M1116" s="16">
        <v>10.201219999999999</v>
      </c>
      <c r="N1116" s="16">
        <v>10.60971</v>
      </c>
      <c r="O1116" s="16">
        <v>5.3521979999999996</v>
      </c>
      <c r="P1116" s="17">
        <v>9.6339070000000007</v>
      </c>
      <c r="Q1116" s="17">
        <v>11.70065</v>
      </c>
      <c r="R1116" s="17">
        <v>6.5560429999999998</v>
      </c>
      <c r="S1116" s="17">
        <v>14.422700000000001</v>
      </c>
      <c r="AP1116" s="35"/>
      <c r="AQ1116" s="35"/>
      <c r="AR1116" s="35"/>
      <c r="AS1116" s="35"/>
    </row>
    <row r="1117" spans="2:45" x14ac:dyDescent="0.2">
      <c r="B1117" s="2">
        <v>43481.62332175926</v>
      </c>
      <c r="C1117" s="5">
        <f t="shared" si="116"/>
        <v>20.916665829999957</v>
      </c>
      <c r="D1117" s="14">
        <v>7.5358859999999996</v>
      </c>
      <c r="E1117" s="14">
        <v>8.2024380000000008</v>
      </c>
      <c r="F1117" s="14">
        <v>5.7257179999999996</v>
      </c>
      <c r="G1117" s="14">
        <v>5.100625</v>
      </c>
      <c r="H1117" s="15">
        <v>6.2855299999999996</v>
      </c>
      <c r="I1117" s="15">
        <v>3.7060740000000001</v>
      </c>
      <c r="J1117" s="15">
        <v>17.362410000000001</v>
      </c>
      <c r="K1117" s="15">
        <v>6.282438</v>
      </c>
      <c r="L1117" s="16">
        <v>5.381049</v>
      </c>
      <c r="M1117" s="16">
        <v>10.201219999999999</v>
      </c>
      <c r="N1117" s="16">
        <v>10.60971</v>
      </c>
      <c r="O1117" s="16">
        <v>5.3521979999999996</v>
      </c>
      <c r="P1117" s="17">
        <v>9.6364820000000009</v>
      </c>
      <c r="Q1117" s="17">
        <v>11.703519999999999</v>
      </c>
      <c r="R1117" s="17">
        <v>6.5579020000000003</v>
      </c>
      <c r="S1117" s="17">
        <v>14.43529</v>
      </c>
      <c r="AP1117" s="35"/>
      <c r="AQ1117" s="35"/>
      <c r="AR1117" s="35"/>
      <c r="AS1117" s="35"/>
    </row>
    <row r="1118" spans="2:45" x14ac:dyDescent="0.2">
      <c r="B1118" s="2">
        <v>43481.626793981479</v>
      </c>
      <c r="C1118" s="5">
        <f t="shared" si="116"/>
        <v>20.999999159999955</v>
      </c>
      <c r="D1118" s="14">
        <v>7.5358859999999996</v>
      </c>
      <c r="E1118" s="14">
        <v>8.2133099999999999</v>
      </c>
      <c r="F1118" s="14">
        <v>5.7354450000000003</v>
      </c>
      <c r="G1118" s="14">
        <v>5.100625</v>
      </c>
      <c r="H1118" s="15">
        <v>6.2863879999999996</v>
      </c>
      <c r="I1118" s="15">
        <v>3.707147</v>
      </c>
      <c r="J1118" s="15">
        <v>17.364660000000001</v>
      </c>
      <c r="K1118" s="15">
        <v>6.282438</v>
      </c>
      <c r="L1118" s="16">
        <v>5.397786</v>
      </c>
      <c r="M1118" s="16">
        <v>10.201219999999999</v>
      </c>
      <c r="N1118" s="16">
        <v>10.60971</v>
      </c>
      <c r="O1118" s="16">
        <v>5.3521979999999996</v>
      </c>
      <c r="P1118" s="17">
        <v>9.6390569999999993</v>
      </c>
      <c r="Q1118" s="17">
        <v>11.70626</v>
      </c>
      <c r="R1118" s="17">
        <v>6.5597620000000001</v>
      </c>
      <c r="S1118" s="17">
        <v>14.44788</v>
      </c>
      <c r="V1118" s="25">
        <v>21</v>
      </c>
      <c r="W1118">
        <f>AVERAGE(D1107:D1118)</f>
        <v>7.5076650833333352</v>
      </c>
      <c r="X1118">
        <f t="shared" ref="X1118:AL1118" si="119">AVERAGE(E1107:E1118)</f>
        <v>8.130090749999999</v>
      </c>
      <c r="Y1118">
        <f t="shared" si="119"/>
        <v>5.6824444166666668</v>
      </c>
      <c r="Z1118">
        <f t="shared" si="119"/>
        <v>5.0894744166666674</v>
      </c>
      <c r="AA1118">
        <f t="shared" si="119"/>
        <v>6.2816672500000008</v>
      </c>
      <c r="AB1118">
        <f t="shared" si="119"/>
        <v>3.7012461666666669</v>
      </c>
      <c r="AC1118">
        <f t="shared" si="119"/>
        <v>17.154465000000002</v>
      </c>
      <c r="AD1118">
        <f t="shared" si="119"/>
        <v>6.282438</v>
      </c>
      <c r="AE1118">
        <f t="shared" si="119"/>
        <v>5.3060012500000004</v>
      </c>
      <c r="AF1118">
        <f t="shared" si="119"/>
        <v>10.201220000000001</v>
      </c>
      <c r="AG1118">
        <f t="shared" si="119"/>
        <v>10.575733333333334</v>
      </c>
      <c r="AH1118">
        <f t="shared" si="119"/>
        <v>5.3521980000000005</v>
      </c>
      <c r="AI1118">
        <f t="shared" si="119"/>
        <v>9.6248950833333335</v>
      </c>
      <c r="AJ1118">
        <f t="shared" si="119"/>
        <v>11.692066666666667</v>
      </c>
      <c r="AK1118">
        <f t="shared" si="119"/>
        <v>6.5495338333333342</v>
      </c>
      <c r="AL1118">
        <f t="shared" si="119"/>
        <v>14.378639166666666</v>
      </c>
      <c r="AO1118" s="25">
        <v>21</v>
      </c>
      <c r="AP1118" s="35">
        <f>AVERAGE(W1118:Z1118)</f>
        <v>6.6024186666666669</v>
      </c>
      <c r="AQ1118" s="35">
        <f>AVERAGE(AA1118:AD1118)</f>
        <v>8.3549541041666675</v>
      </c>
      <c r="AR1118" s="35">
        <f>AVERAGE(AE1118:AH1118)</f>
        <v>7.8587881458333335</v>
      </c>
      <c r="AS1118" s="35">
        <f>AVERAGE(AI1118:AL1118)</f>
        <v>10.561283687500001</v>
      </c>
    </row>
    <row r="1119" spans="2:45" x14ac:dyDescent="0.2">
      <c r="B1119" s="2">
        <v>43481.630266203705</v>
      </c>
      <c r="C1119" s="5">
        <f t="shared" si="116"/>
        <v>21.083332489999954</v>
      </c>
      <c r="D1119" s="14">
        <v>7.5358859999999996</v>
      </c>
      <c r="E1119" s="14">
        <v>8.2241820000000008</v>
      </c>
      <c r="F1119" s="14">
        <v>5.7451730000000003</v>
      </c>
      <c r="G1119" s="14">
        <v>5.100625</v>
      </c>
      <c r="H1119" s="15">
        <v>6.2872459999999997</v>
      </c>
      <c r="I1119" s="15">
        <v>3.7082199999999998</v>
      </c>
      <c r="J1119" s="15">
        <v>17.382400000000001</v>
      </c>
      <c r="K1119" s="15">
        <v>6.282438</v>
      </c>
      <c r="L1119" s="16">
        <v>5.414523</v>
      </c>
      <c r="M1119" s="16">
        <v>10.201219999999999</v>
      </c>
      <c r="N1119" s="16">
        <v>10.60971</v>
      </c>
      <c r="O1119" s="16">
        <v>5.3521979999999996</v>
      </c>
      <c r="P1119" s="17">
        <v>9.6416319999999995</v>
      </c>
      <c r="Q1119" s="17">
        <v>11.70626</v>
      </c>
      <c r="R1119" s="17">
        <v>6.5616219999999998</v>
      </c>
      <c r="S1119" s="17">
        <v>14.460459999999999</v>
      </c>
      <c r="AP1119" s="35"/>
      <c r="AQ1119" s="35"/>
      <c r="AR1119" s="35"/>
      <c r="AS1119" s="35"/>
    </row>
    <row r="1120" spans="2:45" x14ac:dyDescent="0.2">
      <c r="B1120" s="2">
        <v>43481.633738425924</v>
      </c>
      <c r="C1120" s="5">
        <f t="shared" si="116"/>
        <v>21.166665819999952</v>
      </c>
      <c r="D1120" s="14">
        <v>7.5358859999999996</v>
      </c>
      <c r="E1120" s="14">
        <v>8.2350539999999999</v>
      </c>
      <c r="F1120" s="14">
        <v>5.7549000000000001</v>
      </c>
      <c r="G1120" s="14">
        <v>5.100625</v>
      </c>
      <c r="H1120" s="15">
        <v>6.2881049999999998</v>
      </c>
      <c r="I1120" s="15">
        <v>3.7092930000000002</v>
      </c>
      <c r="J1120" s="15">
        <v>17.40014</v>
      </c>
      <c r="K1120" s="15">
        <v>6.282438</v>
      </c>
      <c r="L1120" s="16">
        <v>5.43126</v>
      </c>
      <c r="M1120" s="16">
        <v>10.201219999999999</v>
      </c>
      <c r="N1120" s="16">
        <v>10.60971</v>
      </c>
      <c r="O1120" s="16">
        <v>5.3521979999999996</v>
      </c>
      <c r="P1120" s="17">
        <v>9.6442069999999998</v>
      </c>
      <c r="Q1120" s="17">
        <v>11.70626</v>
      </c>
      <c r="R1120" s="17">
        <v>6.5634810000000003</v>
      </c>
      <c r="S1120" s="17">
        <v>14.473050000000001</v>
      </c>
      <c r="AP1120" s="35"/>
      <c r="AQ1120" s="35"/>
      <c r="AR1120" s="35"/>
      <c r="AS1120" s="35"/>
    </row>
    <row r="1121" spans="2:45" x14ac:dyDescent="0.2">
      <c r="B1121" s="2">
        <v>43481.63721064815</v>
      </c>
      <c r="C1121" s="5">
        <f t="shared" si="116"/>
        <v>21.249999149999951</v>
      </c>
      <c r="D1121" s="14">
        <v>7.5358859999999996</v>
      </c>
      <c r="E1121" s="14">
        <v>8.2459260000000008</v>
      </c>
      <c r="F1121" s="14">
        <v>5.7646280000000001</v>
      </c>
      <c r="G1121" s="14">
        <v>5.100625</v>
      </c>
      <c r="H1121" s="15">
        <v>6.2889629999999999</v>
      </c>
      <c r="I1121" s="15">
        <v>3.7103660000000001</v>
      </c>
      <c r="J1121" s="15">
        <v>17.417870000000001</v>
      </c>
      <c r="K1121" s="15">
        <v>6.282438</v>
      </c>
      <c r="L1121" s="16">
        <v>5.447997</v>
      </c>
      <c r="M1121" s="16">
        <v>10.201219999999999</v>
      </c>
      <c r="N1121" s="16">
        <v>10.62313</v>
      </c>
      <c r="O1121" s="16">
        <v>5.3521979999999996</v>
      </c>
      <c r="P1121" s="17">
        <v>9.646782</v>
      </c>
      <c r="Q1121" s="17">
        <v>11.70626</v>
      </c>
      <c r="R1121" s="17">
        <v>6.5653410000000001</v>
      </c>
      <c r="S1121" s="17">
        <v>14.475379999999999</v>
      </c>
      <c r="AP1121" s="35"/>
      <c r="AQ1121" s="35"/>
      <c r="AR1121" s="35"/>
      <c r="AS1121" s="35"/>
    </row>
    <row r="1122" spans="2:45" x14ac:dyDescent="0.2">
      <c r="B1122" s="2">
        <v>43481.640682870369</v>
      </c>
      <c r="C1122" s="5">
        <f t="shared" si="116"/>
        <v>21.33333247999995</v>
      </c>
      <c r="D1122" s="14">
        <v>7.5358859999999996</v>
      </c>
      <c r="E1122" s="14">
        <v>8.2567979999999999</v>
      </c>
      <c r="F1122" s="14">
        <v>5.7743549999999999</v>
      </c>
      <c r="G1122" s="14">
        <v>5.100625</v>
      </c>
      <c r="H1122" s="15">
        <v>6.2898209999999999</v>
      </c>
      <c r="I1122" s="15">
        <v>3.7114389999999999</v>
      </c>
      <c r="J1122" s="15">
        <v>17.43561</v>
      </c>
      <c r="K1122" s="15">
        <v>6.282438</v>
      </c>
      <c r="L1122" s="16">
        <v>5.464734</v>
      </c>
      <c r="M1122" s="16">
        <v>10.201219999999999</v>
      </c>
      <c r="N1122" s="16">
        <v>10.64687</v>
      </c>
      <c r="O1122" s="16">
        <v>5.3521979999999996</v>
      </c>
      <c r="P1122" s="17">
        <v>9.6493570000000002</v>
      </c>
      <c r="Q1122" s="17">
        <v>11.707789999999999</v>
      </c>
      <c r="R1122" s="17">
        <v>6.5672009999999998</v>
      </c>
      <c r="S1122" s="17">
        <v>14.47681</v>
      </c>
      <c r="AP1122" s="35"/>
      <c r="AQ1122" s="35"/>
      <c r="AR1122" s="35"/>
      <c r="AS1122" s="35"/>
    </row>
    <row r="1123" spans="2:45" x14ac:dyDescent="0.2">
      <c r="B1123" s="2">
        <v>43481.644155092596</v>
      </c>
      <c r="C1123" s="5">
        <f t="shared" si="116"/>
        <v>21.416665809999948</v>
      </c>
      <c r="D1123" s="14">
        <v>7.5358859999999996</v>
      </c>
      <c r="E1123" s="14">
        <v>8.2676700000000007</v>
      </c>
      <c r="F1123" s="14">
        <v>5.7840829999999999</v>
      </c>
      <c r="G1123" s="14">
        <v>5.100625</v>
      </c>
      <c r="H1123" s="15">
        <v>6.2906789999999999</v>
      </c>
      <c r="I1123" s="15">
        <v>3.7125119999999998</v>
      </c>
      <c r="J1123" s="15">
        <v>17.45335</v>
      </c>
      <c r="K1123" s="15">
        <v>6.282438</v>
      </c>
      <c r="L1123" s="16">
        <v>5.481471</v>
      </c>
      <c r="M1123" s="16">
        <v>10.201219999999999</v>
      </c>
      <c r="N1123" s="16">
        <v>10.67062</v>
      </c>
      <c r="O1123" s="16">
        <v>5.3521979999999996</v>
      </c>
      <c r="P1123" s="17">
        <v>9.6519320000000004</v>
      </c>
      <c r="Q1123" s="17">
        <v>11.710649999999999</v>
      </c>
      <c r="R1123" s="17">
        <v>6.5690600000000003</v>
      </c>
      <c r="S1123" s="17">
        <v>14.47824</v>
      </c>
      <c r="AP1123" s="35"/>
      <c r="AQ1123" s="35"/>
      <c r="AR1123" s="35"/>
      <c r="AS1123" s="35"/>
    </row>
    <row r="1124" spans="2:45" x14ac:dyDescent="0.2">
      <c r="B1124" s="2">
        <v>43481.647627314815</v>
      </c>
      <c r="C1124" s="5">
        <f t="shared" si="116"/>
        <v>21.499999139999947</v>
      </c>
      <c r="D1124" s="14">
        <v>7.5358859999999996</v>
      </c>
      <c r="E1124" s="14">
        <v>8.2785419999999998</v>
      </c>
      <c r="F1124" s="14">
        <v>5.7938099999999997</v>
      </c>
      <c r="G1124" s="14">
        <v>5.100625</v>
      </c>
      <c r="H1124" s="15">
        <v>6.2915380000000001</v>
      </c>
      <c r="I1124" s="15">
        <v>3.713584</v>
      </c>
      <c r="J1124" s="15">
        <v>17.47109</v>
      </c>
      <c r="K1124" s="15">
        <v>6.282438</v>
      </c>
      <c r="L1124" s="16">
        <v>5.498208</v>
      </c>
      <c r="M1124" s="16">
        <v>10.201219999999999</v>
      </c>
      <c r="N1124" s="16">
        <v>10.69436</v>
      </c>
      <c r="O1124" s="16">
        <v>5.3521979999999996</v>
      </c>
      <c r="P1124" s="17">
        <v>9.6545070000000006</v>
      </c>
      <c r="Q1124" s="17">
        <v>11.713509999999999</v>
      </c>
      <c r="R1124" s="17">
        <v>6.5709200000000001</v>
      </c>
      <c r="S1124" s="17">
        <v>14.47967</v>
      </c>
      <c r="AP1124" s="35"/>
      <c r="AQ1124" s="35"/>
      <c r="AR1124" s="35"/>
      <c r="AS1124" s="35"/>
    </row>
    <row r="1125" spans="2:45" x14ac:dyDescent="0.2">
      <c r="B1125" s="2">
        <v>43481.651099537034</v>
      </c>
      <c r="C1125" s="5">
        <f t="shared" si="116"/>
        <v>21.583332469999945</v>
      </c>
      <c r="D1125" s="14">
        <v>7.5358859999999996</v>
      </c>
      <c r="E1125" s="14">
        <v>8.2894129999999997</v>
      </c>
      <c r="F1125" s="14">
        <v>5.8035379999999996</v>
      </c>
      <c r="G1125" s="14">
        <v>5.100625</v>
      </c>
      <c r="H1125" s="15">
        <v>6.2923960000000001</v>
      </c>
      <c r="I1125" s="15">
        <v>3.7146569999999999</v>
      </c>
      <c r="J1125" s="15">
        <v>17.48883</v>
      </c>
      <c r="K1125" s="15">
        <v>6.282438</v>
      </c>
      <c r="L1125" s="16">
        <v>5.514945</v>
      </c>
      <c r="M1125" s="16">
        <v>10.201219999999999</v>
      </c>
      <c r="N1125" s="16">
        <v>10.718109999999999</v>
      </c>
      <c r="O1125" s="16">
        <v>5.3521979999999996</v>
      </c>
      <c r="P1125" s="17">
        <v>9.6570820000000008</v>
      </c>
      <c r="Q1125" s="17">
        <v>11.71529</v>
      </c>
      <c r="R1125" s="17">
        <v>6.5727799999999998</v>
      </c>
      <c r="S1125" s="17">
        <v>14.4811</v>
      </c>
      <c r="AP1125" s="35"/>
      <c r="AQ1125" s="35"/>
      <c r="AR1125" s="35"/>
      <c r="AS1125" s="35"/>
    </row>
    <row r="1126" spans="2:45" x14ac:dyDescent="0.2">
      <c r="B1126" s="2">
        <v>43481.65457175926</v>
      </c>
      <c r="C1126" s="5">
        <f t="shared" si="116"/>
        <v>21.666665799999944</v>
      </c>
      <c r="D1126" s="14">
        <v>7.5358859999999996</v>
      </c>
      <c r="E1126" s="14">
        <v>8.3002850000000006</v>
      </c>
      <c r="F1126" s="14">
        <v>5.8132650000000003</v>
      </c>
      <c r="G1126" s="14">
        <v>5.100625</v>
      </c>
      <c r="H1126" s="15">
        <v>6.2932540000000001</v>
      </c>
      <c r="I1126" s="15">
        <v>3.7157300000000002</v>
      </c>
      <c r="J1126" s="15">
        <v>17.50657</v>
      </c>
      <c r="K1126" s="15">
        <v>6.2842840000000004</v>
      </c>
      <c r="L1126" s="16">
        <v>5.531682</v>
      </c>
      <c r="M1126" s="16">
        <v>10.201219999999999</v>
      </c>
      <c r="N1126" s="16">
        <v>10.741860000000001</v>
      </c>
      <c r="O1126" s="16">
        <v>5.3521979999999996</v>
      </c>
      <c r="P1126" s="17">
        <v>9.6596569999999993</v>
      </c>
      <c r="Q1126" s="17">
        <v>11.723050000000001</v>
      </c>
      <c r="R1126" s="17">
        <v>6.5746390000000003</v>
      </c>
      <c r="S1126" s="17">
        <v>14.48265</v>
      </c>
      <c r="AP1126" s="35"/>
      <c r="AQ1126" s="35"/>
      <c r="AR1126" s="35"/>
      <c r="AS1126" s="35"/>
    </row>
    <row r="1127" spans="2:45" x14ac:dyDescent="0.2">
      <c r="B1127" s="2">
        <v>43481.658043981479</v>
      </c>
      <c r="C1127" s="5">
        <f t="shared" si="116"/>
        <v>21.749999129999942</v>
      </c>
      <c r="D1127" s="14">
        <v>7.5358859999999996</v>
      </c>
      <c r="E1127" s="14">
        <v>8.3111569999999997</v>
      </c>
      <c r="F1127" s="14">
        <v>5.8229930000000003</v>
      </c>
      <c r="G1127" s="14">
        <v>5.100625</v>
      </c>
      <c r="H1127" s="15">
        <v>6.2941130000000003</v>
      </c>
      <c r="I1127" s="15">
        <v>3.7168030000000001</v>
      </c>
      <c r="J1127" s="15">
        <v>17.5243</v>
      </c>
      <c r="K1127" s="15">
        <v>6.2862859999999996</v>
      </c>
      <c r="L1127" s="16">
        <v>5.548419</v>
      </c>
      <c r="M1127" s="16">
        <v>10.201219999999999</v>
      </c>
      <c r="N1127" s="16">
        <v>10.765599999999999</v>
      </c>
      <c r="O1127" s="16">
        <v>5.3521979999999996</v>
      </c>
      <c r="P1127" s="17">
        <v>9.6622310000000002</v>
      </c>
      <c r="Q1127" s="17">
        <v>11.736499999999999</v>
      </c>
      <c r="R1127" s="17">
        <v>6.5764990000000001</v>
      </c>
      <c r="S1127" s="17">
        <v>14.49123</v>
      </c>
      <c r="AP1127" s="35"/>
      <c r="AQ1127" s="35"/>
      <c r="AR1127" s="35"/>
      <c r="AS1127" s="35"/>
    </row>
    <row r="1128" spans="2:45" x14ac:dyDescent="0.2">
      <c r="B1128" s="2">
        <v>43481.661516203705</v>
      </c>
      <c r="C1128" s="5">
        <f t="shared" si="116"/>
        <v>21.833332459999941</v>
      </c>
      <c r="D1128" s="14">
        <v>7.5358859999999996</v>
      </c>
      <c r="E1128" s="14">
        <v>8.3220290000000006</v>
      </c>
      <c r="F1128" s="14">
        <v>5.8327200000000001</v>
      </c>
      <c r="G1128" s="14">
        <v>5.100625</v>
      </c>
      <c r="H1128" s="15">
        <v>6.2949710000000003</v>
      </c>
      <c r="I1128" s="15">
        <v>3.717876</v>
      </c>
      <c r="J1128" s="15">
        <v>17.54204</v>
      </c>
      <c r="K1128" s="15">
        <v>6.2882889999999998</v>
      </c>
      <c r="L1128" s="16">
        <v>5.565156</v>
      </c>
      <c r="M1128" s="16">
        <v>10.201219999999999</v>
      </c>
      <c r="N1128" s="16">
        <v>10.789350000000001</v>
      </c>
      <c r="O1128" s="16">
        <v>5.3521979999999996</v>
      </c>
      <c r="P1128" s="17">
        <v>9.6648060000000005</v>
      </c>
      <c r="Q1128" s="17">
        <v>11.74994</v>
      </c>
      <c r="R1128" s="17">
        <v>6.5783589999999998</v>
      </c>
      <c r="S1128" s="17">
        <v>14.49981</v>
      </c>
      <c r="AP1128" s="35"/>
      <c r="AQ1128" s="35"/>
      <c r="AR1128" s="35"/>
      <c r="AS1128" s="35"/>
    </row>
    <row r="1129" spans="2:45" x14ac:dyDescent="0.2">
      <c r="B1129" s="2">
        <v>43481.664988425924</v>
      </c>
      <c r="C1129" s="5">
        <f t="shared" si="116"/>
        <v>21.916665789999939</v>
      </c>
      <c r="D1129" s="14">
        <v>7.5358859999999996</v>
      </c>
      <c r="E1129" s="14">
        <v>8.3329009999999997</v>
      </c>
      <c r="F1129" s="14">
        <v>5.8424480000000001</v>
      </c>
      <c r="G1129" s="14">
        <v>5.100625</v>
      </c>
      <c r="H1129" s="15">
        <v>6.2958290000000003</v>
      </c>
      <c r="I1129" s="15">
        <v>3.7189489999999998</v>
      </c>
      <c r="J1129" s="15">
        <v>17.55978</v>
      </c>
      <c r="K1129" s="15">
        <v>6.290292</v>
      </c>
      <c r="L1129" s="16">
        <v>5.581893</v>
      </c>
      <c r="M1129" s="16">
        <v>10.201219999999999</v>
      </c>
      <c r="N1129" s="16">
        <v>10.8131</v>
      </c>
      <c r="O1129" s="16">
        <v>5.3521979999999996</v>
      </c>
      <c r="P1129" s="17">
        <v>9.6673810000000007</v>
      </c>
      <c r="Q1129" s="17">
        <v>11.763389999999999</v>
      </c>
      <c r="R1129" s="17">
        <v>6.5802180000000003</v>
      </c>
      <c r="S1129" s="17">
        <v>14.5084</v>
      </c>
      <c r="AP1129" s="35"/>
      <c r="AQ1129" s="35"/>
      <c r="AR1129" s="35"/>
      <c r="AS1129" s="35"/>
    </row>
    <row r="1130" spans="2:45" x14ac:dyDescent="0.2">
      <c r="B1130" s="2">
        <v>43481.66846064815</v>
      </c>
      <c r="C1130" s="5">
        <f t="shared" si="116"/>
        <v>21.999999119999938</v>
      </c>
      <c r="D1130" s="14">
        <v>7.5358859999999996</v>
      </c>
      <c r="E1130" s="14">
        <v>8.3437730000000006</v>
      </c>
      <c r="F1130" s="14">
        <v>5.8521749999999999</v>
      </c>
      <c r="G1130" s="14">
        <v>5.100625</v>
      </c>
      <c r="H1130" s="15">
        <v>6.2966879999999996</v>
      </c>
      <c r="I1130" s="15">
        <v>3.7200220000000002</v>
      </c>
      <c r="J1130" s="15">
        <v>17.57752</v>
      </c>
      <c r="K1130" s="15">
        <v>6.2922950000000002</v>
      </c>
      <c r="L1130" s="16">
        <v>5.59863</v>
      </c>
      <c r="M1130" s="16">
        <v>10.201219999999999</v>
      </c>
      <c r="N1130" s="16">
        <v>10.83684</v>
      </c>
      <c r="O1130" s="16">
        <v>5.3521979999999996</v>
      </c>
      <c r="P1130" s="17">
        <v>9.6699560000000009</v>
      </c>
      <c r="Q1130" s="17">
        <v>11.77684</v>
      </c>
      <c r="R1130" s="17">
        <v>6.5820780000000001</v>
      </c>
      <c r="S1130" s="17">
        <v>14.51698</v>
      </c>
      <c r="V1130" s="25">
        <v>22</v>
      </c>
      <c r="W1130">
        <f>AVERAGE(D1119:D1130)</f>
        <v>7.5358860000000005</v>
      </c>
      <c r="X1130">
        <f t="shared" ref="X1130:AL1130" si="120">AVERAGE(E1119:E1130)</f>
        <v>8.2839775000000007</v>
      </c>
      <c r="Y1130">
        <f t="shared" si="120"/>
        <v>5.7986739999999992</v>
      </c>
      <c r="Z1130">
        <f t="shared" si="120"/>
        <v>5.100625</v>
      </c>
      <c r="AA1130">
        <f t="shared" si="120"/>
        <v>6.2919669166666674</v>
      </c>
      <c r="AB1130">
        <f t="shared" si="120"/>
        <v>3.7141209166666669</v>
      </c>
      <c r="AC1130">
        <f t="shared" si="120"/>
        <v>17.479958333333332</v>
      </c>
      <c r="AD1130">
        <f t="shared" si="120"/>
        <v>6.2848759999999997</v>
      </c>
      <c r="AE1130">
        <f t="shared" si="120"/>
        <v>5.5065765000000004</v>
      </c>
      <c r="AF1130">
        <f t="shared" si="120"/>
        <v>10.201220000000001</v>
      </c>
      <c r="AG1130">
        <f t="shared" si="120"/>
        <v>10.709938333333334</v>
      </c>
      <c r="AH1130">
        <f t="shared" si="120"/>
        <v>5.3521980000000005</v>
      </c>
      <c r="AI1130">
        <f t="shared" si="120"/>
        <v>9.6557941666666682</v>
      </c>
      <c r="AJ1130">
        <f t="shared" si="120"/>
        <v>11.726311666666666</v>
      </c>
      <c r="AK1130">
        <f t="shared" si="120"/>
        <v>6.5718498333333342</v>
      </c>
      <c r="AL1130">
        <f t="shared" si="120"/>
        <v>14.485314999999998</v>
      </c>
      <c r="AO1130" s="25">
        <v>22</v>
      </c>
      <c r="AP1130" s="35">
        <f>AVERAGE(W1130:Z1130)</f>
        <v>6.6797906249999999</v>
      </c>
      <c r="AQ1130" s="35">
        <f>AVERAGE(AA1130:AD1130)</f>
        <v>8.4427305416666663</v>
      </c>
      <c r="AR1130" s="35">
        <f>AVERAGE(AE1130:AH1130)</f>
        <v>7.9424832083333339</v>
      </c>
      <c r="AS1130" s="35">
        <f>AVERAGE(AI1130:AL1130)</f>
        <v>10.609817666666666</v>
      </c>
    </row>
    <row r="1131" spans="2:45" x14ac:dyDescent="0.2">
      <c r="B1131" s="2">
        <v>43481.671932870369</v>
      </c>
      <c r="C1131" s="5">
        <f t="shared" si="116"/>
        <v>22.083332449999936</v>
      </c>
      <c r="D1131" s="14">
        <v>7.5358859999999996</v>
      </c>
      <c r="E1131" s="14">
        <v>8.3546449999999997</v>
      </c>
      <c r="F1131" s="14">
        <v>5.8619029999999999</v>
      </c>
      <c r="G1131" s="14">
        <v>5.100625</v>
      </c>
      <c r="H1131" s="15">
        <v>6.2975459999999996</v>
      </c>
      <c r="I1131" s="15">
        <v>3.721095</v>
      </c>
      <c r="J1131" s="15">
        <v>17.59526</v>
      </c>
      <c r="K1131" s="15">
        <v>6.2942970000000003</v>
      </c>
      <c r="L1131" s="16">
        <v>5.615367</v>
      </c>
      <c r="M1131" s="16">
        <v>10.201219999999999</v>
      </c>
      <c r="N1131" s="16">
        <v>10.86059</v>
      </c>
      <c r="O1131" s="16">
        <v>5.3521979999999996</v>
      </c>
      <c r="P1131" s="17">
        <v>9.6725309999999993</v>
      </c>
      <c r="Q1131" s="17">
        <v>11.790279999999999</v>
      </c>
      <c r="R1131" s="17">
        <v>6.5839379999999998</v>
      </c>
      <c r="S1131" s="17">
        <v>14.52556</v>
      </c>
      <c r="AP1131" s="35"/>
      <c r="AQ1131" s="35"/>
      <c r="AR1131" s="35"/>
      <c r="AS1131" s="35"/>
    </row>
    <row r="1132" spans="2:45" x14ac:dyDescent="0.2">
      <c r="B1132" s="2">
        <v>43481.675405092596</v>
      </c>
      <c r="C1132" s="5">
        <f t="shared" si="116"/>
        <v>22.166665779999935</v>
      </c>
      <c r="D1132" s="14">
        <v>7.5358859999999996</v>
      </c>
      <c r="E1132" s="14">
        <v>8.3655170000000005</v>
      </c>
      <c r="F1132" s="14">
        <v>5.8716299999999997</v>
      </c>
      <c r="G1132" s="14">
        <v>5.100625</v>
      </c>
      <c r="H1132" s="15">
        <v>6.2984039999999997</v>
      </c>
      <c r="I1132" s="15">
        <v>3.7221669999999998</v>
      </c>
      <c r="J1132" s="15">
        <v>17.613</v>
      </c>
      <c r="K1132" s="15">
        <v>6.2962999999999996</v>
      </c>
      <c r="L1132" s="16">
        <v>5.632104</v>
      </c>
      <c r="M1132" s="16">
        <v>10.201219999999999</v>
      </c>
      <c r="N1132" s="16">
        <v>10.88434</v>
      </c>
      <c r="O1132" s="16">
        <v>5.3521979999999996</v>
      </c>
      <c r="P1132" s="17">
        <v>9.6751059999999995</v>
      </c>
      <c r="Q1132" s="17">
        <v>11.80373</v>
      </c>
      <c r="R1132" s="17">
        <v>6.5857970000000003</v>
      </c>
      <c r="S1132" s="17">
        <v>14.53415</v>
      </c>
      <c r="AP1132" s="35"/>
      <c r="AQ1132" s="35"/>
      <c r="AR1132" s="35"/>
      <c r="AS1132" s="35"/>
    </row>
    <row r="1133" spans="2:45" x14ac:dyDescent="0.2">
      <c r="B1133" s="2">
        <v>43481.678877314815</v>
      </c>
      <c r="C1133" s="5">
        <f t="shared" si="116"/>
        <v>22.249999109999933</v>
      </c>
      <c r="D1133" s="14">
        <v>7.5358859999999996</v>
      </c>
      <c r="E1133" s="14">
        <v>8.3763889999999996</v>
      </c>
      <c r="F1133" s="14">
        <v>5.8813579999999996</v>
      </c>
      <c r="G1133" s="14">
        <v>5.100625</v>
      </c>
      <c r="H1133" s="15">
        <v>6.2992629999999998</v>
      </c>
      <c r="I1133" s="15">
        <v>3.7232400000000001</v>
      </c>
      <c r="J1133" s="15">
        <v>17.63073</v>
      </c>
      <c r="K1133" s="15">
        <v>6.2983029999999998</v>
      </c>
      <c r="L1133" s="16">
        <v>5.648841</v>
      </c>
      <c r="M1133" s="16">
        <v>10.201219999999999</v>
      </c>
      <c r="N1133" s="16">
        <v>10.90808</v>
      </c>
      <c r="O1133" s="16">
        <v>5.3521979999999996</v>
      </c>
      <c r="P1133" s="17">
        <v>9.6776809999999998</v>
      </c>
      <c r="Q1133" s="17">
        <v>11.81718</v>
      </c>
      <c r="R1133" s="17">
        <v>6.5876570000000001</v>
      </c>
      <c r="S1133" s="17">
        <v>14.535600000000001</v>
      </c>
      <c r="AP1133" s="35"/>
      <c r="AQ1133" s="35"/>
      <c r="AR1133" s="35"/>
      <c r="AS1133" s="35"/>
    </row>
    <row r="1134" spans="2:45" x14ac:dyDescent="0.2">
      <c r="B1134" s="2">
        <v>43481.682349537034</v>
      </c>
      <c r="C1134" s="5">
        <f t="shared" si="116"/>
        <v>22.333332439999932</v>
      </c>
      <c r="D1134" s="14">
        <v>7.5358859999999996</v>
      </c>
      <c r="E1134" s="14">
        <v>8.3872599999999995</v>
      </c>
      <c r="F1134" s="14">
        <v>5.8910850000000003</v>
      </c>
      <c r="G1134" s="14">
        <v>5.100625</v>
      </c>
      <c r="H1134" s="15">
        <v>6.3001209999999999</v>
      </c>
      <c r="I1134" s="15">
        <v>3.724313</v>
      </c>
      <c r="J1134" s="15">
        <v>17.64847</v>
      </c>
      <c r="K1134" s="15">
        <v>6.3003049999999998</v>
      </c>
      <c r="L1134" s="16">
        <v>5.665578</v>
      </c>
      <c r="M1134" s="16">
        <v>10.201219999999999</v>
      </c>
      <c r="N1134" s="16">
        <v>10.93183</v>
      </c>
      <c r="O1134" s="16">
        <v>5.3521979999999996</v>
      </c>
      <c r="P1134" s="17">
        <v>9.680256</v>
      </c>
      <c r="Q1134" s="17">
        <v>11.83062</v>
      </c>
      <c r="R1134" s="17">
        <v>6.5895169999999998</v>
      </c>
      <c r="S1134" s="17">
        <v>14.535600000000001</v>
      </c>
      <c r="AP1134" s="35"/>
      <c r="AQ1134" s="35"/>
      <c r="AR1134" s="35"/>
      <c r="AS1134" s="35"/>
    </row>
    <row r="1135" spans="2:45" x14ac:dyDescent="0.2">
      <c r="B1135" s="2">
        <v>43481.68582175926</v>
      </c>
      <c r="C1135" s="5">
        <f t="shared" si="116"/>
        <v>22.416665769999931</v>
      </c>
      <c r="D1135" s="14">
        <v>7.5358859999999996</v>
      </c>
      <c r="E1135" s="14">
        <v>8.3981320000000004</v>
      </c>
      <c r="F1135" s="14">
        <v>5.9008130000000003</v>
      </c>
      <c r="G1135" s="14">
        <v>5.100625</v>
      </c>
      <c r="H1135" s="15">
        <v>6.3009789999999999</v>
      </c>
      <c r="I1135" s="15">
        <v>3.7253859999999999</v>
      </c>
      <c r="J1135" s="15">
        <v>17.66621</v>
      </c>
      <c r="K1135" s="15">
        <v>6.302308</v>
      </c>
      <c r="L1135" s="16">
        <v>5.682315</v>
      </c>
      <c r="M1135" s="16">
        <v>10.201219999999999</v>
      </c>
      <c r="N1135" s="16">
        <v>10.955579999999999</v>
      </c>
      <c r="O1135" s="16">
        <v>5.3521979999999996</v>
      </c>
      <c r="P1135" s="17">
        <v>9.6828310000000002</v>
      </c>
      <c r="Q1135" s="17">
        <v>11.84407</v>
      </c>
      <c r="R1135" s="17">
        <v>6.5913760000000003</v>
      </c>
      <c r="S1135" s="17">
        <v>14.535600000000001</v>
      </c>
      <c r="AP1135" s="35"/>
      <c r="AQ1135" s="35"/>
      <c r="AR1135" s="35"/>
      <c r="AS1135" s="35"/>
    </row>
    <row r="1136" spans="2:45" x14ac:dyDescent="0.2">
      <c r="B1136" s="2">
        <v>43481.689293981479</v>
      </c>
      <c r="C1136" s="5">
        <f t="shared" si="116"/>
        <v>22.499999099999929</v>
      </c>
      <c r="D1136" s="14">
        <v>7.5358859999999996</v>
      </c>
      <c r="E1136" s="14">
        <v>8.4090039999999995</v>
      </c>
      <c r="F1136" s="14">
        <v>5.9105400000000001</v>
      </c>
      <c r="G1136" s="14">
        <v>5.100625</v>
      </c>
      <c r="H1136" s="15">
        <v>6.3018369999999999</v>
      </c>
      <c r="I1136" s="15">
        <v>3.7264590000000002</v>
      </c>
      <c r="J1136" s="15">
        <v>17.66911</v>
      </c>
      <c r="K1136" s="15">
        <v>6.3043110000000002</v>
      </c>
      <c r="L1136" s="16">
        <v>5.699052</v>
      </c>
      <c r="M1136" s="16">
        <v>10.201219999999999</v>
      </c>
      <c r="N1136" s="16">
        <v>10.97932</v>
      </c>
      <c r="O1136" s="16">
        <v>5.3521979999999996</v>
      </c>
      <c r="P1136" s="17">
        <v>9.6854060000000004</v>
      </c>
      <c r="Q1136" s="17">
        <v>11.857519999999999</v>
      </c>
      <c r="R1136" s="17">
        <v>6.5932360000000001</v>
      </c>
      <c r="S1136" s="17">
        <v>14.535600000000001</v>
      </c>
      <c r="AP1136" s="35"/>
      <c r="AQ1136" s="35"/>
      <c r="AR1136" s="35"/>
      <c r="AS1136" s="35"/>
    </row>
    <row r="1137" spans="2:45" x14ac:dyDescent="0.2">
      <c r="B1137" s="2">
        <v>43481.692766203705</v>
      </c>
      <c r="C1137" s="5">
        <f t="shared" si="116"/>
        <v>22.583332429999928</v>
      </c>
      <c r="D1137" s="14">
        <v>7.5358859999999996</v>
      </c>
      <c r="E1137" s="14">
        <v>8.4198760000000004</v>
      </c>
      <c r="F1137" s="14">
        <v>5.9202680000000001</v>
      </c>
      <c r="G1137" s="14">
        <v>5.100625</v>
      </c>
      <c r="H1137" s="15">
        <v>6.3026960000000001</v>
      </c>
      <c r="I1137" s="15">
        <v>3.7275320000000001</v>
      </c>
      <c r="J1137" s="15">
        <v>17.68909</v>
      </c>
      <c r="K1137" s="15">
        <v>6.3063140000000004</v>
      </c>
      <c r="L1137" s="16">
        <v>5.715789</v>
      </c>
      <c r="M1137" s="16">
        <v>10.201219999999999</v>
      </c>
      <c r="N1137" s="16">
        <v>11.003069999999999</v>
      </c>
      <c r="O1137" s="16">
        <v>5.3521979999999996</v>
      </c>
      <c r="P1137" s="17">
        <v>9.6879810000000006</v>
      </c>
      <c r="Q1137" s="17">
        <v>11.87096</v>
      </c>
      <c r="R1137" s="17">
        <v>6.5950959999999998</v>
      </c>
      <c r="S1137" s="17">
        <v>14.535600000000001</v>
      </c>
      <c r="AP1137" s="35"/>
      <c r="AQ1137" s="35"/>
      <c r="AR1137" s="35"/>
      <c r="AS1137" s="35"/>
    </row>
    <row r="1138" spans="2:45" x14ac:dyDescent="0.2">
      <c r="B1138" s="2">
        <v>43481.696238425924</v>
      </c>
      <c r="C1138" s="5">
        <f t="shared" si="116"/>
        <v>22.666665759999926</v>
      </c>
      <c r="D1138" s="14">
        <v>7.5358859999999996</v>
      </c>
      <c r="E1138" s="14">
        <v>8.4307479999999995</v>
      </c>
      <c r="F1138" s="14">
        <v>5.9299949999999999</v>
      </c>
      <c r="G1138" s="14">
        <v>5.100625</v>
      </c>
      <c r="H1138" s="15">
        <v>6.3035540000000001</v>
      </c>
      <c r="I1138" s="15">
        <v>3.7286049999999999</v>
      </c>
      <c r="J1138" s="15">
        <v>17.744589999999999</v>
      </c>
      <c r="K1138" s="15">
        <v>6.3083159999999996</v>
      </c>
      <c r="L1138" s="16">
        <v>5.732526</v>
      </c>
      <c r="M1138" s="16">
        <v>10.201219999999999</v>
      </c>
      <c r="N1138" s="16">
        <v>11.026820000000001</v>
      </c>
      <c r="O1138" s="16">
        <v>5.3521979999999996</v>
      </c>
      <c r="P1138" s="17">
        <v>9.6905560000000008</v>
      </c>
      <c r="Q1138" s="17">
        <v>11.884410000000001</v>
      </c>
      <c r="R1138" s="17">
        <v>6.5969550000000003</v>
      </c>
      <c r="S1138" s="17">
        <v>14.535600000000001</v>
      </c>
      <c r="AP1138" s="35"/>
      <c r="AQ1138" s="35"/>
      <c r="AR1138" s="35"/>
      <c r="AS1138" s="35"/>
    </row>
    <row r="1139" spans="2:45" x14ac:dyDescent="0.2">
      <c r="B1139" s="2">
        <v>43481.69971064815</v>
      </c>
      <c r="C1139" s="5">
        <f t="shared" si="116"/>
        <v>22.749999089999925</v>
      </c>
      <c r="D1139" s="14">
        <v>7.5358859999999996</v>
      </c>
      <c r="E1139" s="14">
        <v>8.4416200000000003</v>
      </c>
      <c r="F1139" s="14">
        <v>5.9397229999999999</v>
      </c>
      <c r="G1139" s="14">
        <v>5.100625</v>
      </c>
      <c r="H1139" s="15">
        <v>6.3038559999999997</v>
      </c>
      <c r="I1139" s="15">
        <v>3.7296779999999998</v>
      </c>
      <c r="J1139" s="15">
        <v>17.8001</v>
      </c>
      <c r="K1139" s="15">
        <v>6.3103189999999998</v>
      </c>
      <c r="L1139" s="16">
        <v>5.749263</v>
      </c>
      <c r="M1139" s="16">
        <v>10.201219999999999</v>
      </c>
      <c r="N1139" s="16">
        <v>11.050560000000001</v>
      </c>
      <c r="O1139" s="16">
        <v>5.3521979999999996</v>
      </c>
      <c r="P1139" s="17">
        <v>9.69313</v>
      </c>
      <c r="Q1139" s="17">
        <v>11.8949</v>
      </c>
      <c r="R1139" s="17">
        <v>6.5988150000000001</v>
      </c>
      <c r="S1139" s="17">
        <v>14.535600000000001</v>
      </c>
      <c r="AP1139" s="35"/>
      <c r="AQ1139" s="35"/>
      <c r="AR1139" s="35"/>
      <c r="AS1139" s="35"/>
    </row>
    <row r="1140" spans="2:45" x14ac:dyDescent="0.2">
      <c r="B1140" s="2">
        <v>43481.703182870369</v>
      </c>
      <c r="C1140" s="5">
        <f t="shared" si="116"/>
        <v>22.833332419999923</v>
      </c>
      <c r="D1140" s="14">
        <v>7.5358859999999996</v>
      </c>
      <c r="E1140" s="14">
        <v>8.4524919999999995</v>
      </c>
      <c r="F1140" s="14">
        <v>5.9494499999999997</v>
      </c>
      <c r="G1140" s="14">
        <v>5.100625</v>
      </c>
      <c r="H1140" s="15">
        <v>6.304068</v>
      </c>
      <c r="I1140" s="15">
        <v>3.7307510000000002</v>
      </c>
      <c r="J1140" s="15">
        <v>17.855599999999999</v>
      </c>
      <c r="K1140" s="15">
        <v>6.312322</v>
      </c>
      <c r="L1140" s="16">
        <v>5.7534470000000004</v>
      </c>
      <c r="M1140" s="16">
        <v>10.201219999999999</v>
      </c>
      <c r="N1140" s="16">
        <v>11.074310000000001</v>
      </c>
      <c r="O1140" s="16">
        <v>5.3521979999999996</v>
      </c>
      <c r="P1140" s="17">
        <v>9.6957050000000002</v>
      </c>
      <c r="Q1140" s="17">
        <v>11.8949</v>
      </c>
      <c r="R1140" s="17">
        <v>6.6006749999999998</v>
      </c>
      <c r="S1140" s="17">
        <v>14.535600000000001</v>
      </c>
      <c r="AP1140" s="35"/>
      <c r="AQ1140" s="35"/>
      <c r="AR1140" s="35"/>
      <c r="AS1140" s="35"/>
    </row>
    <row r="1141" spans="2:45" x14ac:dyDescent="0.2">
      <c r="B1141" s="2">
        <v>43481.706655092596</v>
      </c>
      <c r="C1141" s="5">
        <f t="shared" si="116"/>
        <v>22.916665749999922</v>
      </c>
      <c r="D1141" s="14">
        <v>7.5358859999999996</v>
      </c>
      <c r="E1141" s="14">
        <v>8.4633640000000003</v>
      </c>
      <c r="F1141" s="14">
        <v>5.9591940000000001</v>
      </c>
      <c r="G1141" s="14">
        <v>5.100625</v>
      </c>
      <c r="H1141" s="15">
        <v>6.304354</v>
      </c>
      <c r="I1141" s="15">
        <v>3.7318229999999999</v>
      </c>
      <c r="J1141" s="15">
        <v>17.911100000000001</v>
      </c>
      <c r="K1141" s="15">
        <v>6.314324</v>
      </c>
      <c r="L1141" s="16">
        <v>5.7534470000000004</v>
      </c>
      <c r="M1141" s="16">
        <v>10.201460000000001</v>
      </c>
      <c r="N1141" s="16">
        <v>11.08511</v>
      </c>
      <c r="O1141" s="16">
        <v>5.3521979999999996</v>
      </c>
      <c r="P1141" s="17">
        <v>9.6982800000000005</v>
      </c>
      <c r="Q1141" s="17">
        <v>11.8949</v>
      </c>
      <c r="R1141" s="17">
        <v>6.6025340000000003</v>
      </c>
      <c r="S1141" s="17">
        <v>14.535600000000001</v>
      </c>
      <c r="AP1141" s="35"/>
      <c r="AQ1141" s="35"/>
      <c r="AR1141" s="35"/>
      <c r="AS1141" s="35"/>
    </row>
    <row r="1142" spans="2:45" x14ac:dyDescent="0.2">
      <c r="B1142" s="2">
        <v>43481.710127314815</v>
      </c>
      <c r="C1142" s="5">
        <f t="shared" si="116"/>
        <v>22.99999907999992</v>
      </c>
      <c r="D1142" s="14">
        <v>7.5358859999999996</v>
      </c>
      <c r="E1142" s="14">
        <v>8.4672780000000003</v>
      </c>
      <c r="F1142" s="14">
        <v>5.9591940000000001</v>
      </c>
      <c r="G1142" s="14">
        <v>5.100625</v>
      </c>
      <c r="H1142" s="15">
        <v>6.30464</v>
      </c>
      <c r="I1142" s="15">
        <v>3.7328960000000002</v>
      </c>
      <c r="J1142" s="15">
        <v>17.966609999999999</v>
      </c>
      <c r="K1142" s="15">
        <v>6.3163270000000002</v>
      </c>
      <c r="L1142" s="16">
        <v>5.7534470000000004</v>
      </c>
      <c r="M1142" s="16">
        <v>10.222569999999999</v>
      </c>
      <c r="N1142" s="16">
        <v>11.08511</v>
      </c>
      <c r="O1142" s="16">
        <v>5.3521979999999996</v>
      </c>
      <c r="P1142" s="17">
        <v>9.7008550000000007</v>
      </c>
      <c r="Q1142" s="17">
        <v>11.8949</v>
      </c>
      <c r="R1142" s="17">
        <v>6.6043940000000001</v>
      </c>
      <c r="S1142" s="17">
        <v>14.535600000000001</v>
      </c>
      <c r="V1142" s="25">
        <v>23</v>
      </c>
      <c r="W1142">
        <f>AVERAGE(D1131:D1142)</f>
        <v>7.5358860000000005</v>
      </c>
      <c r="X1142">
        <f t="shared" ref="X1142:AL1142" si="121">AVERAGE(E1131:E1142)</f>
        <v>8.4138604166666671</v>
      </c>
      <c r="Y1142">
        <f t="shared" si="121"/>
        <v>5.9145960833333326</v>
      </c>
      <c r="Z1142">
        <f t="shared" si="121"/>
        <v>5.100625</v>
      </c>
      <c r="AA1142">
        <f t="shared" si="121"/>
        <v>6.3017764999999999</v>
      </c>
      <c r="AB1142">
        <f t="shared" si="121"/>
        <v>3.7269954166666666</v>
      </c>
      <c r="AC1142">
        <f t="shared" si="121"/>
        <v>17.732489166666667</v>
      </c>
      <c r="AD1142">
        <f t="shared" si="121"/>
        <v>6.3053121666666669</v>
      </c>
      <c r="AE1142">
        <f t="shared" si="121"/>
        <v>5.7000980000000006</v>
      </c>
      <c r="AF1142">
        <f t="shared" si="121"/>
        <v>10.203019166666667</v>
      </c>
      <c r="AG1142">
        <f t="shared" si="121"/>
        <v>10.98706</v>
      </c>
      <c r="AH1142">
        <f t="shared" si="121"/>
        <v>5.3521980000000005</v>
      </c>
      <c r="AI1142">
        <f t="shared" si="121"/>
        <v>9.6866931666666662</v>
      </c>
      <c r="AJ1142">
        <f t="shared" si="121"/>
        <v>11.856530833333336</v>
      </c>
      <c r="AK1142">
        <f t="shared" si="121"/>
        <v>6.5941658333333342</v>
      </c>
      <c r="AL1142">
        <f t="shared" si="121"/>
        <v>14.534642499999997</v>
      </c>
      <c r="AO1142" s="25">
        <v>23</v>
      </c>
      <c r="AP1142" s="35">
        <f>AVERAGE(W1142:Z1142)</f>
        <v>6.7412418750000001</v>
      </c>
      <c r="AQ1142" s="35">
        <f>AVERAGE(AA1142:AD1142)</f>
        <v>8.5166433125000012</v>
      </c>
      <c r="AR1142" s="35">
        <f>AVERAGE(AE1142:AH1142)</f>
        <v>8.0605937916666672</v>
      </c>
      <c r="AS1142" s="35">
        <f>AVERAGE(AI1142:AL1142)</f>
        <v>10.668008083333334</v>
      </c>
    </row>
    <row r="1143" spans="2:45" x14ac:dyDescent="0.2">
      <c r="B1143" s="2">
        <v>43481.713599537034</v>
      </c>
      <c r="C1143" s="5">
        <f t="shared" si="116"/>
        <v>23.083332409999919</v>
      </c>
      <c r="D1143" s="14">
        <v>7.5358859999999996</v>
      </c>
      <c r="E1143" s="14">
        <v>8.4868760000000005</v>
      </c>
      <c r="F1143" s="14">
        <v>5.9711759999999998</v>
      </c>
      <c r="G1143" s="14">
        <v>5.100625</v>
      </c>
      <c r="H1143" s="15">
        <v>6.304748</v>
      </c>
      <c r="I1143" s="15">
        <v>3.7339690000000001</v>
      </c>
      <c r="J1143" s="15">
        <v>18.022110000000001</v>
      </c>
      <c r="K1143" s="15">
        <v>6.3183299999999996</v>
      </c>
      <c r="L1143" s="16">
        <v>5.7534470000000004</v>
      </c>
      <c r="M1143" s="16">
        <v>10.243740000000001</v>
      </c>
      <c r="N1143" s="16">
        <v>11.08511</v>
      </c>
      <c r="O1143" s="16">
        <v>5.3521979999999996</v>
      </c>
      <c r="P1143" s="17">
        <v>9.7034300000000009</v>
      </c>
      <c r="Q1143" s="17">
        <v>11.8949</v>
      </c>
      <c r="R1143" s="17">
        <v>6.6062539999999998</v>
      </c>
      <c r="S1143" s="17">
        <v>14.535600000000001</v>
      </c>
      <c r="AP1143" s="35"/>
      <c r="AQ1143" s="35"/>
      <c r="AR1143" s="35"/>
      <c r="AS1143" s="35"/>
    </row>
    <row r="1144" spans="2:45" x14ac:dyDescent="0.2">
      <c r="B1144" s="2">
        <v>43481.71707175926</v>
      </c>
      <c r="C1144" s="5">
        <f t="shared" si="116"/>
        <v>23.166665739999917</v>
      </c>
      <c r="D1144" s="14">
        <v>7.5358859999999996</v>
      </c>
      <c r="E1144" s="14">
        <v>8.5083330000000004</v>
      </c>
      <c r="F1144" s="14">
        <v>5.9917749999999996</v>
      </c>
      <c r="G1144" s="14">
        <v>5.100625</v>
      </c>
      <c r="H1144" s="15">
        <v>6.304748</v>
      </c>
      <c r="I1144" s="15">
        <v>3.735042</v>
      </c>
      <c r="J1144" s="15">
        <v>18.07762</v>
      </c>
      <c r="K1144" s="15">
        <v>6.3203329999999998</v>
      </c>
      <c r="L1144" s="16">
        <v>5.7534470000000004</v>
      </c>
      <c r="M1144" s="16">
        <v>10.26491</v>
      </c>
      <c r="N1144" s="16">
        <v>11.086259999999999</v>
      </c>
      <c r="O1144" s="16">
        <v>5.3521979999999996</v>
      </c>
      <c r="P1144" s="17">
        <v>9.7060049999999993</v>
      </c>
      <c r="Q1144" s="17">
        <v>11.8949</v>
      </c>
      <c r="R1144" s="17">
        <v>6.6081130000000003</v>
      </c>
      <c r="S1144" s="17">
        <v>14.535600000000001</v>
      </c>
      <c r="AP1144" s="35"/>
      <c r="AQ1144" s="35"/>
      <c r="AR1144" s="35"/>
      <c r="AS1144" s="35"/>
    </row>
    <row r="1145" spans="2:45" x14ac:dyDescent="0.2">
      <c r="B1145" s="2">
        <v>43481.720543981479</v>
      </c>
      <c r="C1145" s="5">
        <f t="shared" si="116"/>
        <v>23.249999069999916</v>
      </c>
      <c r="D1145" s="14">
        <v>7.5358859999999996</v>
      </c>
      <c r="E1145" s="14">
        <v>8.5297909999999995</v>
      </c>
      <c r="F1145" s="14">
        <v>6.0123740000000003</v>
      </c>
      <c r="G1145" s="14">
        <v>5.100625</v>
      </c>
      <c r="H1145" s="15">
        <v>6.304748</v>
      </c>
      <c r="I1145" s="15">
        <v>3.7361149999999999</v>
      </c>
      <c r="J1145" s="15">
        <v>18.133120000000002</v>
      </c>
      <c r="K1145" s="15">
        <v>6.3223349999999998</v>
      </c>
      <c r="L1145" s="16">
        <v>5.7534470000000004</v>
      </c>
      <c r="M1145" s="16">
        <v>10.28608</v>
      </c>
      <c r="N1145" s="16">
        <v>11.10486</v>
      </c>
      <c r="O1145" s="16">
        <v>5.3521979999999996</v>
      </c>
      <c r="P1145" s="17">
        <v>9.7085799999999995</v>
      </c>
      <c r="Q1145" s="17">
        <v>11.8949</v>
      </c>
      <c r="R1145" s="17">
        <v>6.6099730000000001</v>
      </c>
      <c r="S1145" s="17">
        <v>14.535600000000001</v>
      </c>
      <c r="AP1145" s="35"/>
      <c r="AQ1145" s="35"/>
      <c r="AR1145" s="35"/>
      <c r="AS1145" s="35"/>
    </row>
    <row r="1146" spans="2:45" x14ac:dyDescent="0.2">
      <c r="B1146" s="2">
        <v>43481.724016203705</v>
      </c>
      <c r="C1146" s="5">
        <f t="shared" si="116"/>
        <v>23.333332399999914</v>
      </c>
      <c r="D1146" s="14">
        <v>7.5358859999999996</v>
      </c>
      <c r="E1146" s="14">
        <v>8.5324369999999998</v>
      </c>
      <c r="F1146" s="14">
        <v>6.0329740000000003</v>
      </c>
      <c r="G1146" s="14">
        <v>5.1042550000000002</v>
      </c>
      <c r="H1146" s="15">
        <v>6.304748</v>
      </c>
      <c r="I1146" s="15">
        <v>3.7371880000000002</v>
      </c>
      <c r="J1146" s="15">
        <v>18.18862</v>
      </c>
      <c r="K1146" s="15">
        <v>6.324338</v>
      </c>
      <c r="L1146" s="16">
        <v>5.7534470000000004</v>
      </c>
      <c r="M1146" s="16">
        <v>10.30725</v>
      </c>
      <c r="N1146" s="16">
        <v>11.12345</v>
      </c>
      <c r="O1146" s="16">
        <v>5.3521979999999996</v>
      </c>
      <c r="P1146" s="17">
        <v>9.7111549999999998</v>
      </c>
      <c r="Q1146" s="17">
        <v>11.8949</v>
      </c>
      <c r="R1146" s="17">
        <v>6.6118329999999998</v>
      </c>
      <c r="S1146" s="17">
        <v>14.535600000000001</v>
      </c>
      <c r="AP1146" s="35"/>
      <c r="AQ1146" s="35"/>
      <c r="AR1146" s="35"/>
      <c r="AS1146" s="35"/>
    </row>
    <row r="1147" spans="2:45" x14ac:dyDescent="0.2">
      <c r="B1147" s="2">
        <v>43481.727488425924</v>
      </c>
      <c r="C1147" s="5">
        <f t="shared" si="116"/>
        <v>23.416665729999913</v>
      </c>
      <c r="D1147" s="14">
        <v>7.5358859999999996</v>
      </c>
      <c r="E1147" s="14">
        <v>8.5336440000000007</v>
      </c>
      <c r="F1147" s="14">
        <v>6.0535730000000001</v>
      </c>
      <c r="G1147" s="14">
        <v>5.1092620000000002</v>
      </c>
      <c r="H1147" s="15">
        <v>6.304748</v>
      </c>
      <c r="I1147" s="15">
        <v>3.7382610000000001</v>
      </c>
      <c r="J1147" s="15">
        <v>18.230619999999998</v>
      </c>
      <c r="K1147" s="15">
        <v>6.3263410000000002</v>
      </c>
      <c r="L1147" s="16">
        <v>5.7534470000000004</v>
      </c>
      <c r="M1147" s="16">
        <v>10.328430000000001</v>
      </c>
      <c r="N1147" s="16">
        <v>11.142049999999999</v>
      </c>
      <c r="O1147" s="16">
        <v>5.3521979999999996</v>
      </c>
      <c r="P1147" s="17">
        <v>9.71373</v>
      </c>
      <c r="Q1147" s="17">
        <v>11.8949</v>
      </c>
      <c r="R1147" s="17">
        <v>6.6136920000000003</v>
      </c>
      <c r="S1147" s="17">
        <v>14.535600000000001</v>
      </c>
      <c r="AP1147" s="35"/>
      <c r="AQ1147" s="35"/>
      <c r="AR1147" s="35"/>
      <c r="AS1147" s="35"/>
    </row>
    <row r="1148" spans="2:45" x14ac:dyDescent="0.2">
      <c r="B1148" s="2">
        <v>43481.73096064815</v>
      </c>
      <c r="C1148" s="5">
        <f t="shared" si="116"/>
        <v>23.499999059999912</v>
      </c>
      <c r="D1148" s="14">
        <v>7.5358859999999996</v>
      </c>
      <c r="E1148" s="14">
        <v>8.5350739999999998</v>
      </c>
      <c r="F1148" s="14">
        <v>6.0741719999999999</v>
      </c>
      <c r="G1148" s="14">
        <v>5.114268</v>
      </c>
      <c r="H1148" s="15">
        <v>6.304748</v>
      </c>
      <c r="I1148" s="15">
        <v>3.7393339999999999</v>
      </c>
      <c r="J1148" s="15">
        <v>18.237639999999999</v>
      </c>
      <c r="K1148" s="15">
        <v>6.3283430000000003</v>
      </c>
      <c r="L1148" s="16">
        <v>5.7534470000000004</v>
      </c>
      <c r="M1148" s="16">
        <v>10.349600000000001</v>
      </c>
      <c r="N1148" s="16">
        <v>11.16065</v>
      </c>
      <c r="O1148" s="16">
        <v>5.3521979999999996</v>
      </c>
      <c r="P1148" s="17">
        <v>9.7163050000000002</v>
      </c>
      <c r="Q1148" s="17">
        <v>11.8949</v>
      </c>
      <c r="R1148" s="17">
        <v>6.6155520000000001</v>
      </c>
      <c r="S1148" s="17">
        <v>14.535600000000001</v>
      </c>
      <c r="AP1148" s="35"/>
      <c r="AQ1148" s="35"/>
      <c r="AR1148" s="35"/>
      <c r="AS1148" s="35"/>
    </row>
    <row r="1149" spans="2:45" x14ac:dyDescent="0.2">
      <c r="B1149" s="2">
        <v>43481.734432870369</v>
      </c>
      <c r="C1149" s="5">
        <f t="shared" si="116"/>
        <v>23.58333238999991</v>
      </c>
      <c r="D1149" s="14">
        <v>7.5358859999999996</v>
      </c>
      <c r="E1149" s="14">
        <v>8.536505</v>
      </c>
      <c r="F1149" s="14">
        <v>6.0947719999999999</v>
      </c>
      <c r="G1149" s="14">
        <v>5.119275</v>
      </c>
      <c r="H1149" s="15">
        <v>6.304748</v>
      </c>
      <c r="I1149" s="15">
        <v>3.7404069999999998</v>
      </c>
      <c r="J1149" s="15">
        <v>18.28342</v>
      </c>
      <c r="K1149" s="15">
        <v>6.3303459999999996</v>
      </c>
      <c r="L1149" s="16">
        <v>5.7534470000000004</v>
      </c>
      <c r="M1149" s="16">
        <v>10.37077</v>
      </c>
      <c r="N1149" s="16">
        <v>11.17924</v>
      </c>
      <c r="O1149" s="16">
        <v>5.3521979999999996</v>
      </c>
      <c r="P1149" s="17">
        <v>9.7188800000000004</v>
      </c>
      <c r="Q1149" s="17">
        <v>11.8949</v>
      </c>
      <c r="R1149" s="17">
        <v>6.6174119999999998</v>
      </c>
      <c r="S1149" s="17">
        <v>14.535600000000001</v>
      </c>
      <c r="AP1149" s="35"/>
      <c r="AQ1149" s="35"/>
      <c r="AR1149" s="35"/>
      <c r="AS1149" s="35"/>
    </row>
    <row r="1150" spans="2:45" x14ac:dyDescent="0.2">
      <c r="B1150" s="2">
        <v>43481.737905092596</v>
      </c>
      <c r="C1150" s="5">
        <f t="shared" si="116"/>
        <v>23.666665719999909</v>
      </c>
      <c r="D1150" s="14">
        <v>7.5358859999999996</v>
      </c>
      <c r="E1150" s="14">
        <v>8.5379349999999992</v>
      </c>
      <c r="F1150" s="14">
        <v>6.1153709999999997</v>
      </c>
      <c r="G1150" s="14">
        <v>5.124282</v>
      </c>
      <c r="H1150" s="15">
        <v>6.304748</v>
      </c>
      <c r="I1150" s="15">
        <v>3.741479</v>
      </c>
      <c r="J1150" s="15">
        <v>18.329190000000001</v>
      </c>
      <c r="K1150" s="15">
        <v>6.3323489999999998</v>
      </c>
      <c r="L1150" s="16">
        <v>5.7534470000000004</v>
      </c>
      <c r="M1150" s="16">
        <v>10.39194</v>
      </c>
      <c r="N1150" s="16">
        <v>11.197839999999999</v>
      </c>
      <c r="O1150" s="16">
        <v>5.3521979999999996</v>
      </c>
      <c r="P1150" s="17">
        <v>9.7214550000000006</v>
      </c>
      <c r="Q1150" s="17">
        <v>11.8949</v>
      </c>
      <c r="R1150" s="17">
        <v>6.6192710000000003</v>
      </c>
      <c r="S1150" s="17">
        <v>14.535600000000001</v>
      </c>
      <c r="AP1150" s="35"/>
      <c r="AQ1150" s="35"/>
      <c r="AR1150" s="35"/>
      <c r="AS1150" s="35"/>
    </row>
    <row r="1151" spans="2:45" x14ac:dyDescent="0.2">
      <c r="B1151" s="2">
        <v>43481.741377314815</v>
      </c>
      <c r="C1151" s="5">
        <f t="shared" si="116"/>
        <v>23.749999049999907</v>
      </c>
      <c r="D1151" s="14">
        <v>7.5358859999999996</v>
      </c>
      <c r="E1151" s="14">
        <v>8.5393659999999993</v>
      </c>
      <c r="F1151" s="14">
        <v>6.1359709999999996</v>
      </c>
      <c r="G1151" s="14">
        <v>5.129289</v>
      </c>
      <c r="H1151" s="15">
        <v>6.3071869999999999</v>
      </c>
      <c r="I1151" s="15">
        <v>3.7425519999999999</v>
      </c>
      <c r="J1151" s="15">
        <v>18.374970000000001</v>
      </c>
      <c r="K1151" s="15">
        <v>6.334352</v>
      </c>
      <c r="L1151" s="16">
        <v>5.7534470000000004</v>
      </c>
      <c r="M1151" s="16">
        <v>10.41311</v>
      </c>
      <c r="N1151" s="16">
        <v>11.21644</v>
      </c>
      <c r="O1151" s="16">
        <v>5.3521979999999996</v>
      </c>
      <c r="P1151" s="17">
        <v>9.7240300000000008</v>
      </c>
      <c r="Q1151" s="17">
        <v>11.8949</v>
      </c>
      <c r="R1151" s="17">
        <v>6.6211310000000001</v>
      </c>
      <c r="S1151" s="17">
        <v>14.535600000000001</v>
      </c>
      <c r="AP1151" s="35"/>
      <c r="AQ1151" s="35"/>
      <c r="AR1151" s="35"/>
      <c r="AS1151" s="35"/>
    </row>
    <row r="1152" spans="2:45" x14ac:dyDescent="0.2">
      <c r="B1152" s="2">
        <v>43481.744849537034</v>
      </c>
      <c r="C1152" s="5">
        <f t="shared" si="116"/>
        <v>23.833332379999906</v>
      </c>
      <c r="D1152" s="14">
        <v>7.5358859999999996</v>
      </c>
      <c r="E1152" s="14">
        <v>8.5407960000000003</v>
      </c>
      <c r="F1152" s="14">
        <v>6.1565700000000003</v>
      </c>
      <c r="G1152" s="14">
        <v>5.1342949999999998</v>
      </c>
      <c r="H1152" s="15">
        <v>6.3166279999999997</v>
      </c>
      <c r="I1152" s="15">
        <v>3.7433610000000002</v>
      </c>
      <c r="J1152" s="15">
        <v>18.420750000000002</v>
      </c>
      <c r="K1152" s="15">
        <v>6.336354</v>
      </c>
      <c r="L1152" s="16">
        <v>5.7534470000000004</v>
      </c>
      <c r="M1152" s="16">
        <v>10.434279999999999</v>
      </c>
      <c r="N1152" s="16">
        <v>11.23503</v>
      </c>
      <c r="O1152" s="16">
        <v>5.3521979999999996</v>
      </c>
      <c r="P1152" s="17">
        <v>9.726604</v>
      </c>
      <c r="Q1152" s="17">
        <v>11.8949</v>
      </c>
      <c r="R1152" s="17">
        <v>6.6218899999999996</v>
      </c>
      <c r="S1152" s="17">
        <v>14.535600000000001</v>
      </c>
      <c r="AP1152" s="35"/>
      <c r="AQ1152" s="35"/>
      <c r="AR1152" s="35"/>
      <c r="AS1152" s="35"/>
    </row>
    <row r="1153" spans="2:48" x14ac:dyDescent="0.2">
      <c r="B1153" s="2">
        <v>43481.74832175926</v>
      </c>
      <c r="C1153" s="5">
        <f t="shared" si="116"/>
        <v>23.916665709999904</v>
      </c>
      <c r="D1153" s="14">
        <v>7.5358859999999996</v>
      </c>
      <c r="E1153" s="14">
        <v>8.5422270000000005</v>
      </c>
      <c r="F1153" s="14">
        <v>6.1771690000000001</v>
      </c>
      <c r="G1153" s="14">
        <v>5.1393019999999998</v>
      </c>
      <c r="H1153" s="15">
        <v>6.3260690000000004</v>
      </c>
      <c r="I1153" s="15">
        <v>3.7433610000000002</v>
      </c>
      <c r="J1153" s="15">
        <v>18.45355</v>
      </c>
      <c r="K1153" s="15">
        <v>6.3383570000000002</v>
      </c>
      <c r="L1153" s="16">
        <v>5.7534470000000004</v>
      </c>
      <c r="M1153" s="16">
        <v>10.45546</v>
      </c>
      <c r="N1153" s="16">
        <v>11.253629999999999</v>
      </c>
      <c r="O1153" s="16">
        <v>5.3521979999999996</v>
      </c>
      <c r="P1153" s="17">
        <v>9.7291790000000002</v>
      </c>
      <c r="Q1153" s="17">
        <v>11.8949</v>
      </c>
      <c r="R1153" s="17">
        <v>6.621969</v>
      </c>
      <c r="S1153" s="17">
        <v>14.535600000000001</v>
      </c>
      <c r="AP1153" s="35"/>
      <c r="AQ1153" s="35"/>
      <c r="AR1153" s="35"/>
      <c r="AS1153" s="35"/>
    </row>
    <row r="1154" spans="2:48" x14ac:dyDescent="0.2">
      <c r="B1154" s="12">
        <v>43481.751793981479</v>
      </c>
      <c r="C1154" s="13">
        <v>0</v>
      </c>
      <c r="D1154" s="14">
        <v>7.5358859999999996</v>
      </c>
      <c r="E1154" s="14">
        <v>8.5436569999999996</v>
      </c>
      <c r="F1154" s="14">
        <v>6.1977690000000001</v>
      </c>
      <c r="G1154" s="14">
        <v>5.1443089999999998</v>
      </c>
      <c r="H1154" s="15">
        <v>6.3355110000000003</v>
      </c>
      <c r="I1154" s="15">
        <v>3.7433610000000002</v>
      </c>
      <c r="J1154" s="15">
        <v>18.457630000000002</v>
      </c>
      <c r="K1154" s="15">
        <v>6.3403600000000004</v>
      </c>
      <c r="L1154" s="16">
        <v>5.7534470000000004</v>
      </c>
      <c r="M1154" s="16">
        <v>10.47663</v>
      </c>
      <c r="N1154" s="16">
        <v>11.27223</v>
      </c>
      <c r="O1154" s="16">
        <v>5.3521979999999996</v>
      </c>
      <c r="P1154" s="17">
        <v>9.7317540000000005</v>
      </c>
      <c r="Q1154" s="17">
        <v>11.8949</v>
      </c>
      <c r="R1154" s="17">
        <v>6.6247740000000004</v>
      </c>
      <c r="S1154" s="17">
        <v>14.535600000000001</v>
      </c>
      <c r="V1154" s="30">
        <v>0</v>
      </c>
      <c r="W1154">
        <f>AVERAGE(D1143:D1154)</f>
        <v>7.5358860000000005</v>
      </c>
      <c r="X1154">
        <f t="shared" ref="X1154:AL1154" si="122">AVERAGE(E1143:E1154)</f>
        <v>8.5305534166666668</v>
      </c>
      <c r="Y1154">
        <f t="shared" si="122"/>
        <v>6.084472166666667</v>
      </c>
      <c r="Z1154">
        <f t="shared" si="122"/>
        <v>5.1183676666666669</v>
      </c>
      <c r="AA1154">
        <f t="shared" si="122"/>
        <v>6.3102815833333326</v>
      </c>
      <c r="AB1154">
        <f t="shared" si="122"/>
        <v>3.7395358333333331</v>
      </c>
      <c r="AC1154">
        <f t="shared" si="122"/>
        <v>18.267436666666665</v>
      </c>
      <c r="AD1154">
        <f t="shared" si="122"/>
        <v>6.3293448333333338</v>
      </c>
      <c r="AE1154">
        <f t="shared" si="122"/>
        <v>5.7534470000000004</v>
      </c>
      <c r="AF1154">
        <f t="shared" si="122"/>
        <v>10.360183333333334</v>
      </c>
      <c r="AG1154">
        <f t="shared" si="122"/>
        <v>11.171399166666667</v>
      </c>
      <c r="AH1154">
        <f t="shared" si="122"/>
        <v>5.3521980000000005</v>
      </c>
      <c r="AI1154">
        <f t="shared" si="122"/>
        <v>9.7175922499999992</v>
      </c>
      <c r="AJ1154">
        <f t="shared" si="122"/>
        <v>11.894900000000002</v>
      </c>
      <c r="AK1154">
        <f t="shared" si="122"/>
        <v>6.6159886666666665</v>
      </c>
      <c r="AL1154">
        <f t="shared" si="122"/>
        <v>14.535599999999997</v>
      </c>
      <c r="AO1154" s="30">
        <v>0</v>
      </c>
      <c r="AP1154" s="35">
        <f>AVERAGE(W1154:Z1154)</f>
        <v>6.817319812500001</v>
      </c>
      <c r="AQ1154" s="35">
        <f>AVERAGE(AA1154:AD1154)</f>
        <v>8.6616497291666654</v>
      </c>
      <c r="AR1154" s="35">
        <f>AVERAGE(AE1154:AH1154)</f>
        <v>8.1593068750000004</v>
      </c>
      <c r="AS1154" s="35">
        <f>AVERAGE(AI1154:AL1154)</f>
        <v>10.691020229166666</v>
      </c>
      <c r="AV1154" s="30"/>
    </row>
    <row r="1155" spans="2:48" x14ac:dyDescent="0.2">
      <c r="C1155" s="5"/>
    </row>
  </sheetData>
  <mergeCells count="4">
    <mergeCell ref="AW1:AZ1"/>
    <mergeCell ref="BC1:BF1"/>
    <mergeCell ref="BI1:BL1"/>
    <mergeCell ref="BO1:BR1"/>
  </mergeCells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57EC-6F8D-0340-860B-96881F8D97E4}">
  <dimension ref="A1:M38"/>
  <sheetViews>
    <sheetView zoomScale="61" zoomScaleNormal="61" workbookViewId="0">
      <selection activeCell="W33" sqref="W33"/>
    </sheetView>
  </sheetViews>
  <sheetFormatPr baseColWidth="10" defaultRowHeight="16" x14ac:dyDescent="0.2"/>
  <sheetData>
    <row r="1" spans="1:13" x14ac:dyDescent="0.2">
      <c r="A1" t="s">
        <v>54</v>
      </c>
      <c r="B1" s="32" t="s">
        <v>1</v>
      </c>
      <c r="C1" s="38" t="s">
        <v>52</v>
      </c>
      <c r="D1" s="39" t="s">
        <v>38</v>
      </c>
      <c r="E1" s="40" t="s">
        <v>39</v>
      </c>
      <c r="F1" s="41" t="s">
        <v>40</v>
      </c>
      <c r="H1" t="s">
        <v>53</v>
      </c>
      <c r="I1" s="32" t="s">
        <v>1</v>
      </c>
      <c r="J1" s="38" t="s">
        <v>52</v>
      </c>
      <c r="K1" s="39" t="s">
        <v>38</v>
      </c>
      <c r="L1" s="40" t="s">
        <v>39</v>
      </c>
      <c r="M1" s="41" t="s">
        <v>40</v>
      </c>
    </row>
    <row r="2" spans="1:13" x14ac:dyDescent="0.2">
      <c r="B2" s="25">
        <v>0</v>
      </c>
      <c r="C2">
        <v>4.1977492187499994</v>
      </c>
      <c r="D2">
        <v>5.4874288020833335</v>
      </c>
      <c r="E2">
        <v>4.9384349531250002</v>
      </c>
      <c r="F2">
        <v>6.4834944010416677</v>
      </c>
      <c r="I2" s="25">
        <v>0</v>
      </c>
      <c r="J2">
        <v>0.74310613597330288</v>
      </c>
      <c r="K2">
        <v>0.94820653740465477</v>
      </c>
      <c r="L2">
        <v>0.84711258135179746</v>
      </c>
      <c r="M2">
        <v>1.2332643400829735</v>
      </c>
    </row>
    <row r="3" spans="1:13" x14ac:dyDescent="0.2">
      <c r="B3" s="25">
        <v>1</v>
      </c>
      <c r="C3">
        <v>4.2384831770833333</v>
      </c>
      <c r="D3">
        <v>5.545074989583334</v>
      </c>
      <c r="E3">
        <v>4.9768420677083336</v>
      </c>
      <c r="F3">
        <v>6.5742883750000001</v>
      </c>
      <c r="I3" s="25">
        <v>1</v>
      </c>
      <c r="J3">
        <v>0.72925367765593863</v>
      </c>
      <c r="K3">
        <v>0.94686031695601547</v>
      </c>
      <c r="L3">
        <v>0.85617609334263056</v>
      </c>
      <c r="M3">
        <v>1.222763118901476</v>
      </c>
    </row>
    <row r="4" spans="1:13" x14ac:dyDescent="0.2">
      <c r="B4" s="25">
        <v>2</v>
      </c>
      <c r="C4">
        <v>4.2597716302083333</v>
      </c>
      <c r="D4">
        <v>5.6048969687500003</v>
      </c>
      <c r="E4">
        <v>5.0106926874999997</v>
      </c>
      <c r="F4">
        <v>6.6922845625000003</v>
      </c>
      <c r="I4" s="25">
        <v>2</v>
      </c>
      <c r="J4">
        <v>0.72216026776401931</v>
      </c>
      <c r="K4">
        <v>0.94855050478468206</v>
      </c>
      <c r="L4">
        <v>0.86659938273654491</v>
      </c>
      <c r="M4">
        <v>1.2031819791723255</v>
      </c>
    </row>
    <row r="5" spans="1:13" x14ac:dyDescent="0.2">
      <c r="B5" s="33">
        <v>3</v>
      </c>
      <c r="C5">
        <v>4.2722242604166665</v>
      </c>
      <c r="D5">
        <v>5.6541460052083332</v>
      </c>
      <c r="E5">
        <v>5.0425895468749999</v>
      </c>
      <c r="F5">
        <v>6.7937622760416669</v>
      </c>
      <c r="I5" s="33">
        <v>3</v>
      </c>
      <c r="J5">
        <v>0.72032267367413139</v>
      </c>
      <c r="K5">
        <v>0.93761181890507928</v>
      </c>
      <c r="L5">
        <v>0.87476034028410043</v>
      </c>
      <c r="M5">
        <v>1.1820100584822142</v>
      </c>
    </row>
    <row r="6" spans="1:13" x14ac:dyDescent="0.2">
      <c r="B6" s="33">
        <v>4</v>
      </c>
      <c r="C6">
        <v>4.2816116510416666</v>
      </c>
      <c r="D6">
        <v>5.6937087083333342</v>
      </c>
      <c r="E6">
        <v>5.0612817604166667</v>
      </c>
      <c r="F6">
        <v>6.8628989791666672</v>
      </c>
      <c r="I6" s="33">
        <v>4</v>
      </c>
      <c r="J6">
        <v>0.71728456567406063</v>
      </c>
      <c r="K6">
        <v>0.93391147950643227</v>
      </c>
      <c r="L6">
        <v>0.88230902795924926</v>
      </c>
      <c r="M6">
        <v>1.1690667633314902</v>
      </c>
    </row>
    <row r="7" spans="1:13" x14ac:dyDescent="0.2">
      <c r="B7" s="33">
        <v>5</v>
      </c>
      <c r="C7">
        <v>4.2901131406249995</v>
      </c>
      <c r="D7">
        <v>5.7724128125000007</v>
      </c>
      <c r="E7">
        <v>5.0792662499999999</v>
      </c>
      <c r="F7">
        <v>6.9539517447916666</v>
      </c>
      <c r="I7" s="33">
        <v>5</v>
      </c>
      <c r="J7">
        <v>0.71396634993320152</v>
      </c>
      <c r="K7">
        <v>0.92858144608227644</v>
      </c>
      <c r="L7">
        <v>0.88821330806389376</v>
      </c>
      <c r="M7">
        <v>1.1455953580131921</v>
      </c>
    </row>
    <row r="8" spans="1:13" x14ac:dyDescent="0.2">
      <c r="B8" s="33">
        <v>6</v>
      </c>
      <c r="C8">
        <v>4.2977326041666668</v>
      </c>
      <c r="D8">
        <v>5.8370256718750007</v>
      </c>
      <c r="E8">
        <v>5.0966068489583334</v>
      </c>
      <c r="F8">
        <v>7.065784395833334</v>
      </c>
      <c r="I8" s="33">
        <v>6</v>
      </c>
      <c r="J8">
        <v>0.71179846610501696</v>
      </c>
      <c r="K8">
        <v>0.929685266923719</v>
      </c>
      <c r="L8">
        <v>0.89330450168403497</v>
      </c>
      <c r="M8">
        <v>1.1291953107497179</v>
      </c>
    </row>
    <row r="9" spans="1:13" x14ac:dyDescent="0.2">
      <c r="B9" s="33">
        <v>7</v>
      </c>
      <c r="C9">
        <v>4.3076197760416663</v>
      </c>
      <c r="D9">
        <v>5.9156926614583334</v>
      </c>
      <c r="E9">
        <v>5.1147220468749994</v>
      </c>
      <c r="F9">
        <v>7.1575598229166673</v>
      </c>
      <c r="I9" s="33">
        <v>7</v>
      </c>
      <c r="J9">
        <v>0.70961021129913215</v>
      </c>
      <c r="K9">
        <v>0.92965821233849988</v>
      </c>
      <c r="L9">
        <v>0.89850436140915957</v>
      </c>
      <c r="M9">
        <v>1.1383275597452018</v>
      </c>
    </row>
    <row r="10" spans="1:13" x14ac:dyDescent="0.2">
      <c r="B10" s="33">
        <v>8</v>
      </c>
      <c r="C10">
        <v>4.3223735052083336</v>
      </c>
      <c r="D10">
        <v>5.9851242239583344</v>
      </c>
      <c r="E10">
        <v>5.1340717291666662</v>
      </c>
      <c r="F10">
        <v>7.2518813333333334</v>
      </c>
      <c r="I10" s="33">
        <v>8</v>
      </c>
      <c r="J10">
        <v>0.70299130210488769</v>
      </c>
      <c r="K10">
        <v>0.92490148995884558</v>
      </c>
      <c r="L10">
        <v>0.90098926075353825</v>
      </c>
      <c r="M10">
        <v>1.1639902473211643</v>
      </c>
    </row>
    <row r="11" spans="1:13" x14ac:dyDescent="0.2">
      <c r="B11" s="33">
        <v>9</v>
      </c>
      <c r="C11">
        <v>4.3394089687499999</v>
      </c>
      <c r="D11">
        <v>6.0462970208333333</v>
      </c>
      <c r="E11">
        <v>5.1687036458333324</v>
      </c>
      <c r="F11">
        <v>7.3718584062500003</v>
      </c>
      <c r="I11" s="33">
        <v>9</v>
      </c>
      <c r="J11">
        <v>0.69489485554537056</v>
      </c>
      <c r="K11">
        <v>0.9178344006515966</v>
      </c>
      <c r="L11">
        <v>0.90560750634376896</v>
      </c>
      <c r="M11">
        <v>1.1859617274817869</v>
      </c>
    </row>
    <row r="12" spans="1:13" x14ac:dyDescent="0.2">
      <c r="B12" s="33">
        <v>10</v>
      </c>
      <c r="C12">
        <v>4.3629078072916663</v>
      </c>
      <c r="D12">
        <v>6.0716959062500004</v>
      </c>
      <c r="E12">
        <v>5.1977781145833326</v>
      </c>
      <c r="F12">
        <v>7.4681106041666663</v>
      </c>
      <c r="I12" s="33">
        <v>10</v>
      </c>
      <c r="J12">
        <v>0.68446731510095227</v>
      </c>
      <c r="K12">
        <v>0.91425118426488827</v>
      </c>
      <c r="L12">
        <v>0.90173430200954896</v>
      </c>
      <c r="M12">
        <v>1.1565912832921579</v>
      </c>
    </row>
    <row r="13" spans="1:13" x14ac:dyDescent="0.2">
      <c r="B13" s="33">
        <v>11</v>
      </c>
      <c r="C13">
        <v>4.3871711250000001</v>
      </c>
      <c r="D13">
        <v>6.1217524374999996</v>
      </c>
      <c r="E13">
        <v>5.2193199010416667</v>
      </c>
      <c r="F13">
        <v>7.5259837083333334</v>
      </c>
      <c r="I13" s="33">
        <v>11</v>
      </c>
      <c r="J13">
        <v>0.67592820808462006</v>
      </c>
      <c r="K13">
        <v>0.89172898906766429</v>
      </c>
      <c r="L13">
        <v>0.89670292083814784</v>
      </c>
      <c r="M13">
        <v>1.1403168069122349</v>
      </c>
    </row>
    <row r="14" spans="1:13" x14ac:dyDescent="0.2">
      <c r="B14" s="33">
        <v>12</v>
      </c>
      <c r="C14">
        <v>4.4079089062499994</v>
      </c>
      <c r="D14">
        <v>6.168297197916667</v>
      </c>
      <c r="E14">
        <v>5.2402506874999997</v>
      </c>
      <c r="F14">
        <v>7.5879712656250007</v>
      </c>
      <c r="I14" s="33">
        <v>12</v>
      </c>
      <c r="J14">
        <v>0.67371124726718334</v>
      </c>
      <c r="K14">
        <v>0.86303354384986386</v>
      </c>
      <c r="L14">
        <v>0.89445472970600859</v>
      </c>
      <c r="M14">
        <v>1.1286950414681427</v>
      </c>
    </row>
    <row r="15" spans="1:13" x14ac:dyDescent="0.2">
      <c r="B15" s="33">
        <v>13</v>
      </c>
      <c r="C15">
        <v>4.4304575885416666</v>
      </c>
      <c r="D15">
        <v>6.1840465520833341</v>
      </c>
      <c r="E15">
        <v>5.2651941666666664</v>
      </c>
      <c r="F15">
        <v>7.6537148697916653</v>
      </c>
      <c r="I15" s="33">
        <v>13</v>
      </c>
      <c r="J15">
        <v>0.67541798733653513</v>
      </c>
      <c r="K15">
        <v>0.85649904607496996</v>
      </c>
      <c r="L15">
        <v>0.89485588045767794</v>
      </c>
      <c r="M15">
        <v>1.1139436985222977</v>
      </c>
    </row>
    <row r="16" spans="1:13" x14ac:dyDescent="0.2">
      <c r="B16" s="33">
        <v>14</v>
      </c>
      <c r="C16">
        <v>4.4716794427083331</v>
      </c>
      <c r="D16">
        <v>6.2052720208333323</v>
      </c>
      <c r="E16">
        <v>5.3021270312500004</v>
      </c>
      <c r="F16">
        <v>7.7209759062500005</v>
      </c>
      <c r="I16" s="33">
        <v>14</v>
      </c>
      <c r="J16">
        <v>0.67469477489660634</v>
      </c>
      <c r="K16">
        <v>0.84848364024900325</v>
      </c>
      <c r="L16">
        <v>0.90105561176984317</v>
      </c>
      <c r="M16">
        <v>1.0979201317852216</v>
      </c>
    </row>
    <row r="17" spans="2:13" x14ac:dyDescent="0.2">
      <c r="B17" s="33">
        <v>15</v>
      </c>
      <c r="C17">
        <v>4.5545532812499996</v>
      </c>
      <c r="D17">
        <v>6.2446063177083335</v>
      </c>
      <c r="E17">
        <v>5.354859843749999</v>
      </c>
      <c r="F17">
        <v>7.7812362499999992</v>
      </c>
      <c r="I17" s="33">
        <v>15</v>
      </c>
      <c r="J17">
        <v>0.67335852270640673</v>
      </c>
      <c r="K17">
        <v>0.82866229810477532</v>
      </c>
      <c r="L17">
        <v>0.90339676146114167</v>
      </c>
      <c r="M17">
        <v>1.0841966359396618</v>
      </c>
    </row>
    <row r="18" spans="2:13" x14ac:dyDescent="0.2">
      <c r="B18" s="33">
        <v>16</v>
      </c>
      <c r="C18">
        <v>4.6734406249999996</v>
      </c>
      <c r="D18">
        <v>6.2724030468749996</v>
      </c>
      <c r="E18">
        <v>5.4128872604166656</v>
      </c>
      <c r="F18">
        <v>7.8447563489583336</v>
      </c>
      <c r="I18" s="33">
        <v>16</v>
      </c>
      <c r="J18">
        <v>0.66001946621065366</v>
      </c>
      <c r="K18">
        <v>0.82229757176130791</v>
      </c>
      <c r="L18">
        <v>0.89965325603696489</v>
      </c>
      <c r="M18">
        <v>1.0760002697103999</v>
      </c>
    </row>
    <row r="19" spans="2:13" x14ac:dyDescent="0.2">
      <c r="B19" s="33">
        <v>17</v>
      </c>
      <c r="C19">
        <v>4.7591776406249995</v>
      </c>
      <c r="D19">
        <v>6.3131355312500004</v>
      </c>
      <c r="E19">
        <v>5.4779964114583333</v>
      </c>
      <c r="F19">
        <v>7.9006433177083331</v>
      </c>
      <c r="I19" s="33">
        <v>17</v>
      </c>
      <c r="J19">
        <v>0.66695450160976022</v>
      </c>
      <c r="K19">
        <v>0.81760566247690702</v>
      </c>
      <c r="L19">
        <v>0.87962140478151507</v>
      </c>
      <c r="M19">
        <v>1.0767523434719213</v>
      </c>
    </row>
    <row r="20" spans="2:13" x14ac:dyDescent="0.2">
      <c r="B20" s="33">
        <v>18</v>
      </c>
      <c r="C20">
        <v>4.846553619791667</v>
      </c>
      <c r="D20">
        <v>6.3558829479166672</v>
      </c>
      <c r="E20">
        <v>5.5755906979166667</v>
      </c>
      <c r="F20">
        <v>7.9496874479166664</v>
      </c>
      <c r="I20" s="33">
        <v>18</v>
      </c>
      <c r="J20">
        <v>0.67629380579380782</v>
      </c>
      <c r="K20">
        <v>0.81063398213088045</v>
      </c>
      <c r="L20">
        <v>0.87472719123287213</v>
      </c>
      <c r="M20">
        <v>1.0817644579584917</v>
      </c>
    </row>
    <row r="21" spans="2:13" x14ac:dyDescent="0.2">
      <c r="B21" s="33">
        <v>19</v>
      </c>
      <c r="C21">
        <v>4.9277571718750011</v>
      </c>
      <c r="D21">
        <v>6.4032731510416667</v>
      </c>
      <c r="E21">
        <v>5.6461421406249999</v>
      </c>
      <c r="F21">
        <v>8.0028486718750003</v>
      </c>
      <c r="I21" s="33">
        <v>19</v>
      </c>
      <c r="J21">
        <v>0.66952552009044786</v>
      </c>
      <c r="K21">
        <v>0.80445478116006575</v>
      </c>
      <c r="L21">
        <v>0.88502405458369937</v>
      </c>
      <c r="M21">
        <v>1.0847164723235478</v>
      </c>
    </row>
    <row r="22" spans="2:13" x14ac:dyDescent="0.2">
      <c r="B22" s="33">
        <v>20</v>
      </c>
      <c r="C22">
        <v>5.0187500885416672</v>
      </c>
      <c r="D22">
        <v>6.4641730104166664</v>
      </c>
      <c r="E22">
        <v>5.7644485833333334</v>
      </c>
      <c r="F22">
        <v>8.0615679427083347</v>
      </c>
      <c r="I22" s="33">
        <v>20</v>
      </c>
      <c r="J22">
        <v>0.66685632404828976</v>
      </c>
      <c r="K22">
        <v>0.81004643566228973</v>
      </c>
      <c r="L22">
        <v>0.87289009469668744</v>
      </c>
      <c r="M22">
        <v>1.0819328019897756</v>
      </c>
    </row>
    <row r="23" spans="2:13" x14ac:dyDescent="0.2">
      <c r="B23" s="33">
        <v>21</v>
      </c>
      <c r="C23">
        <v>5.1169990416666664</v>
      </c>
      <c r="D23">
        <v>6.559624109375001</v>
      </c>
      <c r="E23">
        <v>5.9049003281250005</v>
      </c>
      <c r="F23">
        <v>8.1229160104166667</v>
      </c>
      <c r="I23" s="33">
        <v>21</v>
      </c>
      <c r="J23">
        <v>0.67689372692817806</v>
      </c>
      <c r="K23">
        <v>0.83614258985749734</v>
      </c>
      <c r="L23">
        <v>0.85357612063327171</v>
      </c>
      <c r="M23">
        <v>1.0787734550308947</v>
      </c>
    </row>
    <row r="24" spans="2:13" x14ac:dyDescent="0.2">
      <c r="B24" s="33">
        <v>22</v>
      </c>
      <c r="C24">
        <v>5.1864747135416671</v>
      </c>
      <c r="D24">
        <v>6.6687274427083327</v>
      </c>
      <c r="E24">
        <v>6.0282319791666676</v>
      </c>
      <c r="F24">
        <v>8.1656443645833328</v>
      </c>
      <c r="I24" s="33">
        <v>22</v>
      </c>
      <c r="J24">
        <v>0.68165258148710728</v>
      </c>
      <c r="K24">
        <v>0.83861115742864467</v>
      </c>
      <c r="L24">
        <v>0.83163685623227213</v>
      </c>
      <c r="M24">
        <v>1.0847667363588454</v>
      </c>
    </row>
    <row r="25" spans="2:13" x14ac:dyDescent="0.2">
      <c r="B25" s="33">
        <v>23</v>
      </c>
      <c r="C25">
        <v>5.2394894010416664</v>
      </c>
      <c r="D25">
        <v>6.7585981250000007</v>
      </c>
      <c r="E25">
        <v>6.1584245729166671</v>
      </c>
      <c r="F25">
        <v>8.2231486979166668</v>
      </c>
      <c r="I25" s="33">
        <v>23</v>
      </c>
      <c r="J25">
        <v>0.68245756967671667</v>
      </c>
      <c r="K25">
        <v>0.82811821995444834</v>
      </c>
      <c r="L25">
        <v>0.81823809407575454</v>
      </c>
      <c r="M25">
        <v>1.0839789792591012</v>
      </c>
    </row>
    <row r="26" spans="2:13" x14ac:dyDescent="0.2">
      <c r="B26" s="33">
        <v>24</v>
      </c>
      <c r="C26">
        <v>5.2941162343750001</v>
      </c>
      <c r="D26">
        <v>6.8519782343750002</v>
      </c>
      <c r="E26">
        <v>6.2617434218749999</v>
      </c>
      <c r="F26">
        <v>8.2981110833333336</v>
      </c>
      <c r="I26" s="33">
        <v>24</v>
      </c>
      <c r="J26">
        <v>0.68081779534825226</v>
      </c>
      <c r="K26">
        <v>0.82665467899903611</v>
      </c>
      <c r="L26">
        <v>0.80030969861229717</v>
      </c>
      <c r="M26">
        <v>1.0596772145457296</v>
      </c>
    </row>
    <row r="27" spans="2:13" x14ac:dyDescent="0.2">
      <c r="B27">
        <v>1</v>
      </c>
      <c r="C27">
        <v>4.2384831770833333</v>
      </c>
      <c r="D27">
        <v>5.545074989583334</v>
      </c>
      <c r="E27">
        <v>4.9768420677083336</v>
      </c>
      <c r="F27">
        <v>6.5742883750000001</v>
      </c>
      <c r="I27">
        <v>1</v>
      </c>
      <c r="J27">
        <v>0.72925367765593863</v>
      </c>
      <c r="K27">
        <v>0.94686031695601547</v>
      </c>
      <c r="L27">
        <v>0.85617609334263056</v>
      </c>
      <c r="M27">
        <v>1.222763118901476</v>
      </c>
    </row>
    <row r="28" spans="2:13" x14ac:dyDescent="0.2">
      <c r="B28">
        <v>2</v>
      </c>
      <c r="C28">
        <v>4.2597716302083333</v>
      </c>
      <c r="D28">
        <v>5.6048969687500003</v>
      </c>
      <c r="E28">
        <v>5.0106926874999997</v>
      </c>
      <c r="F28">
        <v>6.6922845625000003</v>
      </c>
      <c r="I28">
        <v>2</v>
      </c>
      <c r="J28">
        <v>0.72216026776401931</v>
      </c>
      <c r="K28">
        <v>0.94855050478468206</v>
      </c>
      <c r="L28">
        <v>0.86659938273654491</v>
      </c>
      <c r="M28">
        <v>1.2031819791723255</v>
      </c>
    </row>
    <row r="29" spans="2:13" x14ac:dyDescent="0.2">
      <c r="B29">
        <v>3</v>
      </c>
      <c r="C29">
        <v>4.2722242604166665</v>
      </c>
      <c r="D29">
        <v>5.6541460052083332</v>
      </c>
      <c r="E29">
        <v>5.0425895468749999</v>
      </c>
      <c r="F29">
        <v>6.7937622760416669</v>
      </c>
      <c r="I29">
        <v>3</v>
      </c>
      <c r="J29">
        <v>0.72032267367413139</v>
      </c>
      <c r="K29">
        <v>0.93761181890507928</v>
      </c>
      <c r="L29">
        <v>0.87476034028410043</v>
      </c>
      <c r="M29">
        <v>1.1820100584822142</v>
      </c>
    </row>
    <row r="30" spans="2:13" x14ac:dyDescent="0.2">
      <c r="B30">
        <v>4</v>
      </c>
      <c r="C30">
        <v>4.2816116510416666</v>
      </c>
      <c r="D30">
        <v>5.6937087083333342</v>
      </c>
      <c r="E30">
        <v>5.0612817604166667</v>
      </c>
      <c r="F30">
        <v>6.8628989791666672</v>
      </c>
      <c r="I30">
        <v>4</v>
      </c>
      <c r="J30">
        <v>0.71728456567406063</v>
      </c>
      <c r="K30">
        <v>0.93391147950643227</v>
      </c>
      <c r="L30">
        <v>0.88230902795924926</v>
      </c>
      <c r="M30">
        <v>1.1690667633314902</v>
      </c>
    </row>
    <row r="31" spans="2:13" x14ac:dyDescent="0.2">
      <c r="B31">
        <v>5</v>
      </c>
      <c r="C31">
        <v>4.2901131406249995</v>
      </c>
      <c r="D31">
        <v>5.7724128125000007</v>
      </c>
      <c r="E31">
        <v>5.0792662499999999</v>
      </c>
      <c r="F31">
        <v>6.9539517447916666</v>
      </c>
      <c r="I31">
        <v>5</v>
      </c>
      <c r="J31">
        <v>0.71396634993320152</v>
      </c>
      <c r="K31">
        <v>0.92858144608227644</v>
      </c>
      <c r="L31">
        <v>0.88821330806389376</v>
      </c>
      <c r="M31">
        <v>1.1455953580131921</v>
      </c>
    </row>
    <row r="32" spans="2:13" x14ac:dyDescent="0.2">
      <c r="B32">
        <v>6</v>
      </c>
      <c r="C32">
        <v>4.2977326041666668</v>
      </c>
      <c r="D32">
        <v>5.8370256718750007</v>
      </c>
      <c r="E32">
        <v>5.0966068489583334</v>
      </c>
      <c r="F32">
        <v>7.065784395833334</v>
      </c>
      <c r="I32">
        <v>6</v>
      </c>
      <c r="J32">
        <v>0.71179846610501696</v>
      </c>
      <c r="K32">
        <v>0.929685266923719</v>
      </c>
      <c r="L32">
        <v>0.89330450168403497</v>
      </c>
      <c r="M32">
        <v>1.1291953107497179</v>
      </c>
    </row>
    <row r="33" spans="2:13" x14ac:dyDescent="0.2">
      <c r="B33">
        <v>7</v>
      </c>
      <c r="C33">
        <v>4.3076197760416663</v>
      </c>
      <c r="D33">
        <v>5.9156926614583334</v>
      </c>
      <c r="E33">
        <v>5.1147220468749994</v>
      </c>
      <c r="F33">
        <v>7.1575598229166673</v>
      </c>
      <c r="I33">
        <v>7</v>
      </c>
      <c r="J33">
        <v>0.70961021129913215</v>
      </c>
      <c r="K33">
        <v>0.92965821233849988</v>
      </c>
      <c r="L33">
        <v>0.89850436140915957</v>
      </c>
      <c r="M33">
        <v>1.1383275597452018</v>
      </c>
    </row>
    <row r="34" spans="2:13" x14ac:dyDescent="0.2">
      <c r="B34">
        <v>8</v>
      </c>
      <c r="C34">
        <v>4.3223735052083336</v>
      </c>
      <c r="D34">
        <v>5.9851242239583344</v>
      </c>
      <c r="E34">
        <v>5.1340717291666662</v>
      </c>
      <c r="F34">
        <v>7.2518813333333334</v>
      </c>
      <c r="I34">
        <v>8</v>
      </c>
      <c r="J34">
        <v>0.70299130210488769</v>
      </c>
      <c r="K34">
        <v>0.92490148995884558</v>
      </c>
      <c r="L34">
        <v>0.90098926075353825</v>
      </c>
      <c r="M34">
        <v>1.1639902473211643</v>
      </c>
    </row>
    <row r="35" spans="2:13" x14ac:dyDescent="0.2">
      <c r="B35">
        <v>9</v>
      </c>
      <c r="C35">
        <v>4.3394089687499999</v>
      </c>
      <c r="D35">
        <v>6.0462970208333333</v>
      </c>
      <c r="E35">
        <v>5.1687036458333324</v>
      </c>
      <c r="F35">
        <v>7.3718584062500003</v>
      </c>
      <c r="I35">
        <v>9</v>
      </c>
      <c r="J35">
        <v>0.69489485554537056</v>
      </c>
      <c r="K35">
        <v>0.9178344006515966</v>
      </c>
      <c r="L35">
        <v>0.90560750634376896</v>
      </c>
      <c r="M35">
        <v>1.1859617274817869</v>
      </c>
    </row>
    <row r="36" spans="2:13" x14ac:dyDescent="0.2">
      <c r="B36">
        <v>10</v>
      </c>
      <c r="C36">
        <v>4.3629078072916663</v>
      </c>
      <c r="D36">
        <v>6.0716959062500004</v>
      </c>
      <c r="E36">
        <v>5.1977781145833326</v>
      </c>
      <c r="F36">
        <v>7.4681106041666663</v>
      </c>
      <c r="I36">
        <v>10</v>
      </c>
      <c r="J36">
        <v>0.68446731510095227</v>
      </c>
      <c r="K36">
        <v>0.91425118426488827</v>
      </c>
      <c r="L36">
        <v>0.90173430200954896</v>
      </c>
      <c r="M36">
        <v>1.1565912832921579</v>
      </c>
    </row>
    <row r="37" spans="2:13" x14ac:dyDescent="0.2">
      <c r="B37">
        <v>11</v>
      </c>
      <c r="C37">
        <v>4.3871711250000001</v>
      </c>
      <c r="D37">
        <v>6.1217524374999996</v>
      </c>
      <c r="E37">
        <v>5.2193199010416667</v>
      </c>
      <c r="F37">
        <v>7.5259837083333334</v>
      </c>
      <c r="I37">
        <v>11</v>
      </c>
      <c r="J37">
        <v>0.67592820808462006</v>
      </c>
      <c r="K37">
        <v>0.89172898906766429</v>
      </c>
      <c r="L37">
        <v>0.89670292083814784</v>
      </c>
      <c r="M37">
        <v>1.1403168069122349</v>
      </c>
    </row>
    <row r="38" spans="2:13" x14ac:dyDescent="0.2">
      <c r="B38">
        <v>12</v>
      </c>
      <c r="C38">
        <v>4.4079089062499994</v>
      </c>
      <c r="D38">
        <v>6.168297197916667</v>
      </c>
      <c r="E38">
        <v>5.2402506874999997</v>
      </c>
      <c r="F38">
        <v>7.5879712656250007</v>
      </c>
      <c r="I38">
        <v>12</v>
      </c>
      <c r="J38">
        <v>0.67371124726718334</v>
      </c>
      <c r="K38">
        <v>0.86303354384986386</v>
      </c>
      <c r="L38">
        <v>0.89445472970600859</v>
      </c>
      <c r="M38">
        <v>1.1286950414681427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3D96-D67F-AA48-8FEB-0D2BFB3C5E17}">
  <dimension ref="A1:AC29"/>
  <sheetViews>
    <sheetView zoomScale="73" zoomScaleNormal="73" workbookViewId="0">
      <selection activeCell="AD11" sqref="AD11"/>
    </sheetView>
  </sheetViews>
  <sheetFormatPr baseColWidth="10" defaultRowHeight="16" x14ac:dyDescent="0.2"/>
  <cols>
    <col min="12" max="12" width="10.83203125" style="25"/>
    <col min="14" max="14" width="4.6640625" customWidth="1"/>
    <col min="15" max="15" width="4" style="31" customWidth="1"/>
    <col min="16" max="16" width="4" style="25" customWidth="1"/>
  </cols>
  <sheetData>
    <row r="1" spans="1:29" x14ac:dyDescent="0.2">
      <c r="A1" s="25"/>
    </row>
    <row r="2" spans="1:29" x14ac:dyDescent="0.2">
      <c r="A2" s="24"/>
      <c r="B2" s="103" t="s">
        <v>46</v>
      </c>
      <c r="C2" s="104"/>
      <c r="D2" s="104"/>
      <c r="E2" s="105"/>
      <c r="H2" s="106" t="s">
        <v>38</v>
      </c>
      <c r="I2" s="107"/>
      <c r="J2" s="107"/>
      <c r="K2" s="108"/>
      <c r="L2" s="43"/>
      <c r="R2" s="101" t="s">
        <v>39</v>
      </c>
      <c r="S2" s="101"/>
      <c r="T2" s="101"/>
      <c r="U2" s="101"/>
      <c r="X2" s="102" t="s">
        <v>40</v>
      </c>
      <c r="Y2" s="102"/>
      <c r="Z2" s="102"/>
      <c r="AA2" s="102"/>
    </row>
    <row r="3" spans="1:29" x14ac:dyDescent="0.2">
      <c r="A3" s="23" t="s">
        <v>1</v>
      </c>
      <c r="B3" s="26" t="s">
        <v>47</v>
      </c>
      <c r="C3" s="27" t="s">
        <v>48</v>
      </c>
      <c r="D3" s="28" t="s">
        <v>49</v>
      </c>
      <c r="E3" s="29" t="s">
        <v>50</v>
      </c>
      <c r="G3" s="32" t="s">
        <v>51</v>
      </c>
      <c r="H3" s="26" t="s">
        <v>47</v>
      </c>
      <c r="I3" s="27" t="s">
        <v>48</v>
      </c>
      <c r="J3" s="28" t="s">
        <v>49</v>
      </c>
      <c r="K3" s="29" t="s">
        <v>50</v>
      </c>
      <c r="M3" s="42" t="s">
        <v>55</v>
      </c>
      <c r="N3" s="23"/>
      <c r="O3" s="44"/>
      <c r="P3" s="23"/>
      <c r="Q3" s="32" t="s">
        <v>51</v>
      </c>
      <c r="R3" s="26" t="s">
        <v>47</v>
      </c>
      <c r="S3" s="27" t="s">
        <v>48</v>
      </c>
      <c r="T3" s="28" t="s">
        <v>49</v>
      </c>
      <c r="U3" s="29" t="s">
        <v>50</v>
      </c>
      <c r="W3" s="32" t="s">
        <v>51</v>
      </c>
      <c r="X3" s="26" t="s">
        <v>47</v>
      </c>
      <c r="Y3" s="27" t="s">
        <v>48</v>
      </c>
      <c r="Z3" s="28" t="s">
        <v>49</v>
      </c>
      <c r="AA3" s="29" t="s">
        <v>50</v>
      </c>
      <c r="AC3" s="42" t="s">
        <v>56</v>
      </c>
    </row>
    <row r="4" spans="1:29" x14ac:dyDescent="0.2">
      <c r="A4" s="25">
        <v>0</v>
      </c>
      <c r="B4">
        <v>2.4318517499999999</v>
      </c>
      <c r="C4">
        <v>3.626290458333334</v>
      </c>
      <c r="D4">
        <v>4.8921359166666667</v>
      </c>
      <c r="E4">
        <v>5.8407187499999988</v>
      </c>
      <c r="G4" s="25">
        <v>0</v>
      </c>
      <c r="H4">
        <v>3.2034520000000004</v>
      </c>
      <c r="I4">
        <v>4.7704936666666669</v>
      </c>
      <c r="J4">
        <v>6.4606915416666677</v>
      </c>
      <c r="K4">
        <v>7.5150779999999999</v>
      </c>
      <c r="M4">
        <f t="shared" ref="M4:M28" si="0">TTEST(B4:E4,H4:K4,2,2)</f>
        <v>0.32553885236210944</v>
      </c>
      <c r="Q4" s="25">
        <v>0</v>
      </c>
      <c r="R4">
        <v>2.8660730000000001</v>
      </c>
      <c r="S4">
        <v>4.50247025</v>
      </c>
      <c r="T4">
        <v>5.4923854166666661</v>
      </c>
      <c r="U4">
        <v>6.892811145833333</v>
      </c>
      <c r="W4" s="25">
        <v>0</v>
      </c>
      <c r="X4">
        <v>3.4325534999999996</v>
      </c>
      <c r="Y4">
        <v>5.8085489375000003</v>
      </c>
      <c r="Z4">
        <v>7.4671239791666677</v>
      </c>
      <c r="AA4">
        <v>9.2257511875000002</v>
      </c>
      <c r="AC4">
        <f>TTEST(R4:U4,X4:AA4,2,2)</f>
        <v>0.34157378281513057</v>
      </c>
    </row>
    <row r="5" spans="1:29" x14ac:dyDescent="0.2">
      <c r="A5" s="25">
        <v>1</v>
      </c>
      <c r="B5">
        <v>2.4920093333333329</v>
      </c>
      <c r="C5">
        <v>3.705841354166667</v>
      </c>
      <c r="D5">
        <v>4.9033470000000001</v>
      </c>
      <c r="E5">
        <v>5.8527350208333333</v>
      </c>
      <c r="G5" s="25">
        <v>1</v>
      </c>
      <c r="H5">
        <v>3.2137652291666665</v>
      </c>
      <c r="I5">
        <v>4.9017946458333341</v>
      </c>
      <c r="J5">
        <v>6.5396096666666672</v>
      </c>
      <c r="K5">
        <v>7.5251304166666673</v>
      </c>
      <c r="M5">
        <f t="shared" si="0"/>
        <v>0.31621994312471519</v>
      </c>
      <c r="Q5" s="25">
        <v>1</v>
      </c>
      <c r="R5">
        <v>2.8660730000000001</v>
      </c>
      <c r="S5">
        <v>4.5340636874999998</v>
      </c>
      <c r="T5">
        <v>5.5885033958333334</v>
      </c>
      <c r="U5">
        <v>6.9187281875000002</v>
      </c>
      <c r="W5" s="25">
        <v>1</v>
      </c>
      <c r="X5">
        <v>3.518805729166667</v>
      </c>
      <c r="Y5">
        <v>5.9507107500000007</v>
      </c>
      <c r="Z5">
        <v>7.5625752291666686</v>
      </c>
      <c r="AA5">
        <v>9.2650617916666658</v>
      </c>
      <c r="AC5">
        <f t="shared" ref="AC5:AC28" si="1">TTEST(R5:U5,X5:AA5,2,2)</f>
        <v>0.3256948567660542</v>
      </c>
    </row>
    <row r="6" spans="1:29" x14ac:dyDescent="0.2">
      <c r="A6" s="25">
        <v>2</v>
      </c>
      <c r="B6">
        <v>2.5370156458333333</v>
      </c>
      <c r="C6">
        <v>3.724007666666667</v>
      </c>
      <c r="D6">
        <v>4.9132175416666666</v>
      </c>
      <c r="E6">
        <v>5.8648456666666666</v>
      </c>
      <c r="G6" s="25">
        <v>2</v>
      </c>
      <c r="H6">
        <v>3.2429090208333333</v>
      </c>
      <c r="I6">
        <v>4.9843503333333326</v>
      </c>
      <c r="J6">
        <v>6.6573275833333341</v>
      </c>
      <c r="K6">
        <v>7.5350009375000013</v>
      </c>
      <c r="M6">
        <f t="shared" si="0"/>
        <v>0.30227806563649745</v>
      </c>
      <c r="Q6" s="25">
        <v>2</v>
      </c>
      <c r="R6">
        <v>2.8711605208333335</v>
      </c>
      <c r="S6">
        <v>4.5488375000000003</v>
      </c>
      <c r="T6">
        <v>5.6643092083333322</v>
      </c>
      <c r="U6">
        <v>6.9584635208333339</v>
      </c>
      <c r="W6" s="25">
        <v>2</v>
      </c>
      <c r="X6">
        <v>3.6895353124999999</v>
      </c>
      <c r="Y6">
        <v>6.0337728333333338</v>
      </c>
      <c r="Z6">
        <v>7.7421443541666672</v>
      </c>
      <c r="AA6">
        <v>9.3036857499999996</v>
      </c>
      <c r="AC6">
        <f t="shared" si="1"/>
        <v>0.30003013200188322</v>
      </c>
    </row>
    <row r="7" spans="1:29" x14ac:dyDescent="0.2">
      <c r="A7" s="33">
        <v>3</v>
      </c>
      <c r="B7">
        <v>2.5596834791666665</v>
      </c>
      <c r="C7">
        <v>3.7291962708333339</v>
      </c>
      <c r="D7">
        <v>4.9230880624999998</v>
      </c>
      <c r="E7">
        <v>5.8769292291666666</v>
      </c>
      <c r="G7" s="33">
        <v>3</v>
      </c>
      <c r="H7">
        <v>3.2900922916666668</v>
      </c>
      <c r="I7">
        <v>5.0917472291666668</v>
      </c>
      <c r="J7">
        <v>6.6917628958333335</v>
      </c>
      <c r="K7">
        <v>7.5429816041666671</v>
      </c>
      <c r="M7">
        <f t="shared" si="0"/>
        <v>0.28682266646699484</v>
      </c>
      <c r="Q7" s="33">
        <v>3</v>
      </c>
      <c r="R7">
        <v>2.8851620625000001</v>
      </c>
      <c r="S7">
        <v>4.5587521458333331</v>
      </c>
      <c r="T7">
        <v>5.7285032499999993</v>
      </c>
      <c r="U7">
        <v>6.9979407291666664</v>
      </c>
      <c r="W7" s="33">
        <v>3</v>
      </c>
      <c r="X7">
        <v>3.8665638750000006</v>
      </c>
      <c r="Y7">
        <v>6.0801754791666669</v>
      </c>
      <c r="Z7">
        <v>7.8860002500000004</v>
      </c>
      <c r="AA7">
        <v>9.3423094999999989</v>
      </c>
      <c r="AC7">
        <f t="shared" si="1"/>
        <v>0.27867457302029092</v>
      </c>
    </row>
    <row r="8" spans="1:29" x14ac:dyDescent="0.2">
      <c r="A8" s="33">
        <v>4</v>
      </c>
      <c r="B8">
        <v>2.5799839583333335</v>
      </c>
      <c r="C8">
        <v>3.7337582500000002</v>
      </c>
      <c r="D8">
        <v>4.9329585833333329</v>
      </c>
      <c r="E8">
        <v>5.8797458124999995</v>
      </c>
      <c r="G8" s="33">
        <v>4</v>
      </c>
      <c r="H8">
        <v>3.3218840833333338</v>
      </c>
      <c r="I8">
        <v>5.1708971666666663</v>
      </c>
      <c r="J8">
        <v>6.7063173541666679</v>
      </c>
      <c r="K8">
        <v>7.575736229166667</v>
      </c>
      <c r="M8">
        <f t="shared" si="0"/>
        <v>0.27567208332574683</v>
      </c>
      <c r="Q8" s="33">
        <v>4</v>
      </c>
      <c r="R8">
        <v>2.8899385208333332</v>
      </c>
      <c r="S8">
        <v>4.5635197708333335</v>
      </c>
      <c r="T8">
        <v>5.7566666249999994</v>
      </c>
      <c r="U8">
        <v>7.0350021249999992</v>
      </c>
      <c r="W8" s="33">
        <v>4</v>
      </c>
      <c r="X8">
        <v>3.9808997291666666</v>
      </c>
      <c r="Y8">
        <v>6.1316520000000008</v>
      </c>
      <c r="Z8">
        <v>7.9511248541666681</v>
      </c>
      <c r="AA8">
        <v>9.3879193333333326</v>
      </c>
      <c r="AC8">
        <f t="shared" si="1"/>
        <v>0.26470850902165138</v>
      </c>
    </row>
    <row r="9" spans="1:29" x14ac:dyDescent="0.2">
      <c r="A9" s="33">
        <v>5</v>
      </c>
      <c r="B9">
        <v>2.6012327291666666</v>
      </c>
      <c r="C9">
        <v>3.7353948541666671</v>
      </c>
      <c r="D9">
        <v>4.9428291249999994</v>
      </c>
      <c r="E9">
        <v>5.8809958541666658</v>
      </c>
      <c r="G9" s="33">
        <v>5</v>
      </c>
      <c r="H9">
        <v>3.3791423333333328</v>
      </c>
      <c r="I9">
        <v>5.3377217083333344</v>
      </c>
      <c r="J9">
        <v>6.7217546458333342</v>
      </c>
      <c r="K9">
        <v>7.6510325624999993</v>
      </c>
      <c r="M9">
        <f t="shared" si="0"/>
        <v>0.25261796343344955</v>
      </c>
      <c r="Q9" s="33">
        <v>5</v>
      </c>
      <c r="R9">
        <v>2.894440083333333</v>
      </c>
      <c r="S9">
        <v>4.5772273958333338</v>
      </c>
      <c r="T9">
        <v>5.7777397083333328</v>
      </c>
      <c r="U9">
        <v>7.0676578124999994</v>
      </c>
      <c r="W9" s="33">
        <v>5</v>
      </c>
      <c r="X9">
        <v>4.1503905416666669</v>
      </c>
      <c r="Y9">
        <v>6.2138631875000003</v>
      </c>
      <c r="Z9">
        <v>7.9969929166666667</v>
      </c>
      <c r="AA9">
        <v>9.4545603333333332</v>
      </c>
      <c r="AC9">
        <f t="shared" si="1"/>
        <v>0.24348095679852486</v>
      </c>
    </row>
    <row r="10" spans="1:29" x14ac:dyDescent="0.2">
      <c r="A10" s="33">
        <v>6</v>
      </c>
      <c r="B10">
        <v>2.6174545624999999</v>
      </c>
      <c r="C10">
        <v>3.7376994999999997</v>
      </c>
      <c r="D10">
        <v>4.9523689583333326</v>
      </c>
      <c r="E10">
        <v>5.8834073958333333</v>
      </c>
      <c r="G10" s="33">
        <v>6</v>
      </c>
      <c r="H10">
        <v>3.4289524374999996</v>
      </c>
      <c r="I10">
        <v>5.4359306458333343</v>
      </c>
      <c r="J10">
        <v>6.758717854166667</v>
      </c>
      <c r="K10">
        <v>7.7245017499999999</v>
      </c>
      <c r="M10">
        <f t="shared" si="0"/>
        <v>0.23664385397722323</v>
      </c>
      <c r="Q10" s="33">
        <v>6</v>
      </c>
      <c r="R10">
        <v>2.9028095208333333</v>
      </c>
      <c r="S10">
        <v>4.5876127291666675</v>
      </c>
      <c r="T10">
        <v>5.7954871874999991</v>
      </c>
      <c r="U10">
        <v>7.1005179583333335</v>
      </c>
      <c r="W10" s="33">
        <v>6</v>
      </c>
      <c r="X10">
        <v>4.3408772291666669</v>
      </c>
      <c r="Y10">
        <v>6.2969790000000003</v>
      </c>
      <c r="Z10">
        <v>8.0439437083333338</v>
      </c>
      <c r="AA10">
        <v>9.581337645833333</v>
      </c>
      <c r="AC10">
        <f t="shared" si="1"/>
        <v>0.22043156244561235</v>
      </c>
    </row>
    <row r="11" spans="1:29" x14ac:dyDescent="0.2">
      <c r="A11" s="33">
        <v>7</v>
      </c>
      <c r="B11">
        <v>2.6321764999999995</v>
      </c>
      <c r="C11">
        <v>3.7504628124999999</v>
      </c>
      <c r="D11">
        <v>4.9587458125000001</v>
      </c>
      <c r="E11">
        <v>5.8890939791666659</v>
      </c>
      <c r="G11" s="33">
        <v>7</v>
      </c>
      <c r="H11">
        <v>3.5241527500000003</v>
      </c>
      <c r="I11">
        <v>5.4896225833333334</v>
      </c>
      <c r="J11">
        <v>6.8241423749999992</v>
      </c>
      <c r="K11">
        <v>7.8248529374999993</v>
      </c>
      <c r="M11">
        <f t="shared" si="0"/>
        <v>0.21827641166736048</v>
      </c>
      <c r="Q11" s="33">
        <v>7</v>
      </c>
      <c r="R11">
        <v>2.9115299375000001</v>
      </c>
      <c r="S11">
        <v>4.5968453749999991</v>
      </c>
      <c r="T11">
        <v>5.8182322083333329</v>
      </c>
      <c r="U11">
        <v>7.1322806666666665</v>
      </c>
      <c r="W11" s="33">
        <v>7</v>
      </c>
      <c r="X11">
        <v>4.4457295208333329</v>
      </c>
      <c r="Y11">
        <v>6.3511770416666673</v>
      </c>
      <c r="Z11">
        <v>8.0931716250000001</v>
      </c>
      <c r="AA11">
        <v>9.7401611041666669</v>
      </c>
      <c r="AC11">
        <f t="shared" si="1"/>
        <v>0.20859178111351057</v>
      </c>
    </row>
    <row r="12" spans="1:29" x14ac:dyDescent="0.2">
      <c r="A12" s="33">
        <v>8</v>
      </c>
      <c r="B12">
        <v>2.6594315208333335</v>
      </c>
      <c r="C12">
        <v>3.7776625624999998</v>
      </c>
      <c r="D12">
        <v>4.9617597291666673</v>
      </c>
      <c r="E12">
        <v>5.8906402083333331</v>
      </c>
      <c r="G12" s="33">
        <v>8</v>
      </c>
      <c r="H12">
        <v>3.6134292708333335</v>
      </c>
      <c r="I12">
        <v>5.5502697083333334</v>
      </c>
      <c r="J12">
        <v>6.8819812291666675</v>
      </c>
      <c r="K12">
        <v>7.8948166875000005</v>
      </c>
      <c r="M12">
        <f t="shared" si="0"/>
        <v>0.20231422233710966</v>
      </c>
      <c r="Q12" s="33">
        <v>8</v>
      </c>
      <c r="R12">
        <v>2.9241763958333329</v>
      </c>
      <c r="S12">
        <v>4.6062708958333323</v>
      </c>
      <c r="T12">
        <v>5.8580638125000002</v>
      </c>
      <c r="U12">
        <v>7.1477758124999999</v>
      </c>
      <c r="W12" s="33">
        <v>8</v>
      </c>
      <c r="X12">
        <v>4.5344439791666664</v>
      </c>
      <c r="Y12">
        <v>6.3662520000000002</v>
      </c>
      <c r="Z12">
        <v>8.1593705833333328</v>
      </c>
      <c r="AA12">
        <v>9.9474587708333342</v>
      </c>
      <c r="AC12">
        <f t="shared" si="1"/>
        <v>0.20026663340962764</v>
      </c>
    </row>
    <row r="13" spans="1:29" x14ac:dyDescent="0.2">
      <c r="A13" s="33">
        <v>9</v>
      </c>
      <c r="B13">
        <v>2.6921098333333333</v>
      </c>
      <c r="C13">
        <v>3.8094721874999999</v>
      </c>
      <c r="D13">
        <v>4.9643779374999992</v>
      </c>
      <c r="E13">
        <v>5.8916759166666663</v>
      </c>
      <c r="G13" s="33">
        <v>9</v>
      </c>
      <c r="H13">
        <v>3.6920665416666667</v>
      </c>
      <c r="I13">
        <v>5.6255664791666673</v>
      </c>
      <c r="J13">
        <v>6.9144413333333334</v>
      </c>
      <c r="K13">
        <v>7.9531137291666667</v>
      </c>
      <c r="M13">
        <f t="shared" si="0"/>
        <v>0.18867757577212882</v>
      </c>
      <c r="Q13" s="33">
        <v>9</v>
      </c>
      <c r="R13">
        <v>2.9410633749999997</v>
      </c>
      <c r="S13">
        <v>4.6182925416666656</v>
      </c>
      <c r="T13">
        <v>5.9588215</v>
      </c>
      <c r="U13">
        <v>7.1566371666666662</v>
      </c>
      <c r="W13" s="33">
        <v>9</v>
      </c>
      <c r="X13">
        <v>4.6298572916666663</v>
      </c>
      <c r="Y13">
        <v>6.4293035208333329</v>
      </c>
      <c r="Z13">
        <v>8.2967743333333352</v>
      </c>
      <c r="AA13">
        <v>10.131498479166668</v>
      </c>
      <c r="AC13">
        <f t="shared" si="1"/>
        <v>0.19028175643387113</v>
      </c>
    </row>
    <row r="14" spans="1:29" x14ac:dyDescent="0.2">
      <c r="A14" s="33">
        <v>10</v>
      </c>
      <c r="B14">
        <v>2.7309925625</v>
      </c>
      <c r="C14">
        <v>3.8602788541666668</v>
      </c>
      <c r="D14">
        <v>4.9675659374999999</v>
      </c>
      <c r="E14">
        <v>5.8927938749999988</v>
      </c>
      <c r="G14" s="33">
        <v>10</v>
      </c>
      <c r="H14">
        <v>3.7334069999999997</v>
      </c>
      <c r="I14">
        <v>5.6387660416666661</v>
      </c>
      <c r="J14">
        <v>6.9399018125000005</v>
      </c>
      <c r="K14">
        <v>7.9747087708333346</v>
      </c>
      <c r="M14">
        <f t="shared" si="0"/>
        <v>0.18523608103043901</v>
      </c>
      <c r="Q14" s="33">
        <v>10</v>
      </c>
      <c r="R14">
        <v>2.982571375</v>
      </c>
      <c r="S14">
        <v>4.6306163749999989</v>
      </c>
      <c r="T14">
        <v>6.0154222500000003</v>
      </c>
      <c r="U14">
        <v>7.1625024583333339</v>
      </c>
      <c r="W14" s="33">
        <v>10</v>
      </c>
      <c r="X14">
        <v>4.8113368749999994</v>
      </c>
      <c r="Y14">
        <v>6.5142452083333335</v>
      </c>
      <c r="Z14">
        <v>8.3886201666666658</v>
      </c>
      <c r="AA14">
        <v>10.158240166666667</v>
      </c>
      <c r="AC14">
        <f t="shared" si="1"/>
        <v>0.17257668643141372</v>
      </c>
    </row>
    <row r="15" spans="1:29" x14ac:dyDescent="0.2">
      <c r="A15" s="33">
        <v>11</v>
      </c>
      <c r="B15">
        <v>2.7597102499999999</v>
      </c>
      <c r="C15">
        <v>3.9227574583333329</v>
      </c>
      <c r="D15">
        <v>4.9692825625000001</v>
      </c>
      <c r="E15">
        <v>5.896934229166666</v>
      </c>
      <c r="G15" s="33">
        <v>11</v>
      </c>
      <c r="H15">
        <v>3.8534136041666671</v>
      </c>
      <c r="I15">
        <v>5.6688389374999986</v>
      </c>
      <c r="J15">
        <v>6.9878746874999988</v>
      </c>
      <c r="K15">
        <v>7.9768825208333336</v>
      </c>
      <c r="M15">
        <f t="shared" si="0"/>
        <v>0.17207578835362805</v>
      </c>
      <c r="Q15" s="33">
        <v>11</v>
      </c>
      <c r="R15">
        <v>3.0251383958333329</v>
      </c>
      <c r="S15">
        <v>4.632667249999999</v>
      </c>
      <c r="T15">
        <v>6.0512567083333337</v>
      </c>
      <c r="U15">
        <v>7.1682172500000005</v>
      </c>
      <c r="W15" s="33">
        <v>11</v>
      </c>
      <c r="X15">
        <v>4.915394979166666</v>
      </c>
      <c r="Y15">
        <v>6.5596023333333333</v>
      </c>
      <c r="Z15">
        <v>8.4608163124999987</v>
      </c>
      <c r="AA15">
        <v>10.168121208333334</v>
      </c>
      <c r="AC15">
        <f t="shared" si="1"/>
        <v>0.16291850459331106</v>
      </c>
    </row>
    <row r="16" spans="1:29" x14ac:dyDescent="0.2">
      <c r="A16" s="33">
        <v>12</v>
      </c>
      <c r="B16">
        <v>2.7799861458333335</v>
      </c>
      <c r="C16">
        <v>3.9618027708333332</v>
      </c>
      <c r="D16">
        <v>4.9723236249999996</v>
      </c>
      <c r="E16">
        <v>5.9175230833333323</v>
      </c>
      <c r="G16" s="33">
        <v>12</v>
      </c>
      <c r="H16">
        <v>3.987069229166667</v>
      </c>
      <c r="I16">
        <v>5.7077980624999993</v>
      </c>
      <c r="J16">
        <v>6.9999027291666671</v>
      </c>
      <c r="K16">
        <v>7.9784187708333345</v>
      </c>
      <c r="M16">
        <f t="shared" si="0"/>
        <v>0.15898821355985032</v>
      </c>
      <c r="Q16" s="33">
        <v>12</v>
      </c>
      <c r="R16">
        <v>3.0631936041666661</v>
      </c>
      <c r="S16">
        <v>4.632667249999999</v>
      </c>
      <c r="T16">
        <v>6.0781592916666671</v>
      </c>
      <c r="U16">
        <v>7.1869826041666673</v>
      </c>
      <c r="W16" s="33">
        <v>12</v>
      </c>
      <c r="X16">
        <v>5.0142393333333333</v>
      </c>
      <c r="Y16">
        <v>6.6036397500000001</v>
      </c>
      <c r="Z16">
        <v>8.5410133958333336</v>
      </c>
      <c r="AA16">
        <v>10.192992583333334</v>
      </c>
      <c r="AC16">
        <f t="shared" si="1"/>
        <v>0.15418048394027856</v>
      </c>
    </row>
    <row r="17" spans="1:29" x14ac:dyDescent="0.2">
      <c r="A17" s="33">
        <v>13</v>
      </c>
      <c r="B17">
        <v>2.7964268125</v>
      </c>
      <c r="C17">
        <v>3.9946458125000004</v>
      </c>
      <c r="D17">
        <v>4.9794977500000002</v>
      </c>
      <c r="E17">
        <v>5.9512599791666663</v>
      </c>
      <c r="G17" s="33">
        <v>13</v>
      </c>
      <c r="H17">
        <v>4.0196522708333342</v>
      </c>
      <c r="I17">
        <v>5.7273647499999996</v>
      </c>
      <c r="J17">
        <v>7.007292791666667</v>
      </c>
      <c r="K17">
        <v>7.9818763958333339</v>
      </c>
      <c r="M17">
        <f t="shared" si="0"/>
        <v>0.15903372340405747</v>
      </c>
      <c r="Q17" s="33">
        <v>13</v>
      </c>
      <c r="R17">
        <v>3.1016025833333329</v>
      </c>
      <c r="S17">
        <v>4.632667249999999</v>
      </c>
      <c r="T17">
        <v>6.1069952083333341</v>
      </c>
      <c r="U17">
        <v>7.219511625</v>
      </c>
      <c r="W17" s="33">
        <v>13</v>
      </c>
      <c r="X17">
        <v>5.1005799166666668</v>
      </c>
      <c r="Y17">
        <v>6.6994788749999987</v>
      </c>
      <c r="Z17">
        <v>8.5979076458333328</v>
      </c>
      <c r="AA17">
        <v>10.216893041666665</v>
      </c>
      <c r="AC17">
        <f t="shared" si="1"/>
        <v>0.14563005246571786</v>
      </c>
    </row>
    <row r="18" spans="1:29" x14ac:dyDescent="0.2">
      <c r="A18" s="33">
        <v>14</v>
      </c>
      <c r="B18">
        <v>2.8215365000000001</v>
      </c>
      <c r="C18">
        <v>4.0799289999999999</v>
      </c>
      <c r="D18">
        <v>4.9919006458333328</v>
      </c>
      <c r="E18">
        <v>5.993351624999999</v>
      </c>
      <c r="G18" s="33">
        <v>14</v>
      </c>
      <c r="H18">
        <v>4.0669013541666672</v>
      </c>
      <c r="I18">
        <v>5.7433233750000001</v>
      </c>
      <c r="J18">
        <v>7.0195109374999998</v>
      </c>
      <c r="K18">
        <v>7.9913524166666656</v>
      </c>
      <c r="M18">
        <f t="shared" si="0"/>
        <v>0.16089274205395346</v>
      </c>
      <c r="Q18" s="33">
        <v>14</v>
      </c>
      <c r="R18">
        <v>3.1463650624999997</v>
      </c>
      <c r="S18">
        <v>4.632667249999999</v>
      </c>
      <c r="T18">
        <v>6.141855041666668</v>
      </c>
      <c r="U18">
        <v>7.2876207708333336</v>
      </c>
      <c r="W18" s="33">
        <v>14</v>
      </c>
      <c r="X18">
        <v>5.1911860833333332</v>
      </c>
      <c r="Y18">
        <v>6.8045396250000003</v>
      </c>
      <c r="Z18">
        <v>8.6418376874999989</v>
      </c>
      <c r="AA18">
        <v>10.246340229166668</v>
      </c>
      <c r="AC18">
        <f t="shared" si="1"/>
        <v>0.13945657586888249</v>
      </c>
    </row>
    <row r="19" spans="1:29" x14ac:dyDescent="0.2">
      <c r="A19" s="33">
        <v>15</v>
      </c>
      <c r="B19">
        <v>2.8855793958333331</v>
      </c>
      <c r="C19">
        <v>4.1992700208333336</v>
      </c>
      <c r="D19">
        <v>5.0765635624999996</v>
      </c>
      <c r="E19">
        <v>6.056800145833332</v>
      </c>
      <c r="G19" s="33">
        <v>15</v>
      </c>
      <c r="H19">
        <v>4.1747376458333338</v>
      </c>
      <c r="I19">
        <v>5.7612148125000004</v>
      </c>
      <c r="J19">
        <v>7.0403091666666668</v>
      </c>
      <c r="K19">
        <v>8.002163645833333</v>
      </c>
      <c r="M19">
        <f t="shared" si="0"/>
        <v>0.16455155307697703</v>
      </c>
      <c r="Q19" s="33">
        <v>15</v>
      </c>
      <c r="R19">
        <v>3.2096358958333333</v>
      </c>
      <c r="S19">
        <v>4.6450377083333327</v>
      </c>
      <c r="T19">
        <v>6.2291961249999996</v>
      </c>
      <c r="U19">
        <v>7.335569645833333</v>
      </c>
      <c r="W19" s="33">
        <v>15</v>
      </c>
      <c r="X19">
        <v>5.2902779791666656</v>
      </c>
      <c r="Y19">
        <v>6.8675233124999995</v>
      </c>
      <c r="Z19">
        <v>8.6866557083333333</v>
      </c>
      <c r="AA19">
        <v>10.280488</v>
      </c>
      <c r="AC19">
        <f t="shared" si="1"/>
        <v>0.13635282516084662</v>
      </c>
    </row>
    <row r="20" spans="1:29" x14ac:dyDescent="0.2">
      <c r="A20" s="33">
        <v>16</v>
      </c>
      <c r="B20">
        <v>3.0308446250000003</v>
      </c>
      <c r="C20">
        <v>4.3256317291666662</v>
      </c>
      <c r="D20">
        <v>5.2062796458333338</v>
      </c>
      <c r="E20">
        <v>6.1310064999999998</v>
      </c>
      <c r="G20" s="33">
        <v>16</v>
      </c>
      <c r="H20">
        <v>4.2261122291666666</v>
      </c>
      <c r="I20">
        <v>5.7804945833333328</v>
      </c>
      <c r="J20">
        <v>7.0600612500000004</v>
      </c>
      <c r="K20">
        <v>8.0229441249999986</v>
      </c>
      <c r="M20">
        <f t="shared" si="0"/>
        <v>0.18019552301241284</v>
      </c>
      <c r="Q20" s="33">
        <v>16</v>
      </c>
      <c r="R20">
        <v>3.269608625</v>
      </c>
      <c r="S20">
        <v>4.7162738749999988</v>
      </c>
      <c r="T20">
        <v>6.2846066249999986</v>
      </c>
      <c r="U20">
        <v>7.3810599166666666</v>
      </c>
      <c r="W20" s="33">
        <v>16</v>
      </c>
      <c r="X20">
        <v>5.3797509999999988</v>
      </c>
      <c r="Y20">
        <v>6.917976354166667</v>
      </c>
      <c r="Z20">
        <v>8.7641045833333351</v>
      </c>
      <c r="AA20">
        <v>10.317193458333332</v>
      </c>
      <c r="AC20">
        <f t="shared" si="1"/>
        <v>0.1336347001081967</v>
      </c>
    </row>
    <row r="21" spans="1:29" x14ac:dyDescent="0.2">
      <c r="A21" s="33">
        <v>17</v>
      </c>
      <c r="B21">
        <v>3.0841400416666667</v>
      </c>
      <c r="C21">
        <v>4.4302165000000002</v>
      </c>
      <c r="D21">
        <v>5.3051244791666665</v>
      </c>
      <c r="E21">
        <v>6.2172295416666667</v>
      </c>
      <c r="G21" s="33">
        <v>17</v>
      </c>
      <c r="H21">
        <v>4.2662819583333338</v>
      </c>
      <c r="I21">
        <v>5.8520161041666672</v>
      </c>
      <c r="J21">
        <v>7.0800166666666673</v>
      </c>
      <c r="K21">
        <v>8.0542273958333332</v>
      </c>
      <c r="M21">
        <f t="shared" si="0"/>
        <v>0.19124086002777363</v>
      </c>
      <c r="Q21" s="33">
        <v>17</v>
      </c>
      <c r="R21">
        <v>3.4176080625000003</v>
      </c>
      <c r="S21">
        <v>4.746329499999999</v>
      </c>
      <c r="T21">
        <v>6.3233504166666661</v>
      </c>
      <c r="U21">
        <v>7.4246976666666669</v>
      </c>
      <c r="W21" s="33">
        <v>17</v>
      </c>
      <c r="X21">
        <v>5.4125704375000003</v>
      </c>
      <c r="Y21">
        <v>7.0030291250000012</v>
      </c>
      <c r="Z21">
        <v>8.8237171041666667</v>
      </c>
      <c r="AA21">
        <v>10.363256604166667</v>
      </c>
      <c r="AC21">
        <f t="shared" si="1"/>
        <v>0.13206274536323978</v>
      </c>
    </row>
    <row r="22" spans="1:29" x14ac:dyDescent="0.2">
      <c r="A22" s="33">
        <v>18</v>
      </c>
      <c r="B22">
        <v>3.1588656458333335</v>
      </c>
      <c r="C22">
        <v>4.4926803958333341</v>
      </c>
      <c r="D22">
        <v>5.4031269791666663</v>
      </c>
      <c r="E22">
        <v>6.3315414583333336</v>
      </c>
      <c r="G22" s="33">
        <v>18</v>
      </c>
      <c r="H22">
        <v>4.3163083333333336</v>
      </c>
      <c r="I22">
        <v>5.9234103749999996</v>
      </c>
      <c r="J22">
        <v>7.1004171458333332</v>
      </c>
      <c r="K22">
        <v>8.0833959375000006</v>
      </c>
      <c r="M22">
        <f t="shared" si="0"/>
        <v>0.20274251110834707</v>
      </c>
      <c r="Q22" s="33">
        <v>18</v>
      </c>
      <c r="R22">
        <v>3.594875270833334</v>
      </c>
      <c r="S22">
        <v>4.746329499999999</v>
      </c>
      <c r="T22">
        <v>6.4225109791666668</v>
      </c>
      <c r="U22">
        <v>7.5386470416666675</v>
      </c>
      <c r="W22" s="33">
        <v>18</v>
      </c>
      <c r="X22">
        <v>5.4213190833333327</v>
      </c>
      <c r="Y22">
        <v>7.0892304166666671</v>
      </c>
      <c r="Z22">
        <v>8.8800744791666659</v>
      </c>
      <c r="AA22">
        <v>10.4081258125</v>
      </c>
      <c r="AC22">
        <f t="shared" si="1"/>
        <v>0.13878016855756911</v>
      </c>
    </row>
    <row r="23" spans="1:29" x14ac:dyDescent="0.2">
      <c r="A23" s="33">
        <v>19</v>
      </c>
      <c r="B23">
        <v>3.2602162708333333</v>
      </c>
      <c r="C23">
        <v>4.552987916666666</v>
      </c>
      <c r="D23">
        <v>5.5173377916666677</v>
      </c>
      <c r="E23">
        <v>6.3804867083333345</v>
      </c>
      <c r="G23" s="33">
        <v>19</v>
      </c>
      <c r="H23">
        <v>4.3661559583333327</v>
      </c>
      <c r="I23">
        <v>6.0058077708333339</v>
      </c>
      <c r="J23">
        <v>7.123398166666667</v>
      </c>
      <c r="K23">
        <v>8.1177307083333332</v>
      </c>
      <c r="M23">
        <f t="shared" si="0"/>
        <v>0.20827106704783929</v>
      </c>
      <c r="Q23" s="33">
        <v>19</v>
      </c>
      <c r="R23">
        <v>3.6714894583333337</v>
      </c>
      <c r="S23">
        <v>4.754859166666666</v>
      </c>
      <c r="T23">
        <v>6.5319451041666667</v>
      </c>
      <c r="U23">
        <v>7.6262748333333334</v>
      </c>
      <c r="W23" s="33">
        <v>19</v>
      </c>
      <c r="X23">
        <v>5.4509752499999999</v>
      </c>
      <c r="Y23">
        <v>7.1644228749999996</v>
      </c>
      <c r="Z23">
        <v>8.9373282708333335</v>
      </c>
      <c r="AA23">
        <v>10.458668291666667</v>
      </c>
      <c r="AC23">
        <f t="shared" si="1"/>
        <v>0.14328195179104228</v>
      </c>
    </row>
    <row r="24" spans="1:29" x14ac:dyDescent="0.2">
      <c r="A24" s="33">
        <v>20</v>
      </c>
      <c r="B24">
        <v>3.3751825000000002</v>
      </c>
      <c r="C24">
        <v>4.6093385833333338</v>
      </c>
      <c r="D24">
        <v>5.6209316666666664</v>
      </c>
      <c r="E24">
        <v>6.4695476041666655</v>
      </c>
      <c r="G24" s="33">
        <v>20</v>
      </c>
      <c r="H24">
        <v>4.4107841249999993</v>
      </c>
      <c r="I24">
        <v>6.075770958333333</v>
      </c>
      <c r="J24">
        <v>7.1723945208333344</v>
      </c>
      <c r="K24">
        <v>8.1977424375000005</v>
      </c>
      <c r="M24">
        <f t="shared" si="0"/>
        <v>0.21750224511414798</v>
      </c>
      <c r="Q24" s="33">
        <v>20</v>
      </c>
      <c r="R24">
        <v>3.8490621875</v>
      </c>
      <c r="S24">
        <v>4.8439764999999992</v>
      </c>
      <c r="T24">
        <v>6.6318213541666671</v>
      </c>
      <c r="U24">
        <v>7.7329342916666679</v>
      </c>
      <c r="W24" s="33">
        <v>20</v>
      </c>
      <c r="X24">
        <v>5.5138118958333333</v>
      </c>
      <c r="Y24">
        <v>7.2266571875000007</v>
      </c>
      <c r="Z24">
        <v>8.9987167291666683</v>
      </c>
      <c r="AA24">
        <v>10.507085958333333</v>
      </c>
      <c r="AC24">
        <f t="shared" si="1"/>
        <v>0.14953525474962781</v>
      </c>
    </row>
    <row r="25" spans="1:29" x14ac:dyDescent="0.2">
      <c r="A25" s="33">
        <v>21</v>
      </c>
      <c r="B25">
        <v>3.4663315833333339</v>
      </c>
      <c r="C25">
        <v>4.6736032500000011</v>
      </c>
      <c r="D25">
        <v>5.7256426666666655</v>
      </c>
      <c r="E25">
        <v>6.6024186666666669</v>
      </c>
      <c r="G25" s="33">
        <v>21</v>
      </c>
      <c r="H25">
        <v>4.4518706041666665</v>
      </c>
      <c r="I25">
        <v>6.1348994166666673</v>
      </c>
      <c r="J25">
        <v>7.2967723124999999</v>
      </c>
      <c r="K25">
        <v>8.3549541041666675</v>
      </c>
      <c r="M25">
        <f t="shared" si="0"/>
        <v>0.22845582491257502</v>
      </c>
      <c r="Q25" s="33">
        <v>21</v>
      </c>
      <c r="R25">
        <v>4.0567753750000008</v>
      </c>
      <c r="S25">
        <v>4.9847617291666664</v>
      </c>
      <c r="T25">
        <v>6.7192760625000014</v>
      </c>
      <c r="U25">
        <v>7.8587881458333335</v>
      </c>
      <c r="W25" s="33">
        <v>21</v>
      </c>
      <c r="X25">
        <v>5.6015804375000009</v>
      </c>
      <c r="Y25">
        <v>7.2536820625000011</v>
      </c>
      <c r="Z25">
        <v>9.0751178541666668</v>
      </c>
      <c r="AA25">
        <v>10.561283687500001</v>
      </c>
      <c r="AC25">
        <f t="shared" si="1"/>
        <v>0.15800813738846095</v>
      </c>
    </row>
    <row r="26" spans="1:29" x14ac:dyDescent="0.2">
      <c r="A26" s="33">
        <v>22</v>
      </c>
      <c r="B26">
        <v>3.5138585625000012</v>
      </c>
      <c r="C26">
        <v>4.7603286458333338</v>
      </c>
      <c r="D26">
        <v>5.7919210208333336</v>
      </c>
      <c r="E26">
        <v>6.6797906249999999</v>
      </c>
      <c r="G26" s="33">
        <v>22</v>
      </c>
      <c r="H26">
        <v>4.5368211875000002</v>
      </c>
      <c r="I26">
        <v>6.2632709999999996</v>
      </c>
      <c r="J26">
        <v>7.4320870416666649</v>
      </c>
      <c r="K26">
        <v>8.4427305416666663</v>
      </c>
      <c r="M26">
        <f t="shared" si="0"/>
        <v>0.21927773454906752</v>
      </c>
      <c r="Q26" s="33">
        <v>22</v>
      </c>
      <c r="R26">
        <v>4.2173818958333333</v>
      </c>
      <c r="S26">
        <v>5.1547782083333331</v>
      </c>
      <c r="T26">
        <v>6.7982846041666676</v>
      </c>
      <c r="U26">
        <v>7.9424832083333339</v>
      </c>
      <c r="W26" s="33">
        <v>22</v>
      </c>
      <c r="X26">
        <v>5.6198907499999997</v>
      </c>
      <c r="Y26">
        <v>7.3052203333333345</v>
      </c>
      <c r="Z26">
        <v>9.127648708333334</v>
      </c>
      <c r="AA26">
        <v>10.609817666666666</v>
      </c>
      <c r="AC26">
        <f t="shared" si="1"/>
        <v>0.16891412164053876</v>
      </c>
    </row>
    <row r="27" spans="1:29" x14ac:dyDescent="0.2">
      <c r="A27" s="33">
        <v>23</v>
      </c>
      <c r="B27">
        <v>3.5567105208333341</v>
      </c>
      <c r="C27">
        <v>4.8372605416666667</v>
      </c>
      <c r="D27">
        <v>5.822744666666666</v>
      </c>
      <c r="E27">
        <v>6.7412418750000001</v>
      </c>
      <c r="G27" s="33">
        <v>23</v>
      </c>
      <c r="H27">
        <v>4.6509103958333338</v>
      </c>
      <c r="I27">
        <v>6.3698761250000011</v>
      </c>
      <c r="J27">
        <v>7.4969626666666658</v>
      </c>
      <c r="K27">
        <v>8.5166433125000012</v>
      </c>
      <c r="M27">
        <f t="shared" si="0"/>
        <v>0.2066338053696791</v>
      </c>
      <c r="Q27" s="33">
        <v>23</v>
      </c>
      <c r="R27">
        <v>4.354289416666667</v>
      </c>
      <c r="S27">
        <v>5.3490766250000004</v>
      </c>
      <c r="T27">
        <v>6.8697384583333339</v>
      </c>
      <c r="U27">
        <v>8.0605937916666672</v>
      </c>
      <c r="W27" s="33">
        <v>23</v>
      </c>
      <c r="X27">
        <v>5.6692562291666668</v>
      </c>
      <c r="Y27">
        <v>7.3847831458333335</v>
      </c>
      <c r="Z27">
        <v>9.1705473333333334</v>
      </c>
      <c r="AA27">
        <v>10.668008083333334</v>
      </c>
      <c r="AC27">
        <f t="shared" si="1"/>
        <v>0.17925666463771373</v>
      </c>
    </row>
    <row r="28" spans="1:29" x14ac:dyDescent="0.2">
      <c r="A28" s="33">
        <v>24</v>
      </c>
      <c r="B28">
        <v>3.626290458333334</v>
      </c>
      <c r="C28">
        <v>4.8921359166666667</v>
      </c>
      <c r="D28">
        <v>5.8407187499999988</v>
      </c>
      <c r="E28">
        <v>6.817319812500001</v>
      </c>
      <c r="G28" s="33">
        <v>24</v>
      </c>
      <c r="H28">
        <v>4.7704936666666669</v>
      </c>
      <c r="I28">
        <v>6.4606915416666677</v>
      </c>
      <c r="J28">
        <v>7.5150779999999999</v>
      </c>
      <c r="K28">
        <v>8.6616497291666654</v>
      </c>
      <c r="M28">
        <f t="shared" si="0"/>
        <v>0.19599031791760643</v>
      </c>
      <c r="Q28" s="33">
        <v>24</v>
      </c>
      <c r="R28">
        <v>4.50247025</v>
      </c>
      <c r="S28">
        <v>5.4923854166666661</v>
      </c>
      <c r="T28">
        <v>6.892811145833333</v>
      </c>
      <c r="U28">
        <v>8.1593068750000004</v>
      </c>
      <c r="W28" s="33">
        <v>24</v>
      </c>
      <c r="X28">
        <v>5.8085489375000003</v>
      </c>
      <c r="Y28">
        <v>7.4671239791666677</v>
      </c>
      <c r="Z28">
        <v>9.2257511875000002</v>
      </c>
      <c r="AA28">
        <v>10.691020229166666</v>
      </c>
      <c r="AC28">
        <f t="shared" si="1"/>
        <v>0.17604964871362797</v>
      </c>
    </row>
    <row r="29" spans="1:29" x14ac:dyDescent="0.2">
      <c r="A29" s="25"/>
    </row>
  </sheetData>
  <mergeCells count="4">
    <mergeCell ref="R2:U2"/>
    <mergeCell ref="X2:AA2"/>
    <mergeCell ref="B2:E2"/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Non-cum 1day avg of avgs</vt:lpstr>
      <vt:lpstr>Non-Cumulative 1 day avg</vt:lpstr>
      <vt:lpstr>Food Uptake 1hr</vt:lpstr>
      <vt:lpstr>Raw Data and Rebinning Avg's</vt:lpstr>
      <vt:lpstr>1.5 day food intake avg</vt:lpstr>
      <vt:lpstr>1 day food intake 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Yu</dc:creator>
  <cp:lastModifiedBy>Amy Yu</cp:lastModifiedBy>
  <dcterms:created xsi:type="dcterms:W3CDTF">2019-04-03T06:52:02Z</dcterms:created>
  <dcterms:modified xsi:type="dcterms:W3CDTF">2019-05-29T05:12:49Z</dcterms:modified>
</cp:coreProperties>
</file>