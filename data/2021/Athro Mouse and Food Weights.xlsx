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F84D8A5F-DC79-3E49-9BBA-C6D0B7985187}" xr6:coauthVersionLast="43" xr6:coauthVersionMax="43" xr10:uidLastSave="{00000000-0000-0000-0000-000000000000}"/>
  <bookViews>
    <workbookView xWindow="0" yWindow="460" windowWidth="25600" windowHeight="14600" activeTab="2" xr2:uid="{1282780D-5301-E240-B38E-9E319622FDD2}"/>
  </bookViews>
  <sheets>
    <sheet name="24hr stool collections Mouse ID" sheetId="7" r:id="rId1"/>
    <sheet name="Mouse ID Key" sheetId="2" r:id="rId2"/>
    <sheet name="Mouse Weights" sheetId="1" r:id="rId3"/>
    <sheet name="Food Consumed" sheetId="4" r:id="rId4"/>
    <sheet name="g food per mouse per week" sheetId="9" r:id="rId5"/>
    <sheet name="cum food intake take " sheetId="10" r:id="rId6"/>
    <sheet name="Cum food intake take 1" sheetId="8" state="hidden" r:id="rId7"/>
    <sheet name="Cumulative Food Intake" sheetId="6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30" i="10" l="1"/>
  <c r="AR22" i="10"/>
  <c r="AF36" i="10"/>
  <c r="AF37" i="10"/>
  <c r="AF38" i="10"/>
  <c r="AF39" i="10"/>
  <c r="AF25" i="10"/>
  <c r="AF26" i="10"/>
  <c r="AF27" i="10"/>
  <c r="AF28" i="10"/>
  <c r="AF29" i="10"/>
  <c r="AF30" i="10"/>
  <c r="AF31" i="10"/>
  <c r="AF32" i="10"/>
  <c r="AF33" i="10"/>
  <c r="AF34" i="10"/>
  <c r="AF23" i="10"/>
  <c r="AF24" i="10"/>
  <c r="AF22" i="10"/>
  <c r="AG39" i="10"/>
  <c r="AZ39" i="10"/>
  <c r="AZ30" i="10"/>
  <c r="AZ31" i="10"/>
  <c r="AZ32" i="10"/>
  <c r="AZ33" i="10"/>
  <c r="AZ34" i="10"/>
  <c r="AZ35" i="10"/>
  <c r="AZ36" i="10"/>
  <c r="AZ37" i="10"/>
  <c r="AZ38" i="10"/>
  <c r="AZ29" i="10"/>
  <c r="AZ23" i="10"/>
  <c r="AZ24" i="10"/>
  <c r="AZ25" i="10"/>
  <c r="AZ26" i="10"/>
  <c r="AZ27" i="10"/>
  <c r="AZ28" i="10"/>
  <c r="AZ22" i="10"/>
  <c r="BG39" i="10"/>
  <c r="BG30" i="10"/>
  <c r="BG31" i="10"/>
  <c r="BG32" i="10"/>
  <c r="BG33" i="10"/>
  <c r="BG34" i="10"/>
  <c r="BG35" i="10"/>
  <c r="BG36" i="10"/>
  <c r="BG37" i="10"/>
  <c r="BG38" i="10"/>
  <c r="BG29" i="10"/>
  <c r="BG28" i="10"/>
  <c r="AI39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22" i="10"/>
  <c r="AH39" i="10"/>
  <c r="AH37" i="10"/>
  <c r="AH38" i="10"/>
  <c r="AH36" i="10"/>
  <c r="AH35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22" i="10"/>
  <c r="AG31" i="10"/>
  <c r="AG32" i="10"/>
  <c r="AG33" i="10"/>
  <c r="AG34" i="10"/>
  <c r="AG35" i="10"/>
  <c r="AG36" i="10"/>
  <c r="AG37" i="10"/>
  <c r="AG38" i="10"/>
  <c r="AG30" i="10"/>
  <c r="AG23" i="10"/>
  <c r="AG24" i="10"/>
  <c r="AG25" i="10"/>
  <c r="AG26" i="10"/>
  <c r="AG27" i="10"/>
  <c r="AG28" i="10"/>
  <c r="AG29" i="10"/>
  <c r="AG22" i="10"/>
  <c r="AF35" i="10"/>
  <c r="AE36" i="10"/>
  <c r="AE37" i="10"/>
  <c r="AE38" i="10"/>
  <c r="AE35" i="10"/>
  <c r="AE30" i="10"/>
  <c r="AE31" i="10"/>
  <c r="AE32" i="10"/>
  <c r="AE33" i="10"/>
  <c r="AE34" i="10"/>
  <c r="AE39" i="10"/>
  <c r="AE29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22" i="10"/>
  <c r="AC30" i="10"/>
  <c r="AC31" i="10"/>
  <c r="AC32" i="10"/>
  <c r="AC33" i="10"/>
  <c r="AC34" i="10"/>
  <c r="AC35" i="10"/>
  <c r="AC36" i="10"/>
  <c r="AC37" i="10"/>
  <c r="AC38" i="10"/>
  <c r="AC39" i="10"/>
  <c r="AC29" i="10"/>
  <c r="AC28" i="10"/>
  <c r="AC27" i="10"/>
  <c r="AC26" i="10"/>
  <c r="AC25" i="10"/>
  <c r="AC24" i="10"/>
  <c r="AC23" i="10"/>
  <c r="AQ38" i="10" s="1"/>
  <c r="AC22" i="10"/>
  <c r="AQ36" i="10" s="1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22" i="10"/>
  <c r="AA36" i="10"/>
  <c r="AA37" i="10"/>
  <c r="AA38" i="10"/>
  <c r="BA18" i="10" s="1"/>
  <c r="AA39" i="10"/>
  <c r="AA35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22" i="10"/>
  <c r="AM23" i="10" s="1"/>
  <c r="AQ29" i="10" l="1"/>
  <c r="AQ33" i="10"/>
  <c r="BA9" i="10"/>
  <c r="AQ34" i="10"/>
  <c r="BA15" i="10"/>
  <c r="BA11" i="10"/>
  <c r="BA7" i="10"/>
  <c r="BA3" i="10"/>
  <c r="AQ31" i="10"/>
  <c r="AQ35" i="10"/>
  <c r="AO27" i="10"/>
  <c r="AQ37" i="10"/>
  <c r="BA13" i="10"/>
  <c r="BA5" i="10"/>
  <c r="AQ30" i="10"/>
  <c r="AQ32" i="10"/>
  <c r="BA19" i="10"/>
  <c r="AN25" i="10"/>
  <c r="BA4" i="10"/>
  <c r="AP24" i="10"/>
  <c r="AS37" i="10"/>
  <c r="AU34" i="10"/>
  <c r="AM35" i="10"/>
  <c r="AY35" i="10" s="1"/>
  <c r="AR39" i="10"/>
  <c r="AT39" i="10"/>
  <c r="BA12" i="10"/>
  <c r="BA8" i="10"/>
  <c r="AT33" i="10"/>
  <c r="BA14" i="10"/>
  <c r="BA10" i="10"/>
  <c r="BA6" i="10"/>
  <c r="BA16" i="10"/>
  <c r="BA17" i="10"/>
  <c r="AO34" i="10"/>
  <c r="AS32" i="10"/>
  <c r="AU39" i="10"/>
  <c r="AT22" i="10"/>
  <c r="AT24" i="10"/>
  <c r="AU38" i="10"/>
  <c r="AU36" i="10"/>
  <c r="AS35" i="10"/>
  <c r="AP34" i="10"/>
  <c r="AU32" i="10"/>
  <c r="AP31" i="10"/>
  <c r="AP29" i="10"/>
  <c r="AP27" i="10"/>
  <c r="BA2" i="10"/>
  <c r="AM27" i="10"/>
  <c r="AM32" i="10"/>
  <c r="AM37" i="10"/>
  <c r="BA22" i="10"/>
  <c r="AU23" i="10"/>
  <c r="AP23" i="10"/>
  <c r="AR24" i="10"/>
  <c r="BA24" i="10" s="1"/>
  <c r="AU25" i="10"/>
  <c r="AP25" i="10"/>
  <c r="AT38" i="10"/>
  <c r="AO38" i="10"/>
  <c r="AT36" i="10"/>
  <c r="AO36" i="10"/>
  <c r="AT34" i="10"/>
  <c r="AT32" i="10"/>
  <c r="AU31" i="10"/>
  <c r="AU30" i="10"/>
  <c r="AU29" i="10"/>
  <c r="AU28" i="10"/>
  <c r="AU27" i="10"/>
  <c r="AU26" i="10"/>
  <c r="AP39" i="10"/>
  <c r="AM31" i="10"/>
  <c r="AY31" i="10" s="1"/>
  <c r="AN22" i="10"/>
  <c r="AN24" i="10"/>
  <c r="AP38" i="10"/>
  <c r="AP36" i="10"/>
  <c r="AS33" i="10"/>
  <c r="AP32" i="10"/>
  <c r="AP30" i="10"/>
  <c r="AP28" i="10"/>
  <c r="AP26" i="10"/>
  <c r="AR26" i="10"/>
  <c r="AR27" i="10"/>
  <c r="AR28" i="10"/>
  <c r="BA28" i="10" s="1"/>
  <c r="AR29" i="10"/>
  <c r="BA29" i="10" s="1"/>
  <c r="AR31" i="10"/>
  <c r="AR32" i="10"/>
  <c r="AR33" i="10"/>
  <c r="AR34" i="10"/>
  <c r="AR35" i="10"/>
  <c r="AR36" i="10"/>
  <c r="AR37" i="10"/>
  <c r="AR38" i="10"/>
  <c r="BA38" i="10" s="1"/>
  <c r="AM38" i="10"/>
  <c r="AO25" i="10"/>
  <c r="AM28" i="10"/>
  <c r="AY28" i="10" s="1"/>
  <c r="AM33" i="10"/>
  <c r="AM39" i="10"/>
  <c r="AT23" i="10"/>
  <c r="BB23" i="10" s="1"/>
  <c r="AN23" i="10"/>
  <c r="BF23" i="10" s="1"/>
  <c r="AT25" i="10"/>
  <c r="AS38" i="10"/>
  <c r="AU37" i="10"/>
  <c r="AP37" i="10"/>
  <c r="AS36" i="10"/>
  <c r="AU35" i="10"/>
  <c r="AP35" i="10"/>
  <c r="AS34" i="10"/>
  <c r="AU33" i="10"/>
  <c r="AP33" i="10"/>
  <c r="AT31" i="10"/>
  <c r="AT30" i="10"/>
  <c r="AT29" i="10"/>
  <c r="AT28" i="10"/>
  <c r="AT27" i="10"/>
  <c r="AT26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M25" i="10"/>
  <c r="AM36" i="10"/>
  <c r="AO26" i="10"/>
  <c r="AO28" i="10"/>
  <c r="AQ28" i="10" s="1"/>
  <c r="AO29" i="10"/>
  <c r="AO30" i="10"/>
  <c r="AO31" i="10"/>
  <c r="AO32" i="10"/>
  <c r="AS39" i="10"/>
  <c r="AS25" i="10"/>
  <c r="AS24" i="10"/>
  <c r="AS23" i="10"/>
  <c r="AS22" i="10"/>
  <c r="AS26" i="10"/>
  <c r="AS27" i="10"/>
  <c r="AS28" i="10"/>
  <c r="AS29" i="10"/>
  <c r="AS30" i="10"/>
  <c r="AS31" i="10"/>
  <c r="AM24" i="10"/>
  <c r="AY24" i="10" s="1"/>
  <c r="AM29" i="10"/>
  <c r="AU22" i="10"/>
  <c r="BI22" i="10" s="1"/>
  <c r="AP22" i="10"/>
  <c r="AR23" i="10"/>
  <c r="AU24" i="10"/>
  <c r="AR25" i="10"/>
  <c r="AO39" i="10"/>
  <c r="AT37" i="10"/>
  <c r="AO37" i="10"/>
  <c r="AT35" i="10"/>
  <c r="AO35" i="10"/>
  <c r="AO33" i="10"/>
  <c r="AM22" i="10"/>
  <c r="AM26" i="10"/>
  <c r="AY26" i="10" s="1"/>
  <c r="AM30" i="10"/>
  <c r="AY30" i="10" s="1"/>
  <c r="AM34" i="10"/>
  <c r="AY34" i="10" s="1"/>
  <c r="AO22" i="10"/>
  <c r="AO23" i="10"/>
  <c r="AO24" i="10"/>
  <c r="BA36" i="10" l="1"/>
  <c r="BG23" i="10"/>
  <c r="AQ23" i="10"/>
  <c r="AQ22" i="10"/>
  <c r="BG22" i="10"/>
  <c r="BI35" i="10"/>
  <c r="BB35" i="10"/>
  <c r="BH25" i="10"/>
  <c r="BA25" i="10"/>
  <c r="BF36" i="10"/>
  <c r="AY36" i="10"/>
  <c r="BI30" i="10"/>
  <c r="BB30" i="10"/>
  <c r="BH37" i="10"/>
  <c r="BA37" i="10"/>
  <c r="BH33" i="10"/>
  <c r="BA33" i="10"/>
  <c r="BI36" i="10"/>
  <c r="BB36" i="10"/>
  <c r="BG27" i="10"/>
  <c r="AQ27" i="10"/>
  <c r="BI31" i="10"/>
  <c r="BB31" i="10"/>
  <c r="BG25" i="10"/>
  <c r="AQ25" i="10"/>
  <c r="BA32" i="10"/>
  <c r="BB32" i="10"/>
  <c r="BI37" i="10"/>
  <c r="BB37" i="10"/>
  <c r="BH23" i="10"/>
  <c r="BA23" i="10"/>
  <c r="BI28" i="10"/>
  <c r="BB28" i="10"/>
  <c r="AY39" i="10"/>
  <c r="AY38" i="10"/>
  <c r="BH35" i="10"/>
  <c r="BA35" i="10"/>
  <c r="BA31" i="10"/>
  <c r="BA27" i="10"/>
  <c r="BI34" i="10"/>
  <c r="BB34" i="10"/>
  <c r="BB38" i="10"/>
  <c r="AY32" i="10"/>
  <c r="BB22" i="10"/>
  <c r="BB39" i="10"/>
  <c r="BI26" i="10"/>
  <c r="BB26" i="10"/>
  <c r="BF22" i="10"/>
  <c r="AY22" i="10"/>
  <c r="BF29" i="10"/>
  <c r="AY29" i="10"/>
  <c r="BF25" i="10"/>
  <c r="AY25" i="10"/>
  <c r="BI27" i="10"/>
  <c r="BB27" i="10"/>
  <c r="AY37" i="10"/>
  <c r="BB24" i="10"/>
  <c r="BG24" i="10"/>
  <c r="AQ24" i="10"/>
  <c r="AQ26" i="10"/>
  <c r="BG26" i="10"/>
  <c r="BI29" i="10"/>
  <c r="BB29" i="10"/>
  <c r="BI25" i="10"/>
  <c r="BB25" i="10"/>
  <c r="AY33" i="10"/>
  <c r="BA34" i="10"/>
  <c r="BA30" i="10"/>
  <c r="BA26" i="10"/>
  <c r="AY27" i="10"/>
  <c r="BB33" i="10"/>
  <c r="BA39" i="10"/>
  <c r="AY23" i="10"/>
  <c r="BF35" i="10"/>
  <c r="BH32" i="10"/>
  <c r="BF39" i="10"/>
  <c r="BH39" i="10"/>
  <c r="BH38" i="10"/>
  <c r="BI33" i="10"/>
  <c r="BH31" i="10"/>
  <c r="BH27" i="10"/>
  <c r="BF27" i="10"/>
  <c r="BI39" i="10"/>
  <c r="BF38" i="10"/>
  <c r="BH34" i="10"/>
  <c r="BH30" i="10"/>
  <c r="BH26" i="10"/>
  <c r="BH22" i="10"/>
  <c r="BF34" i="10"/>
  <c r="BF33" i="10"/>
  <c r="BF24" i="10"/>
  <c r="BF28" i="10"/>
  <c r="BH29" i="10"/>
  <c r="BH24" i="10"/>
  <c r="BF37" i="10"/>
  <c r="BI24" i="10"/>
  <c r="BF30" i="10"/>
  <c r="BF26" i="10"/>
  <c r="BI23" i="10"/>
  <c r="BH36" i="10"/>
  <c r="BH28" i="10"/>
  <c r="BF31" i="10"/>
  <c r="BI32" i="10"/>
  <c r="BI38" i="10"/>
  <c r="BF32" i="10"/>
  <c r="AP19" i="10" l="1"/>
  <c r="AP18" i="10"/>
  <c r="AP17" i="10"/>
  <c r="AP3" i="10"/>
  <c r="AP4" i="10"/>
  <c r="AP5" i="10"/>
  <c r="AP6" i="10"/>
  <c r="AP7" i="10"/>
  <c r="AP8" i="10"/>
  <c r="AP9" i="10"/>
  <c r="AP10" i="10"/>
  <c r="AP11" i="10"/>
  <c r="AP12" i="10"/>
  <c r="AP13" i="10"/>
  <c r="AP14" i="10"/>
  <c r="AP2" i="10"/>
  <c r="AP16" i="10"/>
  <c r="AP15" i="10"/>
  <c r="AO3" i="10"/>
  <c r="AO4" i="10"/>
  <c r="AO5" i="10"/>
  <c r="AO6" i="10"/>
  <c r="AO7" i="10"/>
  <c r="AO8" i="10"/>
  <c r="AO9" i="10"/>
  <c r="AO2" i="10"/>
  <c r="AO11" i="10"/>
  <c r="AO12" i="10"/>
  <c r="AO13" i="10"/>
  <c r="AO14" i="10"/>
  <c r="AO15" i="10"/>
  <c r="AO16" i="10"/>
  <c r="AO17" i="10"/>
  <c r="AO18" i="10"/>
  <c r="AO19" i="10"/>
  <c r="AO10" i="10"/>
  <c r="AN19" i="10"/>
  <c r="AN16" i="10"/>
  <c r="AN17" i="10"/>
  <c r="AN18" i="10"/>
  <c r="AN15" i="10"/>
  <c r="AN3" i="10"/>
  <c r="AN4" i="10"/>
  <c r="AN5" i="10"/>
  <c r="AN6" i="10"/>
  <c r="AN7" i="10"/>
  <c r="AN8" i="10"/>
  <c r="AN9" i="10"/>
  <c r="AN10" i="10"/>
  <c r="AN11" i="10"/>
  <c r="AN12" i="10"/>
  <c r="AN13" i="10"/>
  <c r="AN14" i="10"/>
  <c r="AN2" i="10"/>
  <c r="AM16" i="10"/>
  <c r="AM17" i="10"/>
  <c r="AM18" i="10"/>
  <c r="AM19" i="10"/>
  <c r="AM15" i="10"/>
  <c r="AM3" i="10"/>
  <c r="AM4" i="10"/>
  <c r="AM5" i="10"/>
  <c r="AM6" i="10"/>
  <c r="AM7" i="10"/>
  <c r="AM8" i="10"/>
  <c r="AM9" i="10"/>
  <c r="AM10" i="10"/>
  <c r="AM11" i="10"/>
  <c r="AM12" i="10"/>
  <c r="AM13" i="10"/>
  <c r="AM14" i="10"/>
  <c r="AM2" i="10"/>
  <c r="K24" i="10"/>
  <c r="J24" i="10"/>
  <c r="I24" i="10"/>
  <c r="H24" i="10"/>
  <c r="F24" i="10"/>
  <c r="E24" i="10"/>
  <c r="D24" i="10"/>
  <c r="C24" i="10"/>
  <c r="K23" i="10"/>
  <c r="J23" i="10"/>
  <c r="I23" i="10"/>
  <c r="H23" i="10"/>
  <c r="G23" i="10"/>
  <c r="F23" i="10"/>
  <c r="E23" i="10"/>
  <c r="D23" i="10"/>
  <c r="C23" i="10"/>
  <c r="K22" i="10"/>
  <c r="J22" i="10"/>
  <c r="I22" i="10"/>
  <c r="H22" i="10"/>
  <c r="G22" i="10"/>
  <c r="F22" i="10"/>
  <c r="E22" i="10"/>
  <c r="D22" i="10"/>
  <c r="C22" i="10"/>
  <c r="K21" i="10"/>
  <c r="J21" i="10"/>
  <c r="I21" i="10"/>
  <c r="H21" i="10"/>
  <c r="G21" i="10"/>
  <c r="F21" i="10"/>
  <c r="E21" i="10"/>
  <c r="D21" i="10"/>
  <c r="C21" i="10"/>
  <c r="K20" i="10"/>
  <c r="J20" i="10"/>
  <c r="I20" i="10"/>
  <c r="H20" i="10"/>
  <c r="G20" i="10"/>
  <c r="F20" i="10"/>
  <c r="E20" i="10"/>
  <c r="D20" i="10"/>
  <c r="C20" i="10"/>
  <c r="K19" i="10"/>
  <c r="J19" i="10"/>
  <c r="I19" i="10"/>
  <c r="H19" i="10"/>
  <c r="G19" i="10"/>
  <c r="F19" i="10"/>
  <c r="E19" i="10"/>
  <c r="D19" i="10"/>
  <c r="C19" i="10"/>
  <c r="K18" i="10"/>
  <c r="J18" i="10"/>
  <c r="I18" i="10"/>
  <c r="H18" i="10"/>
  <c r="G18" i="10"/>
  <c r="F18" i="10"/>
  <c r="E18" i="10"/>
  <c r="D18" i="10"/>
  <c r="C18" i="10"/>
  <c r="K17" i="10"/>
  <c r="J17" i="10"/>
  <c r="I17" i="10"/>
  <c r="H17" i="10"/>
  <c r="F17" i="10"/>
  <c r="G17" i="10"/>
  <c r="E17" i="10"/>
  <c r="D17" i="10"/>
  <c r="C17" i="10"/>
  <c r="K16" i="10"/>
  <c r="J16" i="10"/>
  <c r="I16" i="10"/>
  <c r="H16" i="10"/>
  <c r="G16" i="10"/>
  <c r="F16" i="10"/>
  <c r="E16" i="10"/>
  <c r="D16" i="10"/>
  <c r="C16" i="10"/>
  <c r="K15" i="10"/>
  <c r="J15" i="10"/>
  <c r="I15" i="10"/>
  <c r="H15" i="10"/>
  <c r="G15" i="10"/>
  <c r="F15" i="10"/>
  <c r="E15" i="10"/>
  <c r="D15" i="10"/>
  <c r="C15" i="10"/>
  <c r="K14" i="10"/>
  <c r="J14" i="10"/>
  <c r="I14" i="10"/>
  <c r="H14" i="10"/>
  <c r="G14" i="10"/>
  <c r="F14" i="10"/>
  <c r="E14" i="10"/>
  <c r="D14" i="10"/>
  <c r="C14" i="10"/>
  <c r="K13" i="10"/>
  <c r="J13" i="10"/>
  <c r="I13" i="10"/>
  <c r="H13" i="10"/>
  <c r="G13" i="10"/>
  <c r="F13" i="10"/>
  <c r="E13" i="10"/>
  <c r="D13" i="10"/>
  <c r="C13" i="10"/>
  <c r="K12" i="10"/>
  <c r="J12" i="10"/>
  <c r="I12" i="10"/>
  <c r="H12" i="10"/>
  <c r="G12" i="10"/>
  <c r="F12" i="10"/>
  <c r="E12" i="10"/>
  <c r="D12" i="10"/>
  <c r="C12" i="10"/>
  <c r="K11" i="10"/>
  <c r="J11" i="10"/>
  <c r="I11" i="10"/>
  <c r="H11" i="10"/>
  <c r="F11" i="10"/>
  <c r="E11" i="10"/>
  <c r="D11" i="10"/>
  <c r="C11" i="10"/>
  <c r="K10" i="10"/>
  <c r="J10" i="10"/>
  <c r="I10" i="10"/>
  <c r="H10" i="10"/>
  <c r="F10" i="10"/>
  <c r="E10" i="10"/>
  <c r="D10" i="10"/>
  <c r="C10" i="10"/>
  <c r="K9" i="10"/>
  <c r="J9" i="10"/>
  <c r="I9" i="10"/>
  <c r="H9" i="10"/>
  <c r="F9" i="10"/>
  <c r="E9" i="10"/>
  <c r="D9" i="10"/>
  <c r="C9" i="10"/>
  <c r="K8" i="10"/>
  <c r="J8" i="10"/>
  <c r="I8" i="10"/>
  <c r="H8" i="10"/>
  <c r="F8" i="10"/>
  <c r="E8" i="10"/>
  <c r="D8" i="10"/>
  <c r="C8" i="10"/>
  <c r="K7" i="10"/>
  <c r="J7" i="10"/>
  <c r="I7" i="10"/>
  <c r="H7" i="10"/>
  <c r="F7" i="10"/>
  <c r="E7" i="10"/>
  <c r="D7" i="10"/>
  <c r="C7" i="10"/>
  <c r="H6" i="10"/>
  <c r="AW18" i="10" l="1"/>
  <c r="AU11" i="10"/>
  <c r="AV14" i="10"/>
  <c r="AW13" i="10"/>
  <c r="AU19" i="10"/>
  <c r="AV18" i="10"/>
  <c r="AV17" i="10"/>
  <c r="AW12" i="10"/>
  <c r="AV16" i="10"/>
  <c r="AU17" i="10"/>
  <c r="AW19" i="10"/>
  <c r="AW16" i="10"/>
  <c r="AU16" i="10"/>
  <c r="AV19" i="10"/>
  <c r="AU18" i="10"/>
  <c r="AT15" i="10"/>
  <c r="AW15" i="10"/>
  <c r="AU14" i="10"/>
  <c r="AW17" i="10"/>
  <c r="AW9" i="10"/>
  <c r="AV10" i="10"/>
  <c r="AU8" i="10"/>
  <c r="AV7" i="10"/>
  <c r="AV9" i="10"/>
  <c r="AU10" i="10"/>
  <c r="AV13" i="10"/>
  <c r="AT12" i="10"/>
  <c r="AU7" i="10"/>
  <c r="AV6" i="10"/>
  <c r="AW5" i="10"/>
  <c r="AU9" i="10"/>
  <c r="AW11" i="10"/>
  <c r="AV12" i="10"/>
  <c r="AU13" i="10"/>
  <c r="AU6" i="10"/>
  <c r="AV5" i="10"/>
  <c r="AW6" i="10"/>
  <c r="AU2" i="10"/>
  <c r="AW10" i="10"/>
  <c r="AV11" i="10"/>
  <c r="AU12" i="10"/>
  <c r="AW14" i="10"/>
  <c r="AV15" i="10"/>
  <c r="AU15" i="10"/>
  <c r="AT4" i="10"/>
  <c r="AT16" i="10"/>
  <c r="AT2" i="10"/>
  <c r="AT18" i="10"/>
  <c r="AT9" i="10"/>
  <c r="AW4" i="10"/>
  <c r="AW8" i="10"/>
  <c r="AW2" i="10"/>
  <c r="AV3" i="10"/>
  <c r="AT19" i="10"/>
  <c r="AT6" i="10"/>
  <c r="AT10" i="10"/>
  <c r="AT14" i="10"/>
  <c r="AV4" i="10"/>
  <c r="AU5" i="10"/>
  <c r="AW7" i="10"/>
  <c r="AV8" i="10"/>
  <c r="AT17" i="10"/>
  <c r="AT8" i="10"/>
  <c r="AW3" i="10"/>
  <c r="AT5" i="10"/>
  <c r="AT13" i="10"/>
  <c r="AV2" i="10"/>
  <c r="AU3" i="10"/>
  <c r="AT3" i="10"/>
  <c r="AT7" i="10"/>
  <c r="AT11" i="10"/>
  <c r="AU4" i="10"/>
  <c r="K6" i="10"/>
  <c r="W6" i="10" s="1"/>
  <c r="J6" i="10"/>
  <c r="V6" i="10" s="1"/>
  <c r="I6" i="10"/>
  <c r="U6" i="10" s="1"/>
  <c r="T6" i="10"/>
  <c r="F6" i="10"/>
  <c r="E6" i="10"/>
  <c r="D6" i="10"/>
  <c r="P6" i="10" s="1"/>
  <c r="C6" i="10"/>
  <c r="O6" i="10" s="1"/>
  <c r="K5" i="10"/>
  <c r="W5" i="10" s="1"/>
  <c r="J5" i="10"/>
  <c r="V5" i="10" s="1"/>
  <c r="I5" i="10"/>
  <c r="U5" i="10" s="1"/>
  <c r="H5" i="10"/>
  <c r="T5" i="10" s="1"/>
  <c r="F5" i="10"/>
  <c r="R5" i="10" s="1"/>
  <c r="E5" i="10"/>
  <c r="Q5" i="10" s="1"/>
  <c r="D5" i="10"/>
  <c r="P5" i="10" s="1"/>
  <c r="C5" i="10"/>
  <c r="O5" i="10" s="1"/>
  <c r="J3" i="10"/>
  <c r="V3" i="10" s="1"/>
  <c r="H4" i="10"/>
  <c r="T4" i="10" s="1"/>
  <c r="I4" i="10"/>
  <c r="U4" i="10" s="1"/>
  <c r="K4" i="10"/>
  <c r="W4" i="10" s="1"/>
  <c r="J4" i="10"/>
  <c r="V4" i="10" s="1"/>
  <c r="F4" i="10"/>
  <c r="R4" i="10" s="1"/>
  <c r="E4" i="10"/>
  <c r="Q4" i="10" s="1"/>
  <c r="D4" i="10"/>
  <c r="P4" i="10" s="1"/>
  <c r="C4" i="10"/>
  <c r="O4" i="10" s="1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S2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K3" i="10"/>
  <c r="W3" i="10" s="1"/>
  <c r="I3" i="10"/>
  <c r="U3" i="10" s="1"/>
  <c r="H3" i="10"/>
  <c r="T3" i="10" s="1"/>
  <c r="F3" i="10"/>
  <c r="R3" i="10" s="1"/>
  <c r="E3" i="10"/>
  <c r="Q3" i="10" s="1"/>
  <c r="D3" i="10"/>
  <c r="P3" i="10" s="1"/>
  <c r="C3" i="10"/>
  <c r="O3" i="10" s="1"/>
  <c r="K2" i="10"/>
  <c r="W2" i="10" s="1"/>
  <c r="J2" i="10"/>
  <c r="V2" i="10" s="1"/>
  <c r="I2" i="10"/>
  <c r="U2" i="10" s="1"/>
  <c r="H2" i="10"/>
  <c r="T2" i="10" s="1"/>
  <c r="F2" i="10"/>
  <c r="R2" i="10" s="1"/>
  <c r="E2" i="10"/>
  <c r="Q2" i="10" s="1"/>
  <c r="D2" i="10"/>
  <c r="P2" i="10" s="1"/>
  <c r="C2" i="10"/>
  <c r="O2" i="10" s="1"/>
  <c r="AW49" i="8" l="1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U65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48" i="8"/>
  <c r="AV48" i="8"/>
  <c r="AW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48" i="8"/>
  <c r="AN55" i="8"/>
  <c r="AN56" i="8"/>
  <c r="AN57" i="8"/>
  <c r="AN58" i="8"/>
  <c r="AN59" i="8"/>
  <c r="AN60" i="8"/>
  <c r="AN61" i="8"/>
  <c r="AN62" i="8"/>
  <c r="AN63" i="8"/>
  <c r="AN64" i="8"/>
  <c r="AN65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48" i="8"/>
  <c r="AN49" i="8"/>
  <c r="AN50" i="8"/>
  <c r="AN51" i="8"/>
  <c r="AN52" i="8"/>
  <c r="AN53" i="8"/>
  <c r="AN54" i="8"/>
  <c r="AN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48" i="8"/>
  <c r="BG28" i="8"/>
  <c r="BG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C35" i="8"/>
  <c r="BC36" i="8"/>
  <c r="BC37" i="8"/>
  <c r="BC38" i="8"/>
  <c r="BC39" i="8"/>
  <c r="BC40" i="8"/>
  <c r="BC41" i="8"/>
  <c r="BC42" i="8"/>
  <c r="BC43" i="8"/>
  <c r="BC44" i="8"/>
  <c r="BC34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27" i="8"/>
  <c r="BC27" i="8"/>
  <c r="BD27" i="8"/>
  <c r="BE27" i="8"/>
  <c r="BF27" i="8"/>
  <c r="BG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27" i="8"/>
  <c r="AY29" i="8"/>
  <c r="AY28" i="8"/>
  <c r="AY27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30" i="8"/>
  <c r="AM44" i="8"/>
  <c r="AN31" i="8"/>
  <c r="AO31" i="8"/>
  <c r="AP31" i="8"/>
  <c r="AQ31" i="8"/>
  <c r="AR31" i="8"/>
  <c r="AS31" i="8"/>
  <c r="AT31" i="8"/>
  <c r="AU31" i="8"/>
  <c r="AN44" i="8"/>
  <c r="AO44" i="8"/>
  <c r="AP44" i="8"/>
  <c r="AQ44" i="8"/>
  <c r="AR44" i="8"/>
  <c r="AS44" i="8"/>
  <c r="AT44" i="8"/>
  <c r="AU44" i="8"/>
  <c r="AN43" i="8"/>
  <c r="AO43" i="8"/>
  <c r="AP43" i="8"/>
  <c r="AQ43" i="8"/>
  <c r="AR43" i="8"/>
  <c r="AS43" i="8"/>
  <c r="AT43" i="8"/>
  <c r="AU43" i="8"/>
  <c r="AN42" i="8"/>
  <c r="AO42" i="8"/>
  <c r="AP42" i="8"/>
  <c r="AQ42" i="8"/>
  <c r="AR42" i="8"/>
  <c r="AS42" i="8"/>
  <c r="AT42" i="8"/>
  <c r="AU42" i="8"/>
  <c r="AN41" i="8"/>
  <c r="AO41" i="8"/>
  <c r="AP41" i="8"/>
  <c r="AQ41" i="8"/>
  <c r="AR41" i="8"/>
  <c r="AS41" i="8"/>
  <c r="AT41" i="8"/>
  <c r="AU41" i="8"/>
  <c r="AN40" i="8"/>
  <c r="AO40" i="8"/>
  <c r="AP40" i="8"/>
  <c r="AQ40" i="8"/>
  <c r="AR40" i="8"/>
  <c r="AS40" i="8"/>
  <c r="AT40" i="8"/>
  <c r="AU40" i="8"/>
  <c r="AN39" i="8"/>
  <c r="AO39" i="8"/>
  <c r="AP39" i="8"/>
  <c r="AQ39" i="8"/>
  <c r="AR39" i="8"/>
  <c r="AS39" i="8"/>
  <c r="AT39" i="8"/>
  <c r="AU39" i="8"/>
  <c r="AN38" i="8"/>
  <c r="AO38" i="8"/>
  <c r="AP38" i="8"/>
  <c r="AQ38" i="8"/>
  <c r="AR38" i="8"/>
  <c r="AS38" i="8"/>
  <c r="AT38" i="8"/>
  <c r="AU38" i="8"/>
  <c r="AN37" i="8"/>
  <c r="AO37" i="8"/>
  <c r="AP37" i="8"/>
  <c r="AQ37" i="8"/>
  <c r="AR37" i="8"/>
  <c r="AS37" i="8"/>
  <c r="AT37" i="8"/>
  <c r="AU37" i="8"/>
  <c r="AN36" i="8"/>
  <c r="AO36" i="8"/>
  <c r="AP36" i="8"/>
  <c r="AQ36" i="8"/>
  <c r="AR36" i="8"/>
  <c r="AS36" i="8"/>
  <c r="AT36" i="8"/>
  <c r="AU36" i="8"/>
  <c r="AN35" i="8"/>
  <c r="AO35" i="8"/>
  <c r="AP35" i="8"/>
  <c r="AQ35" i="8"/>
  <c r="AR35" i="8"/>
  <c r="AS35" i="8"/>
  <c r="AT35" i="8"/>
  <c r="AU35" i="8"/>
  <c r="AN34" i="8"/>
  <c r="AO34" i="8"/>
  <c r="AP34" i="8"/>
  <c r="AQ34" i="8"/>
  <c r="AR34" i="8"/>
  <c r="AS34" i="8"/>
  <c r="AT34" i="8"/>
  <c r="AU34" i="8"/>
  <c r="AN33" i="8"/>
  <c r="AO33" i="8"/>
  <c r="AP33" i="8"/>
  <c r="AQ33" i="8"/>
  <c r="AR33" i="8"/>
  <c r="AS33" i="8"/>
  <c r="AT33" i="8"/>
  <c r="AU33" i="8"/>
  <c r="AN32" i="8"/>
  <c r="AO32" i="8"/>
  <c r="AP32" i="8"/>
  <c r="AQ32" i="8"/>
  <c r="AR32" i="8"/>
  <c r="AS32" i="8"/>
  <c r="AT32" i="8"/>
  <c r="AU32" i="8"/>
  <c r="AN30" i="8"/>
  <c r="AO30" i="8"/>
  <c r="AP30" i="8"/>
  <c r="AQ30" i="8"/>
  <c r="AR30" i="8"/>
  <c r="AS30" i="8"/>
  <c r="AT30" i="8"/>
  <c r="AU30" i="8"/>
  <c r="AN29" i="8"/>
  <c r="AO29" i="8"/>
  <c r="AP29" i="8"/>
  <c r="AQ29" i="8"/>
  <c r="AR29" i="8"/>
  <c r="AS29" i="8"/>
  <c r="AT29" i="8"/>
  <c r="AU29" i="8"/>
  <c r="AN28" i="8"/>
  <c r="AO28" i="8"/>
  <c r="AP28" i="8"/>
  <c r="AQ28" i="8"/>
  <c r="AR28" i="8"/>
  <c r="AS28" i="8"/>
  <c r="AT28" i="8"/>
  <c r="AU28" i="8"/>
  <c r="AM43" i="8"/>
  <c r="AM42" i="8"/>
  <c r="AM41" i="8"/>
  <c r="AM40" i="8"/>
  <c r="AM39" i="8"/>
  <c r="AM38" i="8"/>
  <c r="AM37" i="8"/>
  <c r="AM36" i="8"/>
  <c r="AM35" i="8"/>
  <c r="AM34" i="8"/>
  <c r="AM33" i="8"/>
  <c r="AM32" i="8"/>
  <c r="AM31" i="8"/>
  <c r="AM30" i="8"/>
  <c r="AM29" i="8"/>
  <c r="AM28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D28" i="8"/>
  <c r="P28" i="8" s="1"/>
  <c r="C28" i="8"/>
  <c r="O28" i="8" s="1"/>
  <c r="K27" i="8"/>
  <c r="W27" i="8" s="1"/>
  <c r="J27" i="8"/>
  <c r="V27" i="8" s="1"/>
  <c r="I27" i="8"/>
  <c r="U27" i="8" s="1"/>
  <c r="H27" i="8"/>
  <c r="T27" i="8" s="1"/>
  <c r="F27" i="8"/>
  <c r="R27" i="8" s="1"/>
  <c r="E27" i="8"/>
  <c r="Q27" i="8" s="1"/>
  <c r="D27" i="8"/>
  <c r="P27" i="8" s="1"/>
  <c r="C27" i="8"/>
  <c r="O27" i="8" s="1"/>
  <c r="M169" i="9"/>
  <c r="M168" i="9"/>
  <c r="J169" i="9"/>
  <c r="J168" i="9"/>
  <c r="G169" i="9"/>
  <c r="G168" i="9"/>
  <c r="D169" i="9"/>
  <c r="D168" i="9"/>
  <c r="M161" i="9"/>
  <c r="M160" i="9"/>
  <c r="J161" i="9"/>
  <c r="J160" i="9"/>
  <c r="J164" i="9" s="1"/>
  <c r="J165" i="9" s="1"/>
  <c r="G162" i="9"/>
  <c r="G161" i="9"/>
  <c r="G160" i="9"/>
  <c r="D161" i="9"/>
  <c r="D160" i="9"/>
  <c r="M153" i="9"/>
  <c r="M152" i="9"/>
  <c r="J153" i="9"/>
  <c r="J152" i="9"/>
  <c r="G154" i="9"/>
  <c r="G153" i="9"/>
  <c r="G152" i="9"/>
  <c r="D153" i="9"/>
  <c r="D152" i="9"/>
  <c r="M145" i="9"/>
  <c r="M144" i="9"/>
  <c r="J145" i="9"/>
  <c r="J144" i="9"/>
  <c r="G146" i="9"/>
  <c r="G145" i="9"/>
  <c r="G144" i="9"/>
  <c r="D145" i="9"/>
  <c r="D144" i="9"/>
  <c r="M137" i="9"/>
  <c r="M136" i="9"/>
  <c r="J137" i="9"/>
  <c r="J136" i="9"/>
  <c r="G138" i="9"/>
  <c r="G137" i="9"/>
  <c r="G136" i="9"/>
  <c r="D137" i="9"/>
  <c r="D136" i="9"/>
  <c r="M129" i="9"/>
  <c r="M128" i="9"/>
  <c r="J129" i="9"/>
  <c r="J128" i="9"/>
  <c r="G130" i="9"/>
  <c r="G129" i="9"/>
  <c r="G128" i="9"/>
  <c r="D129" i="9"/>
  <c r="D128" i="9"/>
  <c r="M121" i="9"/>
  <c r="M120" i="9"/>
  <c r="J121" i="9"/>
  <c r="J120" i="9"/>
  <c r="G122" i="9"/>
  <c r="G121" i="9"/>
  <c r="G120" i="9"/>
  <c r="D121" i="9"/>
  <c r="D120" i="9"/>
  <c r="M113" i="9"/>
  <c r="M112" i="9"/>
  <c r="J113" i="9"/>
  <c r="J112" i="9"/>
  <c r="G115" i="9"/>
  <c r="G114" i="9"/>
  <c r="G113" i="9"/>
  <c r="G112" i="9"/>
  <c r="D113" i="9"/>
  <c r="D112" i="9"/>
  <c r="M105" i="9"/>
  <c r="M104" i="9"/>
  <c r="J105" i="9"/>
  <c r="J104" i="9"/>
  <c r="G106" i="9"/>
  <c r="G105" i="9"/>
  <c r="G104" i="9"/>
  <c r="D105" i="9"/>
  <c r="D104" i="9"/>
  <c r="M97" i="9"/>
  <c r="M96" i="9"/>
  <c r="J97" i="9"/>
  <c r="J96" i="9"/>
  <c r="G98" i="9"/>
  <c r="G97" i="9"/>
  <c r="G96" i="9"/>
  <c r="D97" i="9"/>
  <c r="D96" i="9"/>
  <c r="M89" i="9"/>
  <c r="M88" i="9"/>
  <c r="G90" i="9"/>
  <c r="J89" i="9"/>
  <c r="J88" i="9"/>
  <c r="G89" i="9"/>
  <c r="G88" i="9"/>
  <c r="G91" i="9" s="1"/>
  <c r="D89" i="9"/>
  <c r="D88" i="9"/>
  <c r="M81" i="9"/>
  <c r="M80" i="9"/>
  <c r="J81" i="9"/>
  <c r="J80" i="9"/>
  <c r="J83" i="9" s="1"/>
  <c r="G82" i="9"/>
  <c r="G81" i="9"/>
  <c r="G80" i="9"/>
  <c r="D81" i="9"/>
  <c r="D80" i="9"/>
  <c r="M73" i="9"/>
  <c r="M72" i="9"/>
  <c r="J73" i="9"/>
  <c r="J72" i="9"/>
  <c r="G75" i="9"/>
  <c r="G74" i="9"/>
  <c r="G73" i="9"/>
  <c r="G72" i="9"/>
  <c r="D73" i="9"/>
  <c r="D72" i="9"/>
  <c r="M66" i="9"/>
  <c r="M68" i="9" s="1"/>
  <c r="M69" i="9" s="1"/>
  <c r="M65" i="9"/>
  <c r="J66" i="9"/>
  <c r="J65" i="9"/>
  <c r="J68" i="9" s="1"/>
  <c r="J69" i="9" s="1"/>
  <c r="G66" i="9"/>
  <c r="G65" i="9"/>
  <c r="D66" i="9"/>
  <c r="D67" i="9" s="1"/>
  <c r="D65" i="9"/>
  <c r="M59" i="9"/>
  <c r="M58" i="9"/>
  <c r="J59" i="9"/>
  <c r="J58" i="9"/>
  <c r="G59" i="9"/>
  <c r="G58" i="9"/>
  <c r="D59" i="9"/>
  <c r="D58" i="9"/>
  <c r="M52" i="9"/>
  <c r="M51" i="9"/>
  <c r="J52" i="9"/>
  <c r="J51" i="9"/>
  <c r="G52" i="9"/>
  <c r="G51" i="9"/>
  <c r="D52" i="9"/>
  <c r="D51" i="9"/>
  <c r="M45" i="9"/>
  <c r="M44" i="9"/>
  <c r="J45" i="9"/>
  <c r="J44" i="9"/>
  <c r="G45" i="9"/>
  <c r="G44" i="9"/>
  <c r="D45" i="9"/>
  <c r="D44" i="9"/>
  <c r="M38" i="9"/>
  <c r="M37" i="9"/>
  <c r="J38" i="9"/>
  <c r="J37" i="9"/>
  <c r="G38" i="9"/>
  <c r="G37" i="9"/>
  <c r="D38" i="9"/>
  <c r="D37" i="9"/>
  <c r="M31" i="9"/>
  <c r="M30" i="9"/>
  <c r="J31" i="9"/>
  <c r="J30" i="9"/>
  <c r="G31" i="9"/>
  <c r="G30" i="9"/>
  <c r="D31" i="9"/>
  <c r="D32" i="9" s="1"/>
  <c r="D30" i="9"/>
  <c r="M24" i="9"/>
  <c r="M23" i="9"/>
  <c r="J24" i="9"/>
  <c r="J23" i="9"/>
  <c r="G24" i="9"/>
  <c r="G23" i="9"/>
  <c r="G26" i="9" s="1"/>
  <c r="G27" i="9" s="1"/>
  <c r="D24" i="9"/>
  <c r="D26" i="9" s="1"/>
  <c r="D27" i="9" s="1"/>
  <c r="D23" i="9"/>
  <c r="M17" i="9"/>
  <c r="M16" i="9"/>
  <c r="J17" i="9"/>
  <c r="J16" i="9"/>
  <c r="G17" i="9"/>
  <c r="G16" i="9"/>
  <c r="D17" i="9"/>
  <c r="D16" i="9"/>
  <c r="M10" i="9"/>
  <c r="M12" i="9" s="1"/>
  <c r="M13" i="9" s="1"/>
  <c r="M9" i="9"/>
  <c r="J10" i="9"/>
  <c r="J9" i="9"/>
  <c r="G10" i="9"/>
  <c r="G9" i="9"/>
  <c r="G12" i="9" s="1"/>
  <c r="G13" i="9" s="1"/>
  <c r="D10" i="9"/>
  <c r="D9" i="9"/>
  <c r="M3" i="9"/>
  <c r="M2" i="9"/>
  <c r="J3" i="9"/>
  <c r="J2" i="9"/>
  <c r="G3" i="9"/>
  <c r="G2" i="9"/>
  <c r="D3" i="9"/>
  <c r="D2" i="9"/>
  <c r="D172" i="9"/>
  <c r="D173" i="9" s="1"/>
  <c r="M172" i="9"/>
  <c r="M173" i="9" s="1"/>
  <c r="J172" i="9"/>
  <c r="J173" i="9" s="1"/>
  <c r="G172" i="9"/>
  <c r="G173" i="9" s="1"/>
  <c r="D171" i="9"/>
  <c r="D164" i="9"/>
  <c r="D165" i="9" s="1"/>
  <c r="D163" i="9"/>
  <c r="M164" i="9"/>
  <c r="M165" i="9" s="1"/>
  <c r="G155" i="9"/>
  <c r="D156" i="9"/>
  <c r="D157" i="9" s="1"/>
  <c r="J148" i="9"/>
  <c r="J149" i="9" s="1"/>
  <c r="J147" i="9"/>
  <c r="G148" i="9"/>
  <c r="G149" i="9" s="1"/>
  <c r="D148" i="9"/>
  <c r="D149" i="9" s="1"/>
  <c r="M141" i="9"/>
  <c r="M140" i="9"/>
  <c r="M139" i="9"/>
  <c r="J140" i="9"/>
  <c r="J141" i="9" s="1"/>
  <c r="G140" i="9"/>
  <c r="G141" i="9" s="1"/>
  <c r="D132" i="9"/>
  <c r="D133" i="9" s="1"/>
  <c r="D131" i="9"/>
  <c r="M132" i="9"/>
  <c r="M133" i="9" s="1"/>
  <c r="J132" i="9"/>
  <c r="J133" i="9" s="1"/>
  <c r="G124" i="9"/>
  <c r="G125" i="9" s="1"/>
  <c r="G123" i="9"/>
  <c r="M124" i="9"/>
  <c r="M125" i="9" s="1"/>
  <c r="D124" i="9"/>
  <c r="D125" i="9" s="1"/>
  <c r="J116" i="9"/>
  <c r="J117" i="9" s="1"/>
  <c r="J115" i="9"/>
  <c r="G116" i="9"/>
  <c r="G117" i="9" s="1"/>
  <c r="D116" i="9"/>
  <c r="D117" i="9" s="1"/>
  <c r="M108" i="9"/>
  <c r="M109" i="9" s="1"/>
  <c r="M107" i="9"/>
  <c r="J108" i="9"/>
  <c r="J109" i="9" s="1"/>
  <c r="G108" i="9"/>
  <c r="G109" i="9" s="1"/>
  <c r="D100" i="9"/>
  <c r="D101" i="9" s="1"/>
  <c r="D99" i="9"/>
  <c r="M100" i="9"/>
  <c r="M101" i="9" s="1"/>
  <c r="J100" i="9"/>
  <c r="J101" i="9" s="1"/>
  <c r="G92" i="9"/>
  <c r="G93" i="9" s="1"/>
  <c r="D92" i="9"/>
  <c r="D93" i="9" s="1"/>
  <c r="M84" i="9"/>
  <c r="M85" i="9" s="1"/>
  <c r="J84" i="9"/>
  <c r="J85" i="9" s="1"/>
  <c r="M83" i="9"/>
  <c r="M76" i="9"/>
  <c r="M77" i="9" s="1"/>
  <c r="M75" i="9"/>
  <c r="D75" i="9"/>
  <c r="J76" i="9"/>
  <c r="J77" i="9" s="1"/>
  <c r="D76" i="9"/>
  <c r="D77" i="9" s="1"/>
  <c r="G68" i="9"/>
  <c r="G69" i="9" s="1"/>
  <c r="M61" i="9"/>
  <c r="M62" i="9" s="1"/>
  <c r="J61" i="9"/>
  <c r="J62" i="9" s="1"/>
  <c r="G61" i="9"/>
  <c r="G62" i="9" s="1"/>
  <c r="D60" i="9"/>
  <c r="G54" i="9"/>
  <c r="G55" i="9" s="1"/>
  <c r="D54" i="9"/>
  <c r="D55" i="9" s="1"/>
  <c r="M54" i="9"/>
  <c r="M55" i="9" s="1"/>
  <c r="J54" i="9"/>
  <c r="J55" i="9" s="1"/>
  <c r="G53" i="9"/>
  <c r="D53" i="9"/>
  <c r="M47" i="9"/>
  <c r="M48" i="9" s="1"/>
  <c r="J47" i="9"/>
  <c r="J48" i="9" s="1"/>
  <c r="G47" i="9"/>
  <c r="G48" i="9" s="1"/>
  <c r="D46" i="9"/>
  <c r="G40" i="9"/>
  <c r="G41" i="9" s="1"/>
  <c r="D40" i="9"/>
  <c r="D41" i="9" s="1"/>
  <c r="M40" i="9"/>
  <c r="M41" i="9" s="1"/>
  <c r="J40" i="9"/>
  <c r="J41" i="9" s="1"/>
  <c r="G39" i="9"/>
  <c r="D39" i="9"/>
  <c r="M33" i="9"/>
  <c r="M34" i="9" s="1"/>
  <c r="J33" i="9"/>
  <c r="J34" i="9" s="1"/>
  <c r="G32" i="9"/>
  <c r="M26" i="9"/>
  <c r="M27" i="9" s="1"/>
  <c r="J26" i="9"/>
  <c r="J27" i="9" s="1"/>
  <c r="G25" i="9"/>
  <c r="D25" i="9"/>
  <c r="M19" i="9"/>
  <c r="M20" i="9" s="1"/>
  <c r="J19" i="9"/>
  <c r="J20" i="9" s="1"/>
  <c r="G19" i="9"/>
  <c r="G20" i="9" s="1"/>
  <c r="D18" i="9"/>
  <c r="D12" i="9"/>
  <c r="D13" i="9" s="1"/>
  <c r="J12" i="9"/>
  <c r="J13" i="9" s="1"/>
  <c r="D11" i="9"/>
  <c r="M5" i="9"/>
  <c r="M6" i="9" s="1"/>
  <c r="J5" i="9"/>
  <c r="J6" i="9" s="1"/>
  <c r="G5" i="9"/>
  <c r="G6" i="9" s="1"/>
  <c r="D4" i="9"/>
  <c r="S27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S24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P2" i="8"/>
  <c r="Q2" i="8"/>
  <c r="R2" i="8"/>
  <c r="S2" i="8"/>
  <c r="T2" i="8"/>
  <c r="U2" i="8"/>
  <c r="V2" i="8"/>
  <c r="W2" i="8"/>
  <c r="O2" i="8"/>
  <c r="M156" i="9" l="1"/>
  <c r="M157" i="9" s="1"/>
  <c r="G156" i="9"/>
  <c r="G157" i="9" s="1"/>
  <c r="G67" i="9"/>
  <c r="D68" i="9"/>
  <c r="D69" i="9" s="1"/>
  <c r="G11" i="9"/>
  <c r="G4" i="9"/>
  <c r="G60" i="9"/>
  <c r="M115" i="9"/>
  <c r="M116" i="9"/>
  <c r="M117" i="9" s="1"/>
  <c r="M147" i="9"/>
  <c r="M148" i="9"/>
  <c r="M149" i="9" s="1"/>
  <c r="D5" i="9"/>
  <c r="D6" i="9" s="1"/>
  <c r="D19" i="9"/>
  <c r="D20" i="9" s="1"/>
  <c r="D33" i="9"/>
  <c r="D34" i="9" s="1"/>
  <c r="D47" i="9"/>
  <c r="D48" i="9" s="1"/>
  <c r="D61" i="9"/>
  <c r="D62" i="9" s="1"/>
  <c r="D107" i="9"/>
  <c r="D108" i="9"/>
  <c r="D109" i="9" s="1"/>
  <c r="D139" i="9"/>
  <c r="D140" i="9"/>
  <c r="D141" i="9" s="1"/>
  <c r="G18" i="9"/>
  <c r="G46" i="9"/>
  <c r="G33" i="9"/>
  <c r="G34" i="9" s="1"/>
  <c r="D84" i="9"/>
  <c r="D85" i="9" s="1"/>
  <c r="D83" i="9"/>
  <c r="G100" i="9"/>
  <c r="G101" i="9" s="1"/>
  <c r="G99" i="9"/>
  <c r="G132" i="9"/>
  <c r="G133" i="9" s="1"/>
  <c r="G131" i="9"/>
  <c r="G164" i="9"/>
  <c r="G165" i="9" s="1"/>
  <c r="G163" i="9"/>
  <c r="G76" i="9"/>
  <c r="G77" i="9" s="1"/>
  <c r="M92" i="9"/>
  <c r="M93" i="9" s="1"/>
  <c r="M91" i="9"/>
  <c r="G84" i="9"/>
  <c r="G85" i="9" s="1"/>
  <c r="J91" i="9"/>
  <c r="J92" i="9"/>
  <c r="J93" i="9" s="1"/>
  <c r="J123" i="9"/>
  <c r="J124" i="9"/>
  <c r="J125" i="9" s="1"/>
  <c r="J156" i="9"/>
  <c r="J157" i="9" s="1"/>
  <c r="J155" i="9"/>
  <c r="G171" i="9"/>
  <c r="J4" i="9"/>
  <c r="J11" i="9"/>
  <c r="J18" i="9"/>
  <c r="J25" i="9"/>
  <c r="J32" i="9"/>
  <c r="J39" i="9"/>
  <c r="J46" i="9"/>
  <c r="J53" i="9"/>
  <c r="J60" i="9"/>
  <c r="J67" i="9"/>
  <c r="J99" i="9"/>
  <c r="G107" i="9"/>
  <c r="D115" i="9"/>
  <c r="M123" i="9"/>
  <c r="J131" i="9"/>
  <c r="G139" i="9"/>
  <c r="D147" i="9"/>
  <c r="M155" i="9"/>
  <c r="J163" i="9"/>
  <c r="J171" i="9"/>
  <c r="M4" i="9"/>
  <c r="M11" i="9"/>
  <c r="M18" i="9"/>
  <c r="M25" i="9"/>
  <c r="M32" i="9"/>
  <c r="M39" i="9"/>
  <c r="M46" i="9"/>
  <c r="M53" i="9"/>
  <c r="M60" i="9"/>
  <c r="M67" i="9"/>
  <c r="J75" i="9"/>
  <c r="G83" i="9"/>
  <c r="D91" i="9"/>
  <c r="M99" i="9"/>
  <c r="J107" i="9"/>
  <c r="D123" i="9"/>
  <c r="M131" i="9"/>
  <c r="J139" i="9"/>
  <c r="G147" i="9"/>
  <c r="D155" i="9"/>
  <c r="M163" i="9"/>
  <c r="M171" i="9"/>
  <c r="D4" i="4" l="1"/>
  <c r="P2" i="6" l="1"/>
  <c r="P3" i="6"/>
  <c r="D9" i="6"/>
  <c r="D10" i="6"/>
  <c r="H9" i="6"/>
  <c r="H10" i="6"/>
  <c r="L9" i="6"/>
  <c r="L10" i="6"/>
  <c r="P9" i="6"/>
  <c r="P10" i="6"/>
  <c r="D16" i="6"/>
  <c r="D17" i="6"/>
  <c r="H16" i="6"/>
  <c r="H17" i="6"/>
  <c r="L16" i="6"/>
  <c r="L17" i="6"/>
  <c r="P16" i="6"/>
  <c r="P17" i="6"/>
  <c r="L3" i="6"/>
  <c r="L2" i="6"/>
  <c r="H3" i="6"/>
  <c r="H2" i="6"/>
  <c r="D3" i="6"/>
  <c r="D2" i="6"/>
  <c r="D2" i="4"/>
  <c r="Q3" i="6" l="1"/>
  <c r="Q10" i="6" s="1"/>
  <c r="Q2" i="6"/>
  <c r="M3" i="6"/>
  <c r="M10" i="6" s="1"/>
  <c r="M2" i="6"/>
  <c r="I3" i="6"/>
  <c r="I2" i="6"/>
  <c r="E3" i="6"/>
  <c r="E10" i="6" s="1"/>
  <c r="E17" i="6" s="1"/>
  <c r="E2" i="6"/>
  <c r="E4" i="6" s="1"/>
  <c r="P169" i="6"/>
  <c r="L169" i="6"/>
  <c r="H169" i="6"/>
  <c r="D169" i="6"/>
  <c r="P168" i="6"/>
  <c r="P172" i="6" s="1"/>
  <c r="P173" i="6" s="1"/>
  <c r="L168" i="6"/>
  <c r="L172" i="6" s="1"/>
  <c r="L173" i="6" s="1"/>
  <c r="H168" i="6"/>
  <c r="H172" i="6" s="1"/>
  <c r="H173" i="6" s="1"/>
  <c r="D168" i="6"/>
  <c r="D171" i="6" s="1"/>
  <c r="D163" i="6"/>
  <c r="H162" i="6"/>
  <c r="P161" i="6"/>
  <c r="L161" i="6"/>
  <c r="H161" i="6"/>
  <c r="D161" i="6"/>
  <c r="P160" i="6"/>
  <c r="P164" i="6" s="1"/>
  <c r="P165" i="6" s="1"/>
  <c r="L160" i="6"/>
  <c r="L164" i="6" s="1"/>
  <c r="L165" i="6" s="1"/>
  <c r="H160" i="6"/>
  <c r="D160" i="6"/>
  <c r="D164" i="6" s="1"/>
  <c r="D165" i="6" s="1"/>
  <c r="H156" i="6"/>
  <c r="H157" i="6" s="1"/>
  <c r="H154" i="6"/>
  <c r="P153" i="6"/>
  <c r="L153" i="6"/>
  <c r="H153" i="6"/>
  <c r="D153" i="6"/>
  <c r="P152" i="6"/>
  <c r="P155" i="6" s="1"/>
  <c r="L152" i="6"/>
  <c r="H152" i="6"/>
  <c r="H155" i="6" s="1"/>
  <c r="D152" i="6"/>
  <c r="D156" i="6" s="1"/>
  <c r="D157" i="6" s="1"/>
  <c r="D147" i="6"/>
  <c r="H146" i="6"/>
  <c r="P145" i="6"/>
  <c r="L145" i="6"/>
  <c r="H145" i="6"/>
  <c r="D145" i="6"/>
  <c r="P144" i="6"/>
  <c r="L144" i="6"/>
  <c r="L148" i="6" s="1"/>
  <c r="L149" i="6" s="1"/>
  <c r="H144" i="6"/>
  <c r="H148" i="6" s="1"/>
  <c r="H149" i="6" s="1"/>
  <c r="D144" i="6"/>
  <c r="D148" i="6" s="1"/>
  <c r="D149" i="6" s="1"/>
  <c r="P140" i="6"/>
  <c r="P141" i="6" s="1"/>
  <c r="P139" i="6"/>
  <c r="H138" i="6"/>
  <c r="P137" i="6"/>
  <c r="L137" i="6"/>
  <c r="H137" i="6"/>
  <c r="D137" i="6"/>
  <c r="P136" i="6"/>
  <c r="L136" i="6"/>
  <c r="L140" i="6" s="1"/>
  <c r="L141" i="6" s="1"/>
  <c r="H136" i="6"/>
  <c r="D136" i="6"/>
  <c r="D132" i="6"/>
  <c r="D133" i="6" s="1"/>
  <c r="D131" i="6"/>
  <c r="H130" i="6"/>
  <c r="P129" i="6"/>
  <c r="L129" i="6"/>
  <c r="H129" i="6"/>
  <c r="D129" i="6"/>
  <c r="P128" i="6"/>
  <c r="P132" i="6" s="1"/>
  <c r="P133" i="6" s="1"/>
  <c r="L128" i="6"/>
  <c r="L131" i="6" s="1"/>
  <c r="H128" i="6"/>
  <c r="D128" i="6"/>
  <c r="P124" i="6"/>
  <c r="P125" i="6" s="1"/>
  <c r="H122" i="6"/>
  <c r="P121" i="6"/>
  <c r="L121" i="6"/>
  <c r="H121" i="6"/>
  <c r="D121" i="6"/>
  <c r="P120" i="6"/>
  <c r="P123" i="6" s="1"/>
  <c r="L120" i="6"/>
  <c r="H120" i="6"/>
  <c r="H124" i="6" s="1"/>
  <c r="H125" i="6" s="1"/>
  <c r="D120" i="6"/>
  <c r="D124" i="6" s="1"/>
  <c r="D125" i="6" s="1"/>
  <c r="D116" i="6"/>
  <c r="D117" i="6" s="1"/>
  <c r="H114" i="6"/>
  <c r="P113" i="6"/>
  <c r="L113" i="6"/>
  <c r="H113" i="6"/>
  <c r="D113" i="6"/>
  <c r="P112" i="6"/>
  <c r="L112" i="6"/>
  <c r="L116" i="6" s="1"/>
  <c r="L117" i="6" s="1"/>
  <c r="H112" i="6"/>
  <c r="H116" i="6" s="1"/>
  <c r="H117" i="6" s="1"/>
  <c r="D112" i="6"/>
  <c r="D115" i="6" s="1"/>
  <c r="P108" i="6"/>
  <c r="P109" i="6" s="1"/>
  <c r="H106" i="6"/>
  <c r="P105" i="6"/>
  <c r="L105" i="6"/>
  <c r="H105" i="6"/>
  <c r="D105" i="6"/>
  <c r="P104" i="6"/>
  <c r="P107" i="6" s="1"/>
  <c r="L104" i="6"/>
  <c r="L108" i="6" s="1"/>
  <c r="L109" i="6" s="1"/>
  <c r="H104" i="6"/>
  <c r="D104" i="6"/>
  <c r="L100" i="6"/>
  <c r="L101" i="6" s="1"/>
  <c r="H98" i="6"/>
  <c r="P97" i="6"/>
  <c r="L97" i="6"/>
  <c r="H97" i="6"/>
  <c r="D97" i="6"/>
  <c r="P96" i="6"/>
  <c r="P100" i="6" s="1"/>
  <c r="P101" i="6" s="1"/>
  <c r="L96" i="6"/>
  <c r="L99" i="6" s="1"/>
  <c r="H96" i="6"/>
  <c r="D96" i="6"/>
  <c r="D100" i="6" s="1"/>
  <c r="D101" i="6" s="1"/>
  <c r="P92" i="6"/>
  <c r="P93" i="6" s="1"/>
  <c r="P91" i="6"/>
  <c r="H90" i="6"/>
  <c r="P89" i="6"/>
  <c r="L89" i="6"/>
  <c r="H89" i="6"/>
  <c r="D89" i="6"/>
  <c r="P88" i="6"/>
  <c r="L88" i="6"/>
  <c r="H88" i="6"/>
  <c r="H92" i="6" s="1"/>
  <c r="H93" i="6" s="1"/>
  <c r="D88" i="6"/>
  <c r="D92" i="6" s="1"/>
  <c r="D93" i="6" s="1"/>
  <c r="D84" i="6"/>
  <c r="D85" i="6" s="1"/>
  <c r="H82" i="6"/>
  <c r="P81" i="6"/>
  <c r="L81" i="6"/>
  <c r="H81" i="6"/>
  <c r="D81" i="6"/>
  <c r="P80" i="6"/>
  <c r="L80" i="6"/>
  <c r="L83" i="6" s="1"/>
  <c r="H80" i="6"/>
  <c r="H84" i="6" s="1"/>
  <c r="H85" i="6" s="1"/>
  <c r="D80" i="6"/>
  <c r="D83" i="6" s="1"/>
  <c r="H74" i="6"/>
  <c r="P73" i="6"/>
  <c r="L73" i="6"/>
  <c r="H73" i="6"/>
  <c r="D73" i="6"/>
  <c r="P72" i="6"/>
  <c r="P76" i="6" s="1"/>
  <c r="P77" i="6" s="1"/>
  <c r="L72" i="6"/>
  <c r="L76" i="6" s="1"/>
  <c r="L77" i="6" s="1"/>
  <c r="H72" i="6"/>
  <c r="D72" i="6"/>
  <c r="P66" i="6"/>
  <c r="L66" i="6"/>
  <c r="H66" i="6"/>
  <c r="D66" i="6"/>
  <c r="P65" i="6"/>
  <c r="P68" i="6" s="1"/>
  <c r="P69" i="6" s="1"/>
  <c r="L65" i="6"/>
  <c r="L68" i="6" s="1"/>
  <c r="L69" i="6" s="1"/>
  <c r="H65" i="6"/>
  <c r="H68" i="6" s="1"/>
  <c r="H69" i="6" s="1"/>
  <c r="D65" i="6"/>
  <c r="D68" i="6" s="1"/>
  <c r="D69" i="6" s="1"/>
  <c r="P59" i="6"/>
  <c r="L59" i="6"/>
  <c r="H59" i="6"/>
  <c r="D59" i="6"/>
  <c r="P58" i="6"/>
  <c r="P61" i="6" s="1"/>
  <c r="P62" i="6" s="1"/>
  <c r="L58" i="6"/>
  <c r="L60" i="6" s="1"/>
  <c r="H58" i="6"/>
  <c r="H61" i="6" s="1"/>
  <c r="H62" i="6" s="1"/>
  <c r="D58" i="6"/>
  <c r="D60" i="6" s="1"/>
  <c r="P52" i="6"/>
  <c r="L52" i="6"/>
  <c r="H52" i="6"/>
  <c r="D52" i="6"/>
  <c r="P51" i="6"/>
  <c r="P54" i="6" s="1"/>
  <c r="P55" i="6" s="1"/>
  <c r="L51" i="6"/>
  <c r="L53" i="6" s="1"/>
  <c r="H51" i="6"/>
  <c r="H54" i="6" s="1"/>
  <c r="H55" i="6" s="1"/>
  <c r="D51" i="6"/>
  <c r="D54" i="6" s="1"/>
  <c r="D55" i="6" s="1"/>
  <c r="P45" i="6"/>
  <c r="L45" i="6"/>
  <c r="H45" i="6"/>
  <c r="D45" i="6"/>
  <c r="P44" i="6"/>
  <c r="P47" i="6" s="1"/>
  <c r="P48" i="6" s="1"/>
  <c r="L44" i="6"/>
  <c r="L46" i="6" s="1"/>
  <c r="H44" i="6"/>
  <c r="H47" i="6" s="1"/>
  <c r="H48" i="6" s="1"/>
  <c r="D44" i="6"/>
  <c r="D46" i="6" s="1"/>
  <c r="P38" i="6"/>
  <c r="L38" i="6"/>
  <c r="H38" i="6"/>
  <c r="D38" i="6"/>
  <c r="P37" i="6"/>
  <c r="P40" i="6" s="1"/>
  <c r="P41" i="6" s="1"/>
  <c r="L37" i="6"/>
  <c r="L40" i="6" s="1"/>
  <c r="L41" i="6" s="1"/>
  <c r="H37" i="6"/>
  <c r="H40" i="6" s="1"/>
  <c r="H41" i="6" s="1"/>
  <c r="D37" i="6"/>
  <c r="D39" i="6" s="1"/>
  <c r="P31" i="6"/>
  <c r="L31" i="6"/>
  <c r="H31" i="6"/>
  <c r="D31" i="6"/>
  <c r="P30" i="6"/>
  <c r="P33" i="6" s="1"/>
  <c r="P34" i="6" s="1"/>
  <c r="L30" i="6"/>
  <c r="L33" i="6" s="1"/>
  <c r="L34" i="6" s="1"/>
  <c r="H30" i="6"/>
  <c r="H33" i="6" s="1"/>
  <c r="H34" i="6" s="1"/>
  <c r="D30" i="6"/>
  <c r="D32" i="6" s="1"/>
  <c r="P24" i="6"/>
  <c r="L24" i="6"/>
  <c r="H24" i="6"/>
  <c r="D24" i="6"/>
  <c r="P23" i="6"/>
  <c r="P26" i="6" s="1"/>
  <c r="P27" i="6" s="1"/>
  <c r="L23" i="6"/>
  <c r="L25" i="6" s="1"/>
  <c r="H23" i="6"/>
  <c r="H26" i="6" s="1"/>
  <c r="H27" i="6" s="1"/>
  <c r="D23" i="6"/>
  <c r="D26" i="6" s="1"/>
  <c r="D27" i="6" s="1"/>
  <c r="L115" i="6" l="1"/>
  <c r="L163" i="6"/>
  <c r="L84" i="6"/>
  <c r="L85" i="6" s="1"/>
  <c r="D99" i="6"/>
  <c r="H123" i="6"/>
  <c r="L147" i="6"/>
  <c r="P156" i="6"/>
  <c r="P157" i="6" s="1"/>
  <c r="M4" i="6"/>
  <c r="H91" i="6"/>
  <c r="D172" i="6"/>
  <c r="D173" i="6" s="1"/>
  <c r="D33" i="6"/>
  <c r="D34" i="6" s="1"/>
  <c r="P75" i="6"/>
  <c r="L132" i="6"/>
  <c r="L133" i="6" s="1"/>
  <c r="D61" i="6"/>
  <c r="D62" i="6" s="1"/>
  <c r="D47" i="6"/>
  <c r="D48" i="6" s="1"/>
  <c r="I5" i="6"/>
  <c r="I6" i="6" s="1"/>
  <c r="E5" i="6"/>
  <c r="E6" i="6" s="1"/>
  <c r="Q5" i="6"/>
  <c r="Q6" i="6" s="1"/>
  <c r="Q9" i="6"/>
  <c r="Q4" i="6"/>
  <c r="M5" i="6"/>
  <c r="M6" i="6" s="1"/>
  <c r="M9" i="6"/>
  <c r="I4" i="6"/>
  <c r="I9" i="6"/>
  <c r="I10" i="6"/>
  <c r="E9" i="6"/>
  <c r="E16" i="6" s="1"/>
  <c r="D67" i="6"/>
  <c r="P116" i="6"/>
  <c r="P117" i="6" s="1"/>
  <c r="P115" i="6"/>
  <c r="D40" i="6"/>
  <c r="D41" i="6" s="1"/>
  <c r="D108" i="6"/>
  <c r="D109" i="6" s="1"/>
  <c r="D107" i="6"/>
  <c r="H108" i="6"/>
  <c r="H109" i="6" s="1"/>
  <c r="H107" i="6"/>
  <c r="L124" i="6"/>
  <c r="L125" i="6" s="1"/>
  <c r="L123" i="6"/>
  <c r="H100" i="6"/>
  <c r="H101" i="6" s="1"/>
  <c r="H99" i="6"/>
  <c r="D25" i="6"/>
  <c r="D53" i="6"/>
  <c r="P84" i="6"/>
  <c r="P85" i="6" s="1"/>
  <c r="P83" i="6"/>
  <c r="H132" i="6"/>
  <c r="H133" i="6" s="1"/>
  <c r="H131" i="6"/>
  <c r="P148" i="6"/>
  <c r="P149" i="6" s="1"/>
  <c r="P147" i="6"/>
  <c r="H164" i="6"/>
  <c r="H165" i="6" s="1"/>
  <c r="H163" i="6"/>
  <c r="D76" i="6"/>
  <c r="D77" i="6" s="1"/>
  <c r="D75" i="6"/>
  <c r="H76" i="6"/>
  <c r="H77" i="6" s="1"/>
  <c r="H75" i="6"/>
  <c r="L92" i="6"/>
  <c r="L93" i="6" s="1"/>
  <c r="L91" i="6"/>
  <c r="D140" i="6"/>
  <c r="D141" i="6" s="1"/>
  <c r="D139" i="6"/>
  <c r="H140" i="6"/>
  <c r="H141" i="6" s="1"/>
  <c r="H139" i="6"/>
  <c r="L156" i="6"/>
  <c r="L157" i="6" s="1"/>
  <c r="L155" i="6"/>
  <c r="H25" i="6"/>
  <c r="H32" i="6"/>
  <c r="H39" i="6"/>
  <c r="H46" i="6"/>
  <c r="H53" i="6"/>
  <c r="H60" i="6"/>
  <c r="H67" i="6"/>
  <c r="H171" i="6"/>
  <c r="L26" i="6"/>
  <c r="L27" i="6" s="1"/>
  <c r="L32" i="6"/>
  <c r="L39" i="6"/>
  <c r="L47" i="6"/>
  <c r="L48" i="6" s="1"/>
  <c r="L54" i="6"/>
  <c r="L55" i="6" s="1"/>
  <c r="L61" i="6"/>
  <c r="L62" i="6" s="1"/>
  <c r="L67" i="6"/>
  <c r="L171" i="6"/>
  <c r="P25" i="6"/>
  <c r="P32" i="6"/>
  <c r="P39" i="6"/>
  <c r="P46" i="6"/>
  <c r="P53" i="6"/>
  <c r="P60" i="6"/>
  <c r="P67" i="6"/>
  <c r="L75" i="6"/>
  <c r="H83" i="6"/>
  <c r="D91" i="6"/>
  <c r="P99" i="6"/>
  <c r="L107" i="6"/>
  <c r="H115" i="6"/>
  <c r="D123" i="6"/>
  <c r="P131" i="6"/>
  <c r="L139" i="6"/>
  <c r="H147" i="6"/>
  <c r="D155" i="6"/>
  <c r="P163" i="6"/>
  <c r="P171" i="6"/>
  <c r="G72" i="4"/>
  <c r="G74" i="4"/>
  <c r="G80" i="4"/>
  <c r="M168" i="4"/>
  <c r="J169" i="4"/>
  <c r="J168" i="4"/>
  <c r="G169" i="4"/>
  <c r="G168" i="4"/>
  <c r="M169" i="4"/>
  <c r="D169" i="4"/>
  <c r="D168" i="4"/>
  <c r="G162" i="4"/>
  <c r="M161" i="4"/>
  <c r="J161" i="4"/>
  <c r="G161" i="4"/>
  <c r="D161" i="4"/>
  <c r="M160" i="4"/>
  <c r="M164" i="4" s="1"/>
  <c r="M165" i="4" s="1"/>
  <c r="J160" i="4"/>
  <c r="G160" i="4"/>
  <c r="D160" i="4"/>
  <c r="D164" i="4" s="1"/>
  <c r="D165" i="4" s="1"/>
  <c r="G154" i="4"/>
  <c r="M153" i="4"/>
  <c r="J153" i="4"/>
  <c r="G153" i="4"/>
  <c r="D153" i="4"/>
  <c r="M152" i="4"/>
  <c r="J152" i="4"/>
  <c r="J156" i="4" s="1"/>
  <c r="J157" i="4" s="1"/>
  <c r="G152" i="4"/>
  <c r="D152" i="4"/>
  <c r="D156" i="4" s="1"/>
  <c r="D157" i="4" s="1"/>
  <c r="M145" i="4"/>
  <c r="M144" i="4"/>
  <c r="J145" i="4"/>
  <c r="J144" i="4"/>
  <c r="G146" i="4"/>
  <c r="G145" i="4"/>
  <c r="G144" i="4"/>
  <c r="D145" i="4"/>
  <c r="D144" i="4"/>
  <c r="M137" i="4"/>
  <c r="M136" i="4"/>
  <c r="J137" i="4"/>
  <c r="J136" i="4"/>
  <c r="G138" i="4"/>
  <c r="G137" i="4"/>
  <c r="G136" i="4"/>
  <c r="D137" i="4"/>
  <c r="D136" i="4"/>
  <c r="D128" i="4"/>
  <c r="M128" i="4"/>
  <c r="J128" i="4"/>
  <c r="G128" i="4"/>
  <c r="G122" i="4"/>
  <c r="G120" i="4"/>
  <c r="G114" i="4"/>
  <c r="G112" i="4"/>
  <c r="G106" i="4"/>
  <c r="G104" i="4"/>
  <c r="G98" i="4"/>
  <c r="G96" i="4"/>
  <c r="G90" i="4"/>
  <c r="G88" i="4"/>
  <c r="G82" i="4"/>
  <c r="G65" i="4"/>
  <c r="G130" i="4"/>
  <c r="M129" i="4"/>
  <c r="J129" i="4"/>
  <c r="G129" i="4"/>
  <c r="D129" i="4"/>
  <c r="M121" i="4"/>
  <c r="J121" i="4"/>
  <c r="G121" i="4"/>
  <c r="D121" i="4"/>
  <c r="M120" i="4"/>
  <c r="M124" i="4" s="1"/>
  <c r="M125" i="4" s="1"/>
  <c r="J120" i="4"/>
  <c r="J124" i="4" s="1"/>
  <c r="J125" i="4" s="1"/>
  <c r="D120" i="4"/>
  <c r="M113" i="4"/>
  <c r="J113" i="4"/>
  <c r="G113" i="4"/>
  <c r="D113" i="4"/>
  <c r="M112" i="4"/>
  <c r="J112" i="4"/>
  <c r="J116" i="4" s="1"/>
  <c r="J117" i="4" s="1"/>
  <c r="D112" i="4"/>
  <c r="M105" i="4"/>
  <c r="J105" i="4"/>
  <c r="G105" i="4"/>
  <c r="D105" i="4"/>
  <c r="M104" i="4"/>
  <c r="M108" i="4" s="1"/>
  <c r="M109" i="4" s="1"/>
  <c r="J104" i="4"/>
  <c r="J108" i="4" s="1"/>
  <c r="J109" i="4" s="1"/>
  <c r="D104" i="4"/>
  <c r="M97" i="4"/>
  <c r="J97" i="4"/>
  <c r="G97" i="4"/>
  <c r="D97" i="4"/>
  <c r="M96" i="4"/>
  <c r="J96" i="4"/>
  <c r="J100" i="4" s="1"/>
  <c r="J101" i="4" s="1"/>
  <c r="D96" i="4"/>
  <c r="M89" i="4"/>
  <c r="J89" i="4"/>
  <c r="G89" i="4"/>
  <c r="D89" i="4"/>
  <c r="M88" i="4"/>
  <c r="M92" i="4" s="1"/>
  <c r="M93" i="4" s="1"/>
  <c r="J88" i="4"/>
  <c r="J91" i="4" s="1"/>
  <c r="D88" i="4"/>
  <c r="M81" i="4"/>
  <c r="M80" i="4"/>
  <c r="J81" i="4"/>
  <c r="J80" i="4"/>
  <c r="G81" i="4"/>
  <c r="D81" i="4"/>
  <c r="D80" i="4"/>
  <c r="G73" i="4"/>
  <c r="M73" i="4"/>
  <c r="M72" i="4"/>
  <c r="J73" i="4"/>
  <c r="J72" i="4"/>
  <c r="D73" i="4"/>
  <c r="D72" i="4"/>
  <c r="M66" i="4"/>
  <c r="M65" i="4"/>
  <c r="J66" i="4"/>
  <c r="J65" i="4"/>
  <c r="G66" i="4"/>
  <c r="D66" i="4"/>
  <c r="D65" i="4"/>
  <c r="M59" i="4"/>
  <c r="M58" i="4"/>
  <c r="J59" i="4"/>
  <c r="J58" i="4"/>
  <c r="G59" i="4"/>
  <c r="G58" i="4"/>
  <c r="D59" i="4"/>
  <c r="D58" i="4"/>
  <c r="M52" i="4"/>
  <c r="M51" i="4"/>
  <c r="J52" i="4"/>
  <c r="J51" i="4"/>
  <c r="G52" i="4"/>
  <c r="G51" i="4"/>
  <c r="D52" i="4"/>
  <c r="D51" i="4"/>
  <c r="M45" i="4"/>
  <c r="J45" i="4"/>
  <c r="G45" i="4"/>
  <c r="D45" i="4"/>
  <c r="M44" i="4"/>
  <c r="M47" i="4" s="1"/>
  <c r="M48" i="4" s="1"/>
  <c r="J44" i="4"/>
  <c r="G44" i="4"/>
  <c r="G47" i="4" s="1"/>
  <c r="G48" i="4" s="1"/>
  <c r="D44" i="4"/>
  <c r="M38" i="4"/>
  <c r="J38" i="4"/>
  <c r="G38" i="4"/>
  <c r="D38" i="4"/>
  <c r="M37" i="4"/>
  <c r="M40" i="4" s="1"/>
  <c r="M41" i="4" s="1"/>
  <c r="J37" i="4"/>
  <c r="J40" i="4" s="1"/>
  <c r="J41" i="4" s="1"/>
  <c r="G37" i="4"/>
  <c r="G40" i="4" s="1"/>
  <c r="G41" i="4" s="1"/>
  <c r="D37" i="4"/>
  <c r="D40" i="4" s="1"/>
  <c r="D41" i="4" s="1"/>
  <c r="M31" i="4"/>
  <c r="J31" i="4"/>
  <c r="G31" i="4"/>
  <c r="D31" i="4"/>
  <c r="M30" i="4"/>
  <c r="M33" i="4" s="1"/>
  <c r="M34" i="4" s="1"/>
  <c r="J30" i="4"/>
  <c r="J32" i="4" s="1"/>
  <c r="G30" i="4"/>
  <c r="G33" i="4" s="1"/>
  <c r="G34" i="4" s="1"/>
  <c r="D30" i="4"/>
  <c r="D33" i="4" s="1"/>
  <c r="D34" i="4" s="1"/>
  <c r="M24" i="4"/>
  <c r="M23" i="4"/>
  <c r="J24" i="4"/>
  <c r="J23" i="4"/>
  <c r="G24" i="4"/>
  <c r="G23" i="4"/>
  <c r="D24" i="4"/>
  <c r="D23" i="4"/>
  <c r="M17" i="4"/>
  <c r="M16" i="4"/>
  <c r="J17" i="4"/>
  <c r="J16" i="4"/>
  <c r="G17" i="4"/>
  <c r="G16" i="4"/>
  <c r="D17" i="4"/>
  <c r="D16" i="4"/>
  <c r="M9" i="4"/>
  <c r="M10" i="4"/>
  <c r="J10" i="4"/>
  <c r="J9" i="4"/>
  <c r="G10" i="4"/>
  <c r="D10" i="4"/>
  <c r="G9" i="4"/>
  <c r="D9" i="4"/>
  <c r="M3" i="4"/>
  <c r="M2" i="4"/>
  <c r="J3" i="4"/>
  <c r="J2" i="4"/>
  <c r="G3" i="4"/>
  <c r="G2" i="4"/>
  <c r="D3" i="4"/>
  <c r="FN9" i="1"/>
  <c r="FN10" i="1" s="1"/>
  <c r="FQ9" i="1"/>
  <c r="FQ10" i="1" s="1"/>
  <c r="FP9" i="1"/>
  <c r="FP10" i="1" s="1"/>
  <c r="FO9" i="1"/>
  <c r="FO10" i="1" s="1"/>
  <c r="FQ8" i="1"/>
  <c r="FP8" i="1"/>
  <c r="FO8" i="1"/>
  <c r="FN8" i="1"/>
  <c r="FJ9" i="1"/>
  <c r="FJ10" i="1" s="1"/>
  <c r="FI9" i="1"/>
  <c r="FI10" i="1" s="1"/>
  <c r="FH9" i="1"/>
  <c r="FH10" i="1" s="1"/>
  <c r="FG9" i="1"/>
  <c r="FG10" i="1" s="1"/>
  <c r="FJ8" i="1"/>
  <c r="FI8" i="1"/>
  <c r="FH8" i="1"/>
  <c r="FG8" i="1"/>
  <c r="FC9" i="1"/>
  <c r="FC10" i="1" s="1"/>
  <c r="FB9" i="1"/>
  <c r="FB10" i="1" s="1"/>
  <c r="FA9" i="1"/>
  <c r="FA10" i="1" s="1"/>
  <c r="EZ9" i="1"/>
  <c r="EZ10" i="1" s="1"/>
  <c r="FC8" i="1"/>
  <c r="FB8" i="1"/>
  <c r="FA8" i="1"/>
  <c r="EZ8" i="1"/>
  <c r="ES8" i="1"/>
  <c r="ET8" i="1"/>
  <c r="EM8" i="1"/>
  <c r="EL8" i="1"/>
  <c r="EV9" i="1"/>
  <c r="EV10" i="1" s="1"/>
  <c r="EU9" i="1"/>
  <c r="EU10" i="1" s="1"/>
  <c r="ET9" i="1"/>
  <c r="ET10" i="1" s="1"/>
  <c r="ES9" i="1"/>
  <c r="ES10" i="1" s="1"/>
  <c r="EV8" i="1"/>
  <c r="EU8" i="1"/>
  <c r="EO9" i="1"/>
  <c r="EO10" i="1" s="1"/>
  <c r="EN9" i="1"/>
  <c r="EN10" i="1" s="1"/>
  <c r="EM9" i="1"/>
  <c r="EM10" i="1" s="1"/>
  <c r="EL9" i="1"/>
  <c r="EL10" i="1" s="1"/>
  <c r="EO8" i="1"/>
  <c r="EN8" i="1"/>
  <c r="EG8" i="1"/>
  <c r="EE8" i="1"/>
  <c r="EH9" i="1"/>
  <c r="EH10" i="1" s="1"/>
  <c r="EG9" i="1"/>
  <c r="EG10" i="1" s="1"/>
  <c r="EF9" i="1"/>
  <c r="EF10" i="1" s="1"/>
  <c r="EE9" i="1"/>
  <c r="EE10" i="1" s="1"/>
  <c r="EH8" i="1"/>
  <c r="EF8" i="1"/>
  <c r="EA9" i="1"/>
  <c r="EA10" i="1" s="1"/>
  <c r="DZ9" i="1"/>
  <c r="DZ10" i="1" s="1"/>
  <c r="DY9" i="1"/>
  <c r="DY10" i="1" s="1"/>
  <c r="DX9" i="1"/>
  <c r="DX10" i="1" s="1"/>
  <c r="EA8" i="1"/>
  <c r="DZ8" i="1"/>
  <c r="DY8" i="1"/>
  <c r="DX8" i="1"/>
  <c r="DT9" i="1"/>
  <c r="DT10" i="1" s="1"/>
  <c r="DS9" i="1"/>
  <c r="DS10" i="1" s="1"/>
  <c r="DR9" i="1"/>
  <c r="DR10" i="1" s="1"/>
  <c r="DQ9" i="1"/>
  <c r="DQ10" i="1" s="1"/>
  <c r="DT8" i="1"/>
  <c r="DS8" i="1"/>
  <c r="DR8" i="1"/>
  <c r="DQ8" i="1"/>
  <c r="DM9" i="1"/>
  <c r="DM10" i="1" s="1"/>
  <c r="DL9" i="1"/>
  <c r="DL10" i="1" s="1"/>
  <c r="DK9" i="1"/>
  <c r="DK10" i="1" s="1"/>
  <c r="DJ9" i="1"/>
  <c r="DJ10" i="1" s="1"/>
  <c r="DM8" i="1"/>
  <c r="DL8" i="1"/>
  <c r="DK8" i="1"/>
  <c r="DJ8" i="1"/>
  <c r="DF9" i="1"/>
  <c r="DF10" i="1" s="1"/>
  <c r="DE9" i="1"/>
  <c r="DE10" i="1" s="1"/>
  <c r="DD9" i="1"/>
  <c r="DD10" i="1" s="1"/>
  <c r="DC9" i="1"/>
  <c r="DC10" i="1" s="1"/>
  <c r="DF8" i="1"/>
  <c r="DE8" i="1"/>
  <c r="DD8" i="1"/>
  <c r="DC8" i="1"/>
  <c r="CX9" i="1"/>
  <c r="CX10" i="1" s="1"/>
  <c r="CX8" i="1"/>
  <c r="CY9" i="1"/>
  <c r="CY10" i="1" s="1"/>
  <c r="CW9" i="1"/>
  <c r="CW10" i="1" s="1"/>
  <c r="CV9" i="1"/>
  <c r="CV10" i="1" s="1"/>
  <c r="CY8" i="1"/>
  <c r="CW8" i="1"/>
  <c r="CV8" i="1"/>
  <c r="CQ8" i="1"/>
  <c r="CQ9" i="1"/>
  <c r="CQ10" i="1" s="1"/>
  <c r="CR9" i="1"/>
  <c r="CR10" i="1" s="1"/>
  <c r="CP9" i="1"/>
  <c r="CP10" i="1" s="1"/>
  <c r="CO9" i="1"/>
  <c r="CO10" i="1" s="1"/>
  <c r="CR8" i="1"/>
  <c r="CP8" i="1"/>
  <c r="CO8" i="1"/>
  <c r="CK9" i="1"/>
  <c r="CK10" i="1" s="1"/>
  <c r="CJ9" i="1"/>
  <c r="CJ10" i="1" s="1"/>
  <c r="CI9" i="1"/>
  <c r="CI10" i="1" s="1"/>
  <c r="CH9" i="1"/>
  <c r="CH10" i="1" s="1"/>
  <c r="CK8" i="1"/>
  <c r="CJ8" i="1"/>
  <c r="CI8" i="1"/>
  <c r="CH8" i="1"/>
  <c r="CD9" i="1"/>
  <c r="CD10" i="1" s="1"/>
  <c r="CC9" i="1"/>
  <c r="CC10" i="1" s="1"/>
  <c r="CB9" i="1"/>
  <c r="CB10" i="1" s="1"/>
  <c r="CA9" i="1"/>
  <c r="CA10" i="1" s="1"/>
  <c r="CD8" i="1"/>
  <c r="CC8" i="1"/>
  <c r="CB8" i="1"/>
  <c r="CA8" i="1"/>
  <c r="BW9" i="1"/>
  <c r="BW10" i="1" s="1"/>
  <c r="BV9" i="1"/>
  <c r="BV10" i="1" s="1"/>
  <c r="BU9" i="1"/>
  <c r="BU10" i="1" s="1"/>
  <c r="BT9" i="1"/>
  <c r="BT10" i="1" s="1"/>
  <c r="BW8" i="1"/>
  <c r="BV8" i="1"/>
  <c r="BU8" i="1"/>
  <c r="BT8" i="1"/>
  <c r="BP9" i="1"/>
  <c r="BP10" i="1" s="1"/>
  <c r="BO9" i="1"/>
  <c r="BO10" i="1" s="1"/>
  <c r="BN9" i="1"/>
  <c r="BN10" i="1" s="1"/>
  <c r="BM9" i="1"/>
  <c r="BM10" i="1" s="1"/>
  <c r="BP8" i="1"/>
  <c r="BO8" i="1"/>
  <c r="BN8" i="1"/>
  <c r="BM8" i="1"/>
  <c r="BI9" i="1"/>
  <c r="BI10" i="1" s="1"/>
  <c r="BH9" i="1"/>
  <c r="BH10" i="1" s="1"/>
  <c r="BG9" i="1"/>
  <c r="BG10" i="1" s="1"/>
  <c r="BF9" i="1"/>
  <c r="BF10" i="1" s="1"/>
  <c r="BI8" i="1"/>
  <c r="BH8" i="1"/>
  <c r="BG8" i="1"/>
  <c r="BF8" i="1"/>
  <c r="BB9" i="1"/>
  <c r="BB10" i="1" s="1"/>
  <c r="BA9" i="1"/>
  <c r="BA10" i="1" s="1"/>
  <c r="AZ9" i="1"/>
  <c r="AZ10" i="1" s="1"/>
  <c r="AY9" i="1"/>
  <c r="AY10" i="1" s="1"/>
  <c r="BB8" i="1"/>
  <c r="BA8" i="1"/>
  <c r="AZ8" i="1"/>
  <c r="AY8" i="1"/>
  <c r="AU9" i="1"/>
  <c r="AU10" i="1" s="1"/>
  <c r="AT9" i="1"/>
  <c r="AT10" i="1" s="1"/>
  <c r="AS9" i="1"/>
  <c r="AS10" i="1" s="1"/>
  <c r="AR9" i="1"/>
  <c r="AR10" i="1" s="1"/>
  <c r="AU8" i="1"/>
  <c r="AT8" i="1"/>
  <c r="AS8" i="1"/>
  <c r="AR8" i="1"/>
  <c r="AN9" i="1"/>
  <c r="AN10" i="1" s="1"/>
  <c r="AM9" i="1"/>
  <c r="AM10" i="1" s="1"/>
  <c r="AL9" i="1"/>
  <c r="AL10" i="1" s="1"/>
  <c r="AK9" i="1"/>
  <c r="AK10" i="1" s="1"/>
  <c r="AN8" i="1"/>
  <c r="AM8" i="1"/>
  <c r="AL8" i="1"/>
  <c r="AK8" i="1"/>
  <c r="AG9" i="1"/>
  <c r="AG10" i="1" s="1"/>
  <c r="AF9" i="1"/>
  <c r="AF10" i="1" s="1"/>
  <c r="AE9" i="1"/>
  <c r="AE10" i="1" s="1"/>
  <c r="AD9" i="1"/>
  <c r="AD10" i="1" s="1"/>
  <c r="AG8" i="1"/>
  <c r="AF8" i="1"/>
  <c r="AE8" i="1"/>
  <c r="AD8" i="1"/>
  <c r="G172" i="4" l="1"/>
  <c r="G173" i="4" s="1"/>
  <c r="J140" i="4"/>
  <c r="J141" i="4" s="1"/>
  <c r="J172" i="4"/>
  <c r="J173" i="4" s="1"/>
  <c r="Q12" i="6"/>
  <c r="Q13" i="6" s="1"/>
  <c r="Q11" i="6"/>
  <c r="M11" i="6"/>
  <c r="M12" i="6"/>
  <c r="M13" i="6" s="1"/>
  <c r="I12" i="6"/>
  <c r="I13" i="6" s="1"/>
  <c r="I11" i="6"/>
  <c r="E12" i="6"/>
  <c r="E13" i="6" s="1"/>
  <c r="E11" i="6"/>
  <c r="D172" i="4"/>
  <c r="D173" i="4" s="1"/>
  <c r="G76" i="4"/>
  <c r="G77" i="4" s="1"/>
  <c r="M172" i="4"/>
  <c r="M173" i="4" s="1"/>
  <c r="D108" i="4"/>
  <c r="D109" i="4" s="1"/>
  <c r="M148" i="4"/>
  <c r="M149" i="4" s="1"/>
  <c r="D5" i="4"/>
  <c r="D6" i="4" s="1"/>
  <c r="J12" i="4"/>
  <c r="J13" i="4" s="1"/>
  <c r="D54" i="4"/>
  <c r="D55" i="4" s="1"/>
  <c r="D148" i="4"/>
  <c r="D149" i="4" s="1"/>
  <c r="J164" i="4"/>
  <c r="J165" i="4" s="1"/>
  <c r="G4" i="4"/>
  <c r="D12" i="4"/>
  <c r="D13" i="4" s="1"/>
  <c r="D76" i="4"/>
  <c r="D77" i="4" s="1"/>
  <c r="M76" i="4"/>
  <c r="M77" i="4" s="1"/>
  <c r="M84" i="4"/>
  <c r="M85" i="4" s="1"/>
  <c r="M61" i="4"/>
  <c r="M62" i="4" s="1"/>
  <c r="G68" i="4"/>
  <c r="G69" i="4" s="1"/>
  <c r="D116" i="4"/>
  <c r="D117" i="4" s="1"/>
  <c r="G116" i="4"/>
  <c r="G117" i="4" s="1"/>
  <c r="D140" i="4"/>
  <c r="D141" i="4" s="1"/>
  <c r="G156" i="4"/>
  <c r="G157" i="4" s="1"/>
  <c r="M132" i="4"/>
  <c r="M133" i="4" s="1"/>
  <c r="D19" i="4"/>
  <c r="D20" i="4" s="1"/>
  <c r="G61" i="4"/>
  <c r="G62" i="4" s="1"/>
  <c r="D75" i="4"/>
  <c r="M12" i="4"/>
  <c r="M13" i="4" s="1"/>
  <c r="M26" i="4"/>
  <c r="M27" i="4" s="1"/>
  <c r="G54" i="4"/>
  <c r="G55" i="4" s="1"/>
  <c r="M54" i="4"/>
  <c r="M55" i="4" s="1"/>
  <c r="D132" i="4"/>
  <c r="D133" i="4" s="1"/>
  <c r="J148" i="4"/>
  <c r="J149" i="4" s="1"/>
  <c r="G171" i="4"/>
  <c r="D171" i="4"/>
  <c r="M171" i="4"/>
  <c r="J171" i="4"/>
  <c r="G164" i="4"/>
  <c r="G165" i="4" s="1"/>
  <c r="D163" i="4"/>
  <c r="G163" i="4"/>
  <c r="J163" i="4"/>
  <c r="M163" i="4"/>
  <c r="M156" i="4"/>
  <c r="M157" i="4" s="1"/>
  <c r="D155" i="4"/>
  <c r="G155" i="4"/>
  <c r="J155" i="4"/>
  <c r="M155" i="4"/>
  <c r="G148" i="4"/>
  <c r="G149" i="4" s="1"/>
  <c r="D147" i="4"/>
  <c r="J147" i="4"/>
  <c r="G147" i="4"/>
  <c r="M147" i="4"/>
  <c r="M140" i="4"/>
  <c r="M141" i="4" s="1"/>
  <c r="G140" i="4"/>
  <c r="G141" i="4" s="1"/>
  <c r="G132" i="4"/>
  <c r="G133" i="4" s="1"/>
  <c r="J47" i="4"/>
  <c r="J48" i="4" s="1"/>
  <c r="D100" i="4"/>
  <c r="D101" i="4" s="1"/>
  <c r="J132" i="4"/>
  <c r="J133" i="4" s="1"/>
  <c r="G26" i="4"/>
  <c r="G27" i="4" s="1"/>
  <c r="D60" i="4"/>
  <c r="D92" i="4"/>
  <c r="D93" i="4" s="1"/>
  <c r="M131" i="4"/>
  <c r="G5" i="4"/>
  <c r="G6" i="4" s="1"/>
  <c r="M5" i="4"/>
  <c r="M6" i="4" s="1"/>
  <c r="D25" i="4"/>
  <c r="J26" i="4"/>
  <c r="J27" i="4" s="1"/>
  <c r="M68" i="4"/>
  <c r="M69" i="4" s="1"/>
  <c r="D124" i="4"/>
  <c r="D125" i="4" s="1"/>
  <c r="D131" i="4"/>
  <c r="D139" i="4"/>
  <c r="G139" i="4"/>
  <c r="J139" i="4"/>
  <c r="M139" i="4"/>
  <c r="G131" i="4"/>
  <c r="J131" i="4"/>
  <c r="G100" i="4"/>
  <c r="G101" i="4" s="1"/>
  <c r="G75" i="4"/>
  <c r="J5" i="4"/>
  <c r="J6" i="4" s="1"/>
  <c r="G12" i="4"/>
  <c r="G13" i="4" s="1"/>
  <c r="J54" i="4"/>
  <c r="J55" i="4" s="1"/>
  <c r="J61" i="4"/>
  <c r="J62" i="4" s="1"/>
  <c r="D67" i="4"/>
  <c r="J68" i="4"/>
  <c r="J69" i="4" s="1"/>
  <c r="J76" i="4"/>
  <c r="J77" i="4" s="1"/>
  <c r="J84" i="4"/>
  <c r="J85" i="4" s="1"/>
  <c r="D123" i="4"/>
  <c r="G123" i="4"/>
  <c r="G124" i="4"/>
  <c r="G125" i="4" s="1"/>
  <c r="J123" i="4"/>
  <c r="M123" i="4"/>
  <c r="M116" i="4"/>
  <c r="M117" i="4" s="1"/>
  <c r="D115" i="4"/>
  <c r="G115" i="4"/>
  <c r="J115" i="4"/>
  <c r="M115" i="4"/>
  <c r="D107" i="4"/>
  <c r="G108" i="4"/>
  <c r="G109" i="4" s="1"/>
  <c r="J107" i="4"/>
  <c r="G107" i="4"/>
  <c r="M107" i="4"/>
  <c r="M100" i="4"/>
  <c r="M101" i="4" s="1"/>
  <c r="D99" i="4"/>
  <c r="G99" i="4"/>
  <c r="J99" i="4"/>
  <c r="M99" i="4"/>
  <c r="G91" i="4"/>
  <c r="D91" i="4"/>
  <c r="G92" i="4"/>
  <c r="G93" i="4" s="1"/>
  <c r="J92" i="4"/>
  <c r="J93" i="4" s="1"/>
  <c r="M91" i="4"/>
  <c r="D84" i="4"/>
  <c r="D85" i="4" s="1"/>
  <c r="D83" i="4"/>
  <c r="M83" i="4"/>
  <c r="G84" i="4"/>
  <c r="G85" i="4" s="1"/>
  <c r="G83" i="4"/>
  <c r="J83" i="4"/>
  <c r="J75" i="4"/>
  <c r="M75" i="4"/>
  <c r="J4" i="4"/>
  <c r="M4" i="4"/>
  <c r="D68" i="4"/>
  <c r="D69" i="4" s="1"/>
  <c r="J67" i="4"/>
  <c r="G67" i="4"/>
  <c r="M67" i="4"/>
  <c r="D61" i="4"/>
  <c r="D62" i="4" s="1"/>
  <c r="G60" i="4"/>
  <c r="J60" i="4"/>
  <c r="M60" i="4"/>
  <c r="D53" i="4"/>
  <c r="G53" i="4"/>
  <c r="J53" i="4"/>
  <c r="M53" i="4"/>
  <c r="D47" i="4"/>
  <c r="D48" i="4" s="1"/>
  <c r="D46" i="4"/>
  <c r="G46" i="4"/>
  <c r="J46" i="4"/>
  <c r="M46" i="4"/>
  <c r="G39" i="4"/>
  <c r="D39" i="4"/>
  <c r="J39" i="4"/>
  <c r="M39" i="4"/>
  <c r="J33" i="4"/>
  <c r="J34" i="4" s="1"/>
  <c r="D32" i="4"/>
  <c r="G32" i="4"/>
  <c r="M32" i="4"/>
  <c r="D26" i="4"/>
  <c r="D27" i="4" s="1"/>
  <c r="G25" i="4"/>
  <c r="J25" i="4"/>
  <c r="M25" i="4"/>
  <c r="M19" i="4"/>
  <c r="M20" i="4" s="1"/>
  <c r="J19" i="4"/>
  <c r="J20" i="4" s="1"/>
  <c r="G19" i="4"/>
  <c r="G20" i="4" s="1"/>
  <c r="J18" i="4"/>
  <c r="D18" i="4"/>
  <c r="G18" i="4"/>
  <c r="M18" i="4"/>
  <c r="D11" i="4"/>
  <c r="G11" i="4"/>
  <c r="J11" i="4"/>
  <c r="M11" i="4"/>
  <c r="Z9" i="1"/>
  <c r="Z10" i="1" s="1"/>
  <c r="Y9" i="1"/>
  <c r="Y10" i="1" s="1"/>
  <c r="X9" i="1"/>
  <c r="X10" i="1" s="1"/>
  <c r="W9" i="1"/>
  <c r="W10" i="1" s="1"/>
  <c r="Z8" i="1"/>
  <c r="Y8" i="1"/>
  <c r="X8" i="1"/>
  <c r="W8" i="1"/>
  <c r="Q9" i="1"/>
  <c r="Q10" i="1" s="1"/>
  <c r="R9" i="1"/>
  <c r="R10" i="1" s="1"/>
  <c r="S9" i="1"/>
  <c r="S10" i="1" s="1"/>
  <c r="P9" i="1"/>
  <c r="P10" i="1" s="1"/>
  <c r="Q8" i="1"/>
  <c r="R8" i="1"/>
  <c r="S8" i="1"/>
  <c r="P8" i="1"/>
  <c r="L9" i="1"/>
  <c r="L10" i="1" s="1"/>
  <c r="K9" i="1"/>
  <c r="K10" i="1" s="1"/>
  <c r="J9" i="1"/>
  <c r="J10" i="1" s="1"/>
  <c r="I9" i="1"/>
  <c r="I10" i="1" s="1"/>
  <c r="L8" i="1"/>
  <c r="K8" i="1"/>
  <c r="J8" i="1"/>
  <c r="I8" i="1"/>
  <c r="C9" i="1"/>
  <c r="C10" i="1" s="1"/>
  <c r="D9" i="1"/>
  <c r="D10" i="1" s="1"/>
  <c r="E9" i="1"/>
  <c r="E10" i="1" s="1"/>
  <c r="B9" i="1"/>
  <c r="B10" i="1" s="1"/>
  <c r="C8" i="1"/>
  <c r="D8" i="1"/>
  <c r="E8" i="1"/>
  <c r="B8" i="1"/>
</calcChain>
</file>

<file path=xl/sharedStrings.xml><?xml version="1.0" encoding="utf-8"?>
<sst xmlns="http://schemas.openxmlformats.org/spreadsheetml/2006/main" count="2536" uniqueCount="184">
  <si>
    <t>Week 1</t>
  </si>
  <si>
    <t>Week 0</t>
  </si>
  <si>
    <t>Apoe TRF</t>
  </si>
  <si>
    <t>Ldlr TRF</t>
  </si>
  <si>
    <t>LABEL</t>
  </si>
  <si>
    <t>AT</t>
  </si>
  <si>
    <t>AA</t>
  </si>
  <si>
    <t>LT</t>
  </si>
  <si>
    <t>LA</t>
  </si>
  <si>
    <t>Treatment Groups</t>
  </si>
  <si>
    <t>Code</t>
  </si>
  <si>
    <t>Mouse &amp; Condition</t>
  </si>
  <si>
    <t>Apoe Ad LIB</t>
  </si>
  <si>
    <t>Ldlr Apoe</t>
  </si>
  <si>
    <t>Mouse ID</t>
  </si>
  <si>
    <t>123N</t>
  </si>
  <si>
    <t>125N</t>
  </si>
  <si>
    <t>130N</t>
  </si>
  <si>
    <t>132N</t>
  </si>
  <si>
    <t>123L</t>
  </si>
  <si>
    <t>125L</t>
  </si>
  <si>
    <t>130L</t>
  </si>
  <si>
    <t>132L</t>
  </si>
  <si>
    <t>123R</t>
  </si>
  <si>
    <t>125R</t>
  </si>
  <si>
    <t>130R</t>
  </si>
  <si>
    <t>132R</t>
  </si>
  <si>
    <t>123B</t>
  </si>
  <si>
    <t>125B</t>
  </si>
  <si>
    <t>131N</t>
  </si>
  <si>
    <t>133N</t>
  </si>
  <si>
    <t>124N</t>
  </si>
  <si>
    <t>126N</t>
  </si>
  <si>
    <t>131L</t>
  </si>
  <si>
    <t>133L</t>
  </si>
  <si>
    <t>124L</t>
  </si>
  <si>
    <t>126L</t>
  </si>
  <si>
    <t>131R</t>
  </si>
  <si>
    <t>133R</t>
  </si>
  <si>
    <t>Average</t>
  </si>
  <si>
    <t>STDEV</t>
  </si>
  <si>
    <t>SEM</t>
  </si>
  <si>
    <t>Week</t>
  </si>
  <si>
    <t>AT Avg</t>
  </si>
  <si>
    <t>AT SEM</t>
  </si>
  <si>
    <t>AA Avg</t>
  </si>
  <si>
    <t>AA SEM</t>
  </si>
  <si>
    <t>LT Avg</t>
  </si>
  <si>
    <t>LT SEM</t>
  </si>
  <si>
    <t>LA Avg</t>
  </si>
  <si>
    <t>LA SEM</t>
  </si>
  <si>
    <t>no weights</t>
  </si>
  <si>
    <t>Week 2</t>
  </si>
  <si>
    <t>4 days</t>
  </si>
  <si>
    <t>3 days</t>
  </si>
  <si>
    <t>Week 3</t>
  </si>
  <si>
    <t xml:space="preserve">7 days </t>
  </si>
  <si>
    <t>Week 4</t>
  </si>
  <si>
    <t>9 days</t>
  </si>
  <si>
    <t>Week 5</t>
  </si>
  <si>
    <t>7 days</t>
  </si>
  <si>
    <t>Week 6</t>
  </si>
  <si>
    <t>Week 7</t>
  </si>
  <si>
    <t>Week 8</t>
  </si>
  <si>
    <t>Week 9</t>
  </si>
  <si>
    <t>Week 10</t>
  </si>
  <si>
    <t>5 days</t>
  </si>
  <si>
    <t>Week 11</t>
  </si>
  <si>
    <t>8 days</t>
  </si>
  <si>
    <t>Week 12</t>
  </si>
  <si>
    <t>6 days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</si>
  <si>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</si>
  <si>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</si>
  <si>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</si>
  <si>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</si>
  <si>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</si>
  <si>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</si>
  <si>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</si>
  <si>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</si>
  <si>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DEAD</t>
  </si>
  <si>
    <t>Week 21</t>
  </si>
  <si>
    <t>Week 22</t>
  </si>
  <si>
    <t>Week 23</t>
  </si>
  <si>
    <t>Week 0.5</t>
  </si>
  <si>
    <t>metabolic cage</t>
  </si>
  <si>
    <t>n/a</t>
  </si>
  <si>
    <t>AA-post</t>
  </si>
  <si>
    <t>AT-post</t>
  </si>
  <si>
    <t>AA-diff</t>
  </si>
  <si>
    <t>AT-diff</t>
  </si>
  <si>
    <t>AT-pre</t>
  </si>
  <si>
    <t xml:space="preserve">AA-pre </t>
  </si>
  <si>
    <t>LT-diff</t>
  </si>
  <si>
    <t>LT-pre</t>
  </si>
  <si>
    <t>LT-post</t>
  </si>
  <si>
    <t>LA-pre</t>
  </si>
  <si>
    <t>LA-post</t>
  </si>
  <si>
    <t>LA-diff</t>
  </si>
  <si>
    <t>Avg</t>
  </si>
  <si>
    <t>Stdev</t>
  </si>
  <si>
    <t>"Mouse Weights" Key</t>
  </si>
  <si>
    <t>"Food Consumed" Key</t>
  </si>
  <si>
    <t>8/17/2018-8/20/2018</t>
  </si>
  <si>
    <t>Mouse Cage</t>
  </si>
  <si>
    <t>8/20/2018-8/27/2018</t>
  </si>
  <si>
    <t>8/27/2018-9/5/2018</t>
  </si>
  <si>
    <t>9/5/2018-9/12/2018</t>
  </si>
  <si>
    <t>AT and AA post food weights?? (so much consumed, is that realistic?)</t>
  </si>
  <si>
    <t>was food dumped out and replaced without a comment? May need to throw out this timepoint</t>
  </si>
  <si>
    <t>9/12/2018-9/19/2018</t>
  </si>
  <si>
    <t xml:space="preserve"> AA post food weights?? (so much consumed, is that realistic?)</t>
  </si>
  <si>
    <t>9/19/2018-9/26/2018</t>
  </si>
  <si>
    <t>have to throw out this timepoint--AA had food added</t>
  </si>
  <si>
    <t>9/26/2018-10/3/2018</t>
  </si>
  <si>
    <t xml:space="preserve"> AA post food weights?</t>
  </si>
  <si>
    <t>10/3/2018-10/12/2018</t>
  </si>
  <si>
    <t>10/12/2018-10/17/2018</t>
  </si>
  <si>
    <t>have to throw out this timepoint-LT and LA had food added</t>
  </si>
  <si>
    <t>10/17/2018-10/25/2018</t>
  </si>
  <si>
    <t>AA, LT, LA post food weights?</t>
  </si>
  <si>
    <t>10/25/2018-10/31/2018</t>
  </si>
  <si>
    <t>8/13/2018-10/31/2018</t>
  </si>
  <si>
    <t>125 split into cages 125A and 125B</t>
  </si>
  <si>
    <t>10/31/2018-11/07/2018</t>
  </si>
  <si>
    <t>125A</t>
  </si>
  <si>
    <t>11/07/2018-11/14/2018</t>
  </si>
  <si>
    <t>11/14/2018-11/21/2018</t>
  </si>
  <si>
    <t>11/21/2018-11/28/2018</t>
  </si>
  <si>
    <t>LT post-food weight?</t>
  </si>
  <si>
    <t>11/28/2018-12/05/2018</t>
  </si>
  <si>
    <t>12/05/2018-12/12/2018</t>
  </si>
  <si>
    <t>12/12/2018-12/19/2018</t>
  </si>
  <si>
    <t>11/07/2018-12/19/2018</t>
  </si>
  <si>
    <t>12/19/2018-12/28/2018</t>
  </si>
  <si>
    <t>12/28/2018-01/03/2018</t>
  </si>
  <si>
    <t>01/03/2018-01/09/2018</t>
  </si>
  <si>
    <t>01/09/2018-01/17/2018</t>
  </si>
  <si>
    <t>metabolic cage week</t>
  </si>
  <si>
    <t>01/17/2018-01/22-23/2018</t>
  </si>
  <si>
    <t>4-5 days</t>
  </si>
  <si>
    <t>metabolic cages</t>
  </si>
  <si>
    <t>AT-cum kcal</t>
  </si>
  <si>
    <t>AT-diff kcal</t>
  </si>
  <si>
    <t>AA-diff kcal</t>
  </si>
  <si>
    <t>AA-cum kcal</t>
  </si>
  <si>
    <t>LT-diff kcal</t>
  </si>
  <si>
    <t>LT-cum kcal</t>
  </si>
  <si>
    <t>LA-cum kcal</t>
  </si>
  <si>
    <t>LA-diff kcal</t>
  </si>
  <si>
    <t>kcal/mouse/day</t>
  </si>
  <si>
    <t>1st 24hr stool collection (8/31/2018)</t>
  </si>
  <si>
    <t>2nd 24hr stool collection (1/4/2019)</t>
  </si>
  <si>
    <t>ApoE-/- TRF</t>
  </si>
  <si>
    <t>Ldlr-/- TRF</t>
  </si>
  <si>
    <t>Ldlr-/- ad lib</t>
  </si>
  <si>
    <t>ApoE-/-  ad lib</t>
  </si>
  <si>
    <t>dead</t>
  </si>
  <si>
    <t xml:space="preserve">Week </t>
  </si>
  <si>
    <t>AT_1</t>
  </si>
  <si>
    <t>AT_2</t>
  </si>
  <si>
    <t>AA_1</t>
  </si>
  <si>
    <t>AA_2</t>
  </si>
  <si>
    <t>AA_3</t>
  </si>
  <si>
    <t>LT_1</t>
  </si>
  <si>
    <t>LT_2</t>
  </si>
  <si>
    <t>LA_1</t>
  </si>
  <si>
    <t>LA_2</t>
  </si>
  <si>
    <t>g/mouse/day</t>
  </si>
  <si>
    <t>cum kcal/mouse/day</t>
  </si>
  <si>
    <t>kcal/mouse/week</t>
  </si>
  <si>
    <t>g/mouse/week</t>
  </si>
  <si>
    <t>cum kcal/mouse/week</t>
  </si>
  <si>
    <t>relative cum kcal/mouse/week</t>
  </si>
  <si>
    <t>AVG cum kcal/mouse/week</t>
  </si>
  <si>
    <t>Apoe ad lib</t>
  </si>
  <si>
    <t>Ldlr ad lib</t>
  </si>
  <si>
    <t>g food total</t>
  </si>
  <si>
    <t>kcal food total</t>
  </si>
  <si>
    <t>cumulative kcal/mouse/week</t>
  </si>
  <si>
    <t>kcal/week/mouse for each condition total</t>
  </si>
  <si>
    <t>kcal/week</t>
  </si>
  <si>
    <t>????</t>
  </si>
  <si>
    <t>avg cum kcal/mouse/week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</si>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</sst>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4" tint="-0.499984740745262"/>
      <name val="Calibri (Body)_x0000_"/>
    </font>
    <font>
      <sz val="12"/>
      <color theme="2" tint="-9.9978637043366805E-2"/>
      <name val="Calibri (Body)_x0000_"/>
    </font>
    <font>
      <sz val="11"/>
      <color theme="2"/>
      <name val="Calibri"/>
      <family val="2"/>
      <scheme val="minor"/>
    </font>
    <font>
      <sz val="12"/>
      <color theme="2"/>
      <name val="Calibri"/>
      <family val="2"/>
      <scheme val="minor"/>
    </font>
    <font>
      <sz val="8"/>
      <color theme="2"/>
      <name val="Calibri"/>
      <family val="2"/>
      <scheme val="minor"/>
    </font>
    <font>
      <sz val="12"/>
      <color theme="2"/>
      <name val="Calibri (Body)_x0000_"/>
    </font>
    <font>
      <b/>
      <sz val="12"/>
      <color theme="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5" borderId="2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6" borderId="1" xfId="0" applyFont="1" applyFill="1" applyBorder="1"/>
    <xf numFmtId="0" fontId="7" fillId="6" borderId="5" xfId="0" applyFont="1" applyFill="1" applyBorder="1"/>
    <xf numFmtId="0" fontId="7" fillId="0" borderId="0" xfId="0" applyFont="1"/>
    <xf numFmtId="0" fontId="0" fillId="0" borderId="6" xfId="0" applyFill="1" applyBorder="1"/>
    <xf numFmtId="0" fontId="8" fillId="0" borderId="0" xfId="0" applyFont="1"/>
    <xf numFmtId="0" fontId="3" fillId="7" borderId="0" xfId="0" applyFont="1" applyFill="1"/>
    <xf numFmtId="0" fontId="0" fillId="7" borderId="0" xfId="0" applyFill="1"/>
    <xf numFmtId="0" fontId="4" fillId="7" borderId="0" xfId="0" applyFont="1" applyFill="1"/>
    <xf numFmtId="0" fontId="5" fillId="7" borderId="0" xfId="0" applyFont="1" applyFill="1"/>
    <xf numFmtId="0" fontId="6" fillId="7" borderId="0" xfId="0" applyFont="1" applyFill="1"/>
    <xf numFmtId="14" fontId="0" fillId="8" borderId="0" xfId="0" applyNumberFormat="1" applyFill="1"/>
    <xf numFmtId="0" fontId="0" fillId="0" borderId="0" xfId="0" applyFont="1"/>
    <xf numFmtId="0" fontId="10" fillId="0" borderId="0" xfId="0" applyFont="1"/>
    <xf numFmtId="0" fontId="7" fillId="0" borderId="7" xfId="0" applyFont="1" applyFill="1" applyBorder="1"/>
    <xf numFmtId="0" fontId="7" fillId="4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11" fillId="0" borderId="7" xfId="0" applyFont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/>
    <xf numFmtId="0" fontId="12" fillId="9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9" fillId="0" borderId="0" xfId="0" applyFont="1"/>
    <xf numFmtId="0" fontId="0" fillId="0" borderId="0" xfId="0" applyBorder="1" applyAlignment="1">
      <alignment horizontal="center"/>
    </xf>
    <xf numFmtId="0" fontId="13" fillId="0" borderId="0" xfId="0" applyFont="1"/>
    <xf numFmtId="0" fontId="1" fillId="0" borderId="0" xfId="0" applyFont="1"/>
    <xf numFmtId="0" fontId="0" fillId="4" borderId="0" xfId="0" applyFill="1" applyAlignment="1">
      <alignment horizontal="center"/>
    </xf>
    <xf numFmtId="0" fontId="0" fillId="4" borderId="0" xfId="0" applyFill="1"/>
    <xf numFmtId="0" fontId="0" fillId="10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7" fillId="7" borderId="0" xfId="0" applyFont="1" applyFill="1"/>
    <xf numFmtId="0" fontId="11" fillId="0" borderId="0" xfId="0" applyFont="1" applyBorder="1" applyAlignment="1">
      <alignment horizontal="center"/>
    </xf>
    <xf numFmtId="0" fontId="0" fillId="0" borderId="0" xfId="0" applyFont="1" applyBorder="1"/>
    <xf numFmtId="0" fontId="10" fillId="0" borderId="0" xfId="0" applyFont="1" applyBorder="1"/>
    <xf numFmtId="0" fontId="10" fillId="0" borderId="7" xfId="0" applyFont="1" applyBorder="1"/>
    <xf numFmtId="0" fontId="14" fillId="11" borderId="1" xfId="0" applyFont="1" applyFill="1" applyBorder="1" applyAlignment="1">
      <alignment horizontal="center"/>
    </xf>
    <xf numFmtId="0" fontId="1" fillId="5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4" borderId="0" xfId="0" applyFont="1" applyFill="1"/>
    <xf numFmtId="0" fontId="0" fillId="0" borderId="0" xfId="0" applyFill="1"/>
    <xf numFmtId="0" fontId="0" fillId="14" borderId="0" xfId="0" applyFill="1"/>
    <xf numFmtId="0" fontId="1" fillId="0" borderId="0" xfId="0" applyFont="1" applyFill="1"/>
    <xf numFmtId="0" fontId="15" fillId="0" borderId="7" xfId="0" applyFont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7" fillId="9" borderId="0" xfId="0" applyFont="1" applyFill="1" applyBorder="1" applyAlignment="1">
      <alignment horizontal="center"/>
    </xf>
    <xf numFmtId="0" fontId="16" fillId="0" borderId="7" xfId="0" applyFont="1" applyBorder="1"/>
    <xf numFmtId="0" fontId="16" fillId="0" borderId="0" xfId="0" applyFont="1" applyBorder="1"/>
    <xf numFmtId="0" fontId="16" fillId="0" borderId="8" xfId="0" applyFont="1" applyBorder="1"/>
    <xf numFmtId="0" fontId="16" fillId="0" borderId="0" xfId="0" applyFont="1"/>
    <xf numFmtId="0" fontId="0" fillId="15" borderId="0" xfId="0" applyFill="1"/>
    <xf numFmtId="0" fontId="16" fillId="0" borderId="0" xfId="0" applyFont="1" applyFill="1" applyBorder="1"/>
    <xf numFmtId="0" fontId="18" fillId="0" borderId="0" xfId="0" applyFont="1"/>
    <xf numFmtId="0" fontId="19" fillId="0" borderId="0" xfId="0" applyFont="1"/>
    <xf numFmtId="0" fontId="19" fillId="5" borderId="0" xfId="0" applyFont="1" applyFill="1"/>
    <xf numFmtId="0" fontId="19" fillId="12" borderId="0" xfId="0" applyFont="1" applyFill="1"/>
    <xf numFmtId="0" fontId="19" fillId="13" borderId="0" xfId="0" applyFont="1" applyFill="1"/>
    <xf numFmtId="0" fontId="19" fillId="4" borderId="0" xfId="0" applyFont="1" applyFill="1"/>
    <xf numFmtId="0" fontId="19" fillId="0" borderId="0" xfId="0" applyFont="1" applyFill="1"/>
    <xf numFmtId="0" fontId="16" fillId="0" borderId="0" xfId="0" applyFont="1" applyFill="1"/>
    <xf numFmtId="0" fontId="0" fillId="0" borderId="0" xfId="0" applyFont="1" applyFill="1"/>
    <xf numFmtId="0" fontId="0" fillId="12" borderId="0" xfId="0" applyFill="1"/>
    <xf numFmtId="0" fontId="0" fillId="15" borderId="0" xfId="0" applyFont="1" applyFill="1"/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92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Mouse Body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'Mouse Weights'!$A$26</c:f>
              <c:strCache>
                <c:ptCount val="1"/>
                <c:pt idx="0">
                  <c:v>AT Avg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Weights'!$B$15:$Y$15</c:f>
                <c:numCache>
                  <c:formatCode>General</c:formatCode>
                  <c:ptCount val="24"/>
                  <c:pt idx="0">
                    <c:v>0.48716869083853614</c:v>
                  </c:pt>
                  <c:pt idx="1">
                    <c:v>0.45368858629387321</c:v>
                  </c:pt>
                  <c:pt idx="2">
                    <c:v>0.28944391128123181</c:v>
                  </c:pt>
                  <c:pt idx="3">
                    <c:v>0.58637303257681761</c:v>
                  </c:pt>
                  <c:pt idx="4">
                    <c:v>0.46957428000000001</c:v>
                  </c:pt>
                  <c:pt idx="5">
                    <c:v>0.48304589153964789</c:v>
                  </c:pt>
                  <c:pt idx="6">
                    <c:v>0.47357974806549519</c:v>
                  </c:pt>
                  <c:pt idx="7">
                    <c:v>0.49961095975880215</c:v>
                  </c:pt>
                  <c:pt idx="8">
                    <c:v>0.61300715964642538</c:v>
                  </c:pt>
                  <c:pt idx="9">
                    <c:v>0.5631261946589865</c:v>
                  </c:pt>
                  <c:pt idx="10">
                    <c:v>0.87203465782298184</c:v>
                  </c:pt>
                  <c:pt idx="11">
                    <c:v>0.65675972267895133</c:v>
                  </c:pt>
                  <c:pt idx="12">
                    <c:v>0.76887363504458084</c:v>
                  </c:pt>
                  <c:pt idx="13">
                    <c:v>0.78800028200784566</c:v>
                  </c:pt>
                  <c:pt idx="14">
                    <c:v>0.9742518497116992</c:v>
                  </c:pt>
                  <c:pt idx="15">
                    <c:v>0.99356261335995699</c:v>
                  </c:pt>
                  <c:pt idx="16">
                    <c:v>1.055672508140874</c:v>
                  </c:pt>
                  <c:pt idx="17">
                    <c:v>1.1522200792865536</c:v>
                  </c:pt>
                  <c:pt idx="18">
                    <c:v>1.5529327094243335</c:v>
                  </c:pt>
                  <c:pt idx="20">
                    <c:v>0.62503333244449244</c:v>
                  </c:pt>
                  <c:pt idx="21">
                    <c:v>0.76974021591703234</c:v>
                  </c:pt>
                  <c:pt idx="23">
                    <c:v>2.406934426471421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Weights'!$B$26:$Y$26</c:f>
              <c:numCache>
                <c:formatCode>General</c:formatCode>
                <c:ptCount val="24"/>
                <c:pt idx="0">
                  <c:v>25.299999999999997</c:v>
                </c:pt>
                <c:pt idx="1">
                  <c:v>23.049999999999997</c:v>
                </c:pt>
                <c:pt idx="2">
                  <c:v>24.066666666666666</c:v>
                </c:pt>
                <c:pt idx="3">
                  <c:v>24.950000000000003</c:v>
                </c:pt>
                <c:pt idx="4">
                  <c:v>26.15</c:v>
                </c:pt>
                <c:pt idx="5">
                  <c:v>27.3</c:v>
                </c:pt>
                <c:pt idx="6">
                  <c:v>27.183333333333337</c:v>
                </c:pt>
                <c:pt idx="7">
                  <c:v>27.783333333333335</c:v>
                </c:pt>
                <c:pt idx="8">
                  <c:v>28.633333333333336</c:v>
                </c:pt>
                <c:pt idx="9">
                  <c:v>29.166666666666668</c:v>
                </c:pt>
                <c:pt idx="10">
                  <c:v>30.133333333333336</c:v>
                </c:pt>
                <c:pt idx="11">
                  <c:v>30</c:v>
                </c:pt>
                <c:pt idx="12">
                  <c:v>31.05</c:v>
                </c:pt>
                <c:pt idx="13">
                  <c:v>31.216666666666665</c:v>
                </c:pt>
                <c:pt idx="14">
                  <c:v>32.250000000000007</c:v>
                </c:pt>
                <c:pt idx="15">
                  <c:v>32.949999999999996</c:v>
                </c:pt>
                <c:pt idx="16">
                  <c:v>33.56666666666667</c:v>
                </c:pt>
                <c:pt idx="17">
                  <c:v>34.383333333333333</c:v>
                </c:pt>
                <c:pt idx="18">
                  <c:v>34.260000000000005</c:v>
                </c:pt>
                <c:pt idx="20">
                  <c:v>34.760000000000005</c:v>
                </c:pt>
                <c:pt idx="21">
                  <c:v>35.040000000000006</c:v>
                </c:pt>
                <c:pt idx="23">
                  <c:v>32.08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E-D04A-B613-60A2AA89C368}"/>
            </c:ext>
          </c:extLst>
        </c:ser>
        <c:ser>
          <c:idx val="2"/>
          <c:order val="1"/>
          <c:tx>
            <c:strRef>
              <c:f>'Mouse Weights'!$A$27</c:f>
              <c:strCache>
                <c:ptCount val="1"/>
                <c:pt idx="0">
                  <c:v>AA Avg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Weights'!$B$17:$Y$17</c:f>
                <c:numCache>
                  <c:formatCode>General</c:formatCode>
                  <c:ptCount val="24"/>
                  <c:pt idx="0">
                    <c:v>0.75956859100705643</c:v>
                  </c:pt>
                  <c:pt idx="1">
                    <c:v>0.80111034057598918</c:v>
                  </c:pt>
                  <c:pt idx="2">
                    <c:v>0.83012716562651467</c:v>
                  </c:pt>
                  <c:pt idx="3">
                    <c:v>0.90394198437239948</c:v>
                  </c:pt>
                  <c:pt idx="4">
                    <c:v>0.91615137000000002</c:v>
                  </c:pt>
                  <c:pt idx="5">
                    <c:v>0.83163159578692747</c:v>
                  </c:pt>
                  <c:pt idx="6">
                    <c:v>0.83413294970153151</c:v>
                  </c:pt>
                  <c:pt idx="7">
                    <c:v>0.87435690653188047</c:v>
                  </c:pt>
                  <c:pt idx="8">
                    <c:v>0.8651268372004447</c:v>
                  </c:pt>
                  <c:pt idx="9">
                    <c:v>1.1091788754649894</c:v>
                  </c:pt>
                  <c:pt idx="10">
                    <c:v>0.90615181460454586</c:v>
                  </c:pt>
                  <c:pt idx="11">
                    <c:v>0.93654210322393461</c:v>
                  </c:pt>
                  <c:pt idx="12">
                    <c:v>0.8754681287428141</c:v>
                  </c:pt>
                  <c:pt idx="13">
                    <c:v>0.95067227674828991</c:v>
                  </c:pt>
                  <c:pt idx="14">
                    <c:v>0.82731157639939068</c:v>
                  </c:pt>
                  <c:pt idx="15">
                    <c:v>0.84445906000000004</c:v>
                  </c:pt>
                  <c:pt idx="16">
                    <c:v>0.79487944578617287</c:v>
                  </c:pt>
                  <c:pt idx="17">
                    <c:v>0.91238393477989554</c:v>
                  </c:pt>
                  <c:pt idx="18">
                    <c:v>0.79031639233916984</c:v>
                  </c:pt>
                  <c:pt idx="20">
                    <c:v>0.97005154502222168</c:v>
                  </c:pt>
                  <c:pt idx="21">
                    <c:v>0.87726848797845247</c:v>
                  </c:pt>
                  <c:pt idx="23">
                    <c:v>1.6110943485718019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Weights'!$B$27:$Y$27</c:f>
              <c:numCache>
                <c:formatCode>General</c:formatCode>
                <c:ptCount val="24"/>
                <c:pt idx="0">
                  <c:v>25.083333333333332</c:v>
                </c:pt>
                <c:pt idx="1">
                  <c:v>23.033333333333335</c:v>
                </c:pt>
                <c:pt idx="2">
                  <c:v>23.333333333333332</c:v>
                </c:pt>
                <c:pt idx="3">
                  <c:v>25.166666666666668</c:v>
                </c:pt>
                <c:pt idx="4">
                  <c:v>24.8</c:v>
                </c:pt>
                <c:pt idx="5">
                  <c:v>25.016666699999998</c:v>
                </c:pt>
                <c:pt idx="6">
                  <c:v>25.233333333333334</c:v>
                </c:pt>
                <c:pt idx="7">
                  <c:v>25.650000000000002</c:v>
                </c:pt>
                <c:pt idx="8">
                  <c:v>25.633333333333336</c:v>
                </c:pt>
                <c:pt idx="9">
                  <c:v>26.283333333333335</c:v>
                </c:pt>
                <c:pt idx="10">
                  <c:v>26.066666666666666</c:v>
                </c:pt>
                <c:pt idx="11">
                  <c:v>25.866666666666671</c:v>
                </c:pt>
                <c:pt idx="12">
                  <c:v>26.933333333333334</c:v>
                </c:pt>
                <c:pt idx="13">
                  <c:v>27.433333333333337</c:v>
                </c:pt>
                <c:pt idx="14">
                  <c:v>26.466666666666669</c:v>
                </c:pt>
                <c:pt idx="15">
                  <c:v>27.3333333333333</c:v>
                </c:pt>
                <c:pt idx="16">
                  <c:v>27.45</c:v>
                </c:pt>
                <c:pt idx="17">
                  <c:v>27.833333333333332</c:v>
                </c:pt>
                <c:pt idx="18">
                  <c:v>27.259999999999998</c:v>
                </c:pt>
                <c:pt idx="20">
                  <c:v>28</c:v>
                </c:pt>
                <c:pt idx="21">
                  <c:v>28.26</c:v>
                </c:pt>
                <c:pt idx="23">
                  <c:v>29.074999999999996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E-D04A-B613-60A2AA89C368}"/>
            </c:ext>
          </c:extLst>
        </c:ser>
        <c:ser>
          <c:idx val="3"/>
          <c:order val="2"/>
          <c:tx>
            <c:strRef>
              <c:f>'Mouse Weights'!$A$28</c:f>
              <c:strCache>
                <c:ptCount val="1"/>
                <c:pt idx="0">
                  <c:v>LT Avg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noFill/>
              <a:ln w="222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Weights'!$B$19:$Y$19</c:f>
                <c:numCache>
                  <c:formatCode>General</c:formatCode>
                  <c:ptCount val="24"/>
                  <c:pt idx="0">
                    <c:v>0.7539525478731699</c:v>
                  </c:pt>
                  <c:pt idx="1">
                    <c:v>0.6574783477634667</c:v>
                  </c:pt>
                  <c:pt idx="2">
                    <c:v>0.67069615574664898</c:v>
                  </c:pt>
                  <c:pt idx="3">
                    <c:v>0.70663521942607233</c:v>
                  </c:pt>
                  <c:pt idx="4">
                    <c:v>0.71071169000000001</c:v>
                  </c:pt>
                  <c:pt idx="5">
                    <c:v>0.72499042139266334</c:v>
                  </c:pt>
                  <c:pt idx="6">
                    <c:v>0.71164910204710041</c:v>
                  </c:pt>
                  <c:pt idx="7">
                    <c:v>0.68137932003971013</c:v>
                  </c:pt>
                  <c:pt idx="8">
                    <c:v>0.70316743699096618</c:v>
                  </c:pt>
                  <c:pt idx="9">
                    <c:v>0.6772493386240156</c:v>
                  </c:pt>
                  <c:pt idx="10">
                    <c:v>0.68831517328748271</c:v>
                  </c:pt>
                  <c:pt idx="11">
                    <c:v>0.83146457130375251</c:v>
                  </c:pt>
                  <c:pt idx="12">
                    <c:v>0.34583232931581159</c:v>
                  </c:pt>
                  <c:pt idx="13">
                    <c:v>0.31559467676118991</c:v>
                  </c:pt>
                  <c:pt idx="14">
                    <c:v>0.33015148038438363</c:v>
                  </c:pt>
                  <c:pt idx="15">
                    <c:v>0.38678159211627444</c:v>
                  </c:pt>
                  <c:pt idx="16">
                    <c:v>0.36000000000000021</c:v>
                  </c:pt>
                  <c:pt idx="17">
                    <c:v>0.48846698967279201</c:v>
                  </c:pt>
                  <c:pt idx="18">
                    <c:v>0.33911649915626318</c:v>
                  </c:pt>
                  <c:pt idx="20">
                    <c:v>0.39024564913226961</c:v>
                  </c:pt>
                  <c:pt idx="21">
                    <c:v>0.52974050251042804</c:v>
                  </c:pt>
                  <c:pt idx="23">
                    <c:v>0.76308038021342584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Weights'!$B$28:$Y$28</c:f>
              <c:numCache>
                <c:formatCode>General</c:formatCode>
                <c:ptCount val="24"/>
                <c:pt idx="0">
                  <c:v>24.033333333333335</c:v>
                </c:pt>
                <c:pt idx="1">
                  <c:v>22.716666666666669</c:v>
                </c:pt>
                <c:pt idx="2">
                  <c:v>23.75</c:v>
                </c:pt>
                <c:pt idx="3">
                  <c:v>24</c:v>
                </c:pt>
                <c:pt idx="4">
                  <c:v>25.6333333</c:v>
                </c:pt>
                <c:pt idx="5">
                  <c:v>26.283333299999999</c:v>
                </c:pt>
                <c:pt idx="6">
                  <c:v>27.066666666666666</c:v>
                </c:pt>
                <c:pt idx="7">
                  <c:v>27.383333333333329</c:v>
                </c:pt>
                <c:pt idx="8">
                  <c:v>27.933333333333337</c:v>
                </c:pt>
                <c:pt idx="9">
                  <c:v>28.5</c:v>
                </c:pt>
                <c:pt idx="10">
                  <c:v>29.066666666666663</c:v>
                </c:pt>
                <c:pt idx="11">
                  <c:v>29.2</c:v>
                </c:pt>
                <c:pt idx="12">
                  <c:v>29.840000000000003</c:v>
                </c:pt>
                <c:pt idx="13">
                  <c:v>30.639999999999997</c:v>
                </c:pt>
                <c:pt idx="14">
                  <c:v>30.3</c:v>
                </c:pt>
                <c:pt idx="15">
                  <c:v>30.639999999999997</c:v>
                </c:pt>
                <c:pt idx="16">
                  <c:v>30.540000000000003</c:v>
                </c:pt>
                <c:pt idx="17">
                  <c:v>31.259999999999998</c:v>
                </c:pt>
                <c:pt idx="18">
                  <c:v>30.6</c:v>
                </c:pt>
                <c:pt idx="20">
                  <c:v>30.975000000000001</c:v>
                </c:pt>
                <c:pt idx="21">
                  <c:v>31.325000000000003</c:v>
                </c:pt>
                <c:pt idx="23">
                  <c:v>30.724999999999998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E-D04A-B613-60A2AA89C368}"/>
            </c:ext>
          </c:extLst>
        </c:ser>
        <c:ser>
          <c:idx val="4"/>
          <c:order val="3"/>
          <c:tx>
            <c:strRef>
              <c:f>'Mouse Weights'!$A$29</c:f>
              <c:strCache>
                <c:ptCount val="1"/>
                <c:pt idx="0">
                  <c:v>LA Avg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Weights'!$B$21:$Y$21</c:f>
                <c:numCache>
                  <c:formatCode>General</c:formatCode>
                  <c:ptCount val="24"/>
                  <c:pt idx="0">
                    <c:v>0.44528392939536665</c:v>
                  </c:pt>
                  <c:pt idx="1">
                    <c:v>0.66704156125720149</c:v>
                  </c:pt>
                  <c:pt idx="2">
                    <c:v>0.55702583223561342</c:v>
                  </c:pt>
                  <c:pt idx="3">
                    <c:v>0.744610263456289</c:v>
                  </c:pt>
                  <c:pt idx="4">
                    <c:v>0.60263310999999997</c:v>
                  </c:pt>
                  <c:pt idx="5">
                    <c:v>0.56666666666666687</c:v>
                  </c:pt>
                  <c:pt idx="6">
                    <c:v>0.56534158799004974</c:v>
                  </c:pt>
                  <c:pt idx="7">
                    <c:v>0.47234638890448949</c:v>
                  </c:pt>
                  <c:pt idx="8">
                    <c:v>0.56297819180181785</c:v>
                  </c:pt>
                  <c:pt idx="9">
                    <c:v>0.47848139404207174</c:v>
                  </c:pt>
                  <c:pt idx="10">
                    <c:v>0.34544657088084307</c:v>
                  </c:pt>
                  <c:pt idx="11">
                    <c:v>0.43620841094341306</c:v>
                  </c:pt>
                  <c:pt idx="12">
                    <c:v>0.33208098075285469</c:v>
                  </c:pt>
                  <c:pt idx="13">
                    <c:v>0.36968455021364732</c:v>
                  </c:pt>
                  <c:pt idx="14">
                    <c:v>0.14925742118158727</c:v>
                  </c:pt>
                  <c:pt idx="15">
                    <c:v>0.26666666666666661</c:v>
                  </c:pt>
                  <c:pt idx="16">
                    <c:v>0.24048561980570335</c:v>
                  </c:pt>
                  <c:pt idx="17">
                    <c:v>0.29599174162653813</c:v>
                  </c:pt>
                  <c:pt idx="18">
                    <c:v>0.64451532177288062</c:v>
                  </c:pt>
                  <c:pt idx="20">
                    <c:v>0.48733971724044828</c:v>
                  </c:pt>
                  <c:pt idx="21">
                    <c:v>0.67206150512186491</c:v>
                  </c:pt>
                  <c:pt idx="23">
                    <c:v>1.250333288900737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Weights'!$B$29:$Y$29</c:f>
              <c:numCache>
                <c:formatCode>General</c:formatCode>
                <c:ptCount val="24"/>
                <c:pt idx="0">
                  <c:v>23.983333333333334</c:v>
                </c:pt>
                <c:pt idx="1">
                  <c:v>23.316666666666666</c:v>
                </c:pt>
                <c:pt idx="2">
                  <c:v>23.716666666666665</c:v>
                </c:pt>
                <c:pt idx="3">
                  <c:v>24.666666666666668</c:v>
                </c:pt>
                <c:pt idx="4">
                  <c:v>24.45</c:v>
                </c:pt>
                <c:pt idx="5">
                  <c:v>25.466666700000001</c:v>
                </c:pt>
                <c:pt idx="6">
                  <c:v>26.416666666666668</c:v>
                </c:pt>
                <c:pt idx="7">
                  <c:v>26.166666666666668</c:v>
                </c:pt>
                <c:pt idx="8">
                  <c:v>27.216666666666669</c:v>
                </c:pt>
                <c:pt idx="9">
                  <c:v>26.716666666666669</c:v>
                </c:pt>
                <c:pt idx="10">
                  <c:v>26.7</c:v>
                </c:pt>
                <c:pt idx="11">
                  <c:v>27.616666666666671</c:v>
                </c:pt>
                <c:pt idx="12">
                  <c:v>26.183333333333334</c:v>
                </c:pt>
                <c:pt idx="13">
                  <c:v>26.400000000000002</c:v>
                </c:pt>
                <c:pt idx="14">
                  <c:v>26.983333333333334</c:v>
                </c:pt>
                <c:pt idx="15">
                  <c:v>26.733333333333334</c:v>
                </c:pt>
                <c:pt idx="16">
                  <c:v>26.650000000000002</c:v>
                </c:pt>
                <c:pt idx="17">
                  <c:v>27.083333333333339</c:v>
                </c:pt>
                <c:pt idx="18">
                  <c:v>25.580000000000002</c:v>
                </c:pt>
                <c:pt idx="20">
                  <c:v>27.05</c:v>
                </c:pt>
                <c:pt idx="21">
                  <c:v>26.799999999999997</c:v>
                </c:pt>
                <c:pt idx="23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7E-D04A-B613-60A2AA89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514767"/>
        <c:axId val="2074247071"/>
      </c:lineChart>
      <c:catAx>
        <c:axId val="201051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247071"/>
        <c:crosses val="autoZero"/>
        <c:auto val="1"/>
        <c:lblAlgn val="ctr"/>
        <c:lblOffset val="100"/>
        <c:noMultiLvlLbl val="0"/>
      </c:catAx>
      <c:valAx>
        <c:axId val="20742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</a:t>
                </a:r>
                <a:r>
                  <a:rPr lang="en-US" baseline="0"/>
                  <a:t> </a:t>
                </a: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1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Body</a:t>
            </a:r>
            <a:r>
              <a:rPr lang="en-US" baseline="0"/>
              <a:t> Mass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'Mouse Weights'!$A$26</c:f>
              <c:strCache>
                <c:ptCount val="1"/>
                <c:pt idx="0">
                  <c:v>AT Avg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Weights'!$B$15:$Y$15</c:f>
                <c:numCache>
                  <c:formatCode>General</c:formatCode>
                  <c:ptCount val="24"/>
                  <c:pt idx="0">
                    <c:v>0.48716869083853614</c:v>
                  </c:pt>
                  <c:pt idx="1">
                    <c:v>0.45368858629387321</c:v>
                  </c:pt>
                  <c:pt idx="2">
                    <c:v>0.28944391128123181</c:v>
                  </c:pt>
                  <c:pt idx="3">
                    <c:v>0.58637303257681761</c:v>
                  </c:pt>
                  <c:pt idx="4">
                    <c:v>0.46957428000000001</c:v>
                  </c:pt>
                  <c:pt idx="5">
                    <c:v>0.48304589153964789</c:v>
                  </c:pt>
                  <c:pt idx="6">
                    <c:v>0.47357974806549519</c:v>
                  </c:pt>
                  <c:pt idx="7">
                    <c:v>0.49961095975880215</c:v>
                  </c:pt>
                  <c:pt idx="8">
                    <c:v>0.61300715964642538</c:v>
                  </c:pt>
                  <c:pt idx="9">
                    <c:v>0.5631261946589865</c:v>
                  </c:pt>
                  <c:pt idx="10">
                    <c:v>0.87203465782298184</c:v>
                  </c:pt>
                  <c:pt idx="11">
                    <c:v>0.65675972267895133</c:v>
                  </c:pt>
                  <c:pt idx="12">
                    <c:v>0.76887363504458084</c:v>
                  </c:pt>
                  <c:pt idx="13">
                    <c:v>0.78800028200784566</c:v>
                  </c:pt>
                  <c:pt idx="14">
                    <c:v>0.9742518497116992</c:v>
                  </c:pt>
                  <c:pt idx="15">
                    <c:v>0.99356261335995699</c:v>
                  </c:pt>
                  <c:pt idx="16">
                    <c:v>1.055672508140874</c:v>
                  </c:pt>
                  <c:pt idx="17">
                    <c:v>1.1522200792865536</c:v>
                  </c:pt>
                  <c:pt idx="18">
                    <c:v>1.5529327094243335</c:v>
                  </c:pt>
                  <c:pt idx="20">
                    <c:v>0.62503333244449244</c:v>
                  </c:pt>
                  <c:pt idx="21">
                    <c:v>0.76974021591703234</c:v>
                  </c:pt>
                  <c:pt idx="23">
                    <c:v>2.406934426471421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Weights'!$B$26:$Y$26</c:f>
              <c:numCache>
                <c:formatCode>General</c:formatCode>
                <c:ptCount val="24"/>
                <c:pt idx="0">
                  <c:v>25.299999999999997</c:v>
                </c:pt>
                <c:pt idx="1">
                  <c:v>23.049999999999997</c:v>
                </c:pt>
                <c:pt idx="2">
                  <c:v>24.066666666666666</c:v>
                </c:pt>
                <c:pt idx="3">
                  <c:v>24.950000000000003</c:v>
                </c:pt>
                <c:pt idx="4">
                  <c:v>26.15</c:v>
                </c:pt>
                <c:pt idx="5">
                  <c:v>27.3</c:v>
                </c:pt>
                <c:pt idx="6">
                  <c:v>27.183333333333337</c:v>
                </c:pt>
                <c:pt idx="7">
                  <c:v>27.783333333333335</c:v>
                </c:pt>
                <c:pt idx="8">
                  <c:v>28.633333333333336</c:v>
                </c:pt>
                <c:pt idx="9">
                  <c:v>29.166666666666668</c:v>
                </c:pt>
                <c:pt idx="10">
                  <c:v>30.133333333333336</c:v>
                </c:pt>
                <c:pt idx="11">
                  <c:v>30</c:v>
                </c:pt>
                <c:pt idx="12">
                  <c:v>31.05</c:v>
                </c:pt>
                <c:pt idx="13">
                  <c:v>31.216666666666665</c:v>
                </c:pt>
                <c:pt idx="14">
                  <c:v>32.250000000000007</c:v>
                </c:pt>
                <c:pt idx="15">
                  <c:v>32.949999999999996</c:v>
                </c:pt>
                <c:pt idx="16">
                  <c:v>33.56666666666667</c:v>
                </c:pt>
                <c:pt idx="17">
                  <c:v>34.383333333333333</c:v>
                </c:pt>
                <c:pt idx="18">
                  <c:v>34.260000000000005</c:v>
                </c:pt>
                <c:pt idx="20">
                  <c:v>34.760000000000005</c:v>
                </c:pt>
                <c:pt idx="21">
                  <c:v>35.040000000000006</c:v>
                </c:pt>
                <c:pt idx="23">
                  <c:v>32.08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0-3D4E-8B46-B7B7A9B10306}"/>
            </c:ext>
          </c:extLst>
        </c:ser>
        <c:ser>
          <c:idx val="2"/>
          <c:order val="1"/>
          <c:tx>
            <c:strRef>
              <c:f>'Mouse Weights'!$A$27</c:f>
              <c:strCache>
                <c:ptCount val="1"/>
                <c:pt idx="0">
                  <c:v>AA Avg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Weights'!$B$17:$Y$17</c:f>
                <c:numCache>
                  <c:formatCode>General</c:formatCode>
                  <c:ptCount val="24"/>
                  <c:pt idx="0">
                    <c:v>0.75956859100705643</c:v>
                  </c:pt>
                  <c:pt idx="1">
                    <c:v>0.80111034057598918</c:v>
                  </c:pt>
                  <c:pt idx="2">
                    <c:v>0.83012716562651467</c:v>
                  </c:pt>
                  <c:pt idx="3">
                    <c:v>0.90394198437239948</c:v>
                  </c:pt>
                  <c:pt idx="4">
                    <c:v>0.91615137000000002</c:v>
                  </c:pt>
                  <c:pt idx="5">
                    <c:v>0.83163159578692747</c:v>
                  </c:pt>
                  <c:pt idx="6">
                    <c:v>0.83413294970153151</c:v>
                  </c:pt>
                  <c:pt idx="7">
                    <c:v>0.87435690653188047</c:v>
                  </c:pt>
                  <c:pt idx="8">
                    <c:v>0.8651268372004447</c:v>
                  </c:pt>
                  <c:pt idx="9">
                    <c:v>1.1091788754649894</c:v>
                  </c:pt>
                  <c:pt idx="10">
                    <c:v>0.90615181460454586</c:v>
                  </c:pt>
                  <c:pt idx="11">
                    <c:v>0.93654210322393461</c:v>
                  </c:pt>
                  <c:pt idx="12">
                    <c:v>0.8754681287428141</c:v>
                  </c:pt>
                  <c:pt idx="13">
                    <c:v>0.95067227674828991</c:v>
                  </c:pt>
                  <c:pt idx="14">
                    <c:v>0.82731157639939068</c:v>
                  </c:pt>
                  <c:pt idx="15">
                    <c:v>0.84445906000000004</c:v>
                  </c:pt>
                  <c:pt idx="16">
                    <c:v>0.79487944578617287</c:v>
                  </c:pt>
                  <c:pt idx="17">
                    <c:v>0.91238393477989554</c:v>
                  </c:pt>
                  <c:pt idx="18">
                    <c:v>0.79031639233916984</c:v>
                  </c:pt>
                  <c:pt idx="20">
                    <c:v>0.97005154502222168</c:v>
                  </c:pt>
                  <c:pt idx="21">
                    <c:v>0.87726848797845247</c:v>
                  </c:pt>
                  <c:pt idx="23">
                    <c:v>1.6110943485718019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Weights'!$B$27:$Y$27</c:f>
              <c:numCache>
                <c:formatCode>General</c:formatCode>
                <c:ptCount val="24"/>
                <c:pt idx="0">
                  <c:v>25.083333333333332</c:v>
                </c:pt>
                <c:pt idx="1">
                  <c:v>23.033333333333335</c:v>
                </c:pt>
                <c:pt idx="2">
                  <c:v>23.333333333333332</c:v>
                </c:pt>
                <c:pt idx="3">
                  <c:v>25.166666666666668</c:v>
                </c:pt>
                <c:pt idx="4">
                  <c:v>24.8</c:v>
                </c:pt>
                <c:pt idx="5">
                  <c:v>25.016666699999998</c:v>
                </c:pt>
                <c:pt idx="6">
                  <c:v>25.233333333333334</c:v>
                </c:pt>
                <c:pt idx="7">
                  <c:v>25.650000000000002</c:v>
                </c:pt>
                <c:pt idx="8">
                  <c:v>25.633333333333336</c:v>
                </c:pt>
                <c:pt idx="9">
                  <c:v>26.283333333333335</c:v>
                </c:pt>
                <c:pt idx="10">
                  <c:v>26.066666666666666</c:v>
                </c:pt>
                <c:pt idx="11">
                  <c:v>25.866666666666671</c:v>
                </c:pt>
                <c:pt idx="12">
                  <c:v>26.933333333333334</c:v>
                </c:pt>
                <c:pt idx="13">
                  <c:v>27.433333333333337</c:v>
                </c:pt>
                <c:pt idx="14">
                  <c:v>26.466666666666669</c:v>
                </c:pt>
                <c:pt idx="15">
                  <c:v>27.3333333333333</c:v>
                </c:pt>
                <c:pt idx="16">
                  <c:v>27.45</c:v>
                </c:pt>
                <c:pt idx="17">
                  <c:v>27.833333333333332</c:v>
                </c:pt>
                <c:pt idx="18">
                  <c:v>27.259999999999998</c:v>
                </c:pt>
                <c:pt idx="20">
                  <c:v>28</c:v>
                </c:pt>
                <c:pt idx="21">
                  <c:v>28.26</c:v>
                </c:pt>
                <c:pt idx="23">
                  <c:v>29.074999999999996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0-3D4E-8B46-B7B7A9B10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185423"/>
        <c:axId val="2122375727"/>
      </c:lineChart>
      <c:catAx>
        <c:axId val="208918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75727"/>
        <c:crosses val="autoZero"/>
        <c:auto val="1"/>
        <c:lblAlgn val="ctr"/>
        <c:lblOffset val="100"/>
        <c:noMultiLvlLbl val="0"/>
      </c:catAx>
      <c:valAx>
        <c:axId val="21223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1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Body Mass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'Mouse Weights'!$A$28</c:f>
              <c:strCache>
                <c:ptCount val="1"/>
                <c:pt idx="0">
                  <c:v>LT Avg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Weights'!$B$19:$Y$19</c:f>
                <c:numCache>
                  <c:formatCode>General</c:formatCode>
                  <c:ptCount val="24"/>
                  <c:pt idx="0">
                    <c:v>0.7539525478731699</c:v>
                  </c:pt>
                  <c:pt idx="1">
                    <c:v>0.6574783477634667</c:v>
                  </c:pt>
                  <c:pt idx="2">
                    <c:v>0.67069615574664898</c:v>
                  </c:pt>
                  <c:pt idx="3">
                    <c:v>0.70663521942607233</c:v>
                  </c:pt>
                  <c:pt idx="4">
                    <c:v>0.71071169000000001</c:v>
                  </c:pt>
                  <c:pt idx="5">
                    <c:v>0.72499042139266334</c:v>
                  </c:pt>
                  <c:pt idx="6">
                    <c:v>0.71164910204710041</c:v>
                  </c:pt>
                  <c:pt idx="7">
                    <c:v>0.68137932003971013</c:v>
                  </c:pt>
                  <c:pt idx="8">
                    <c:v>0.70316743699096618</c:v>
                  </c:pt>
                  <c:pt idx="9">
                    <c:v>0.6772493386240156</c:v>
                  </c:pt>
                  <c:pt idx="10">
                    <c:v>0.68831517328748271</c:v>
                  </c:pt>
                  <c:pt idx="11">
                    <c:v>0.83146457130375251</c:v>
                  </c:pt>
                  <c:pt idx="12">
                    <c:v>0.34583232931581159</c:v>
                  </c:pt>
                  <c:pt idx="13">
                    <c:v>0.31559467676118991</c:v>
                  </c:pt>
                  <c:pt idx="14">
                    <c:v>0.33015148038438363</c:v>
                  </c:pt>
                  <c:pt idx="15">
                    <c:v>0.38678159211627444</c:v>
                  </c:pt>
                  <c:pt idx="16">
                    <c:v>0.36000000000000021</c:v>
                  </c:pt>
                  <c:pt idx="17">
                    <c:v>0.48846698967279201</c:v>
                  </c:pt>
                  <c:pt idx="18">
                    <c:v>0.33911649915626318</c:v>
                  </c:pt>
                  <c:pt idx="20">
                    <c:v>0.39024564913226961</c:v>
                  </c:pt>
                  <c:pt idx="21">
                    <c:v>0.52974050251042804</c:v>
                  </c:pt>
                  <c:pt idx="23">
                    <c:v>0.76308038021342584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Weights'!$B$28:$Y$28</c:f>
              <c:numCache>
                <c:formatCode>General</c:formatCode>
                <c:ptCount val="24"/>
                <c:pt idx="0">
                  <c:v>24.033333333333335</c:v>
                </c:pt>
                <c:pt idx="1">
                  <c:v>22.716666666666669</c:v>
                </c:pt>
                <c:pt idx="2">
                  <c:v>23.75</c:v>
                </c:pt>
                <c:pt idx="3">
                  <c:v>24</c:v>
                </c:pt>
                <c:pt idx="4">
                  <c:v>25.6333333</c:v>
                </c:pt>
                <c:pt idx="5">
                  <c:v>26.283333299999999</c:v>
                </c:pt>
                <c:pt idx="6">
                  <c:v>27.066666666666666</c:v>
                </c:pt>
                <c:pt idx="7">
                  <c:v>27.383333333333329</c:v>
                </c:pt>
                <c:pt idx="8">
                  <c:v>27.933333333333337</c:v>
                </c:pt>
                <c:pt idx="9">
                  <c:v>28.5</c:v>
                </c:pt>
                <c:pt idx="10">
                  <c:v>29.066666666666663</c:v>
                </c:pt>
                <c:pt idx="11">
                  <c:v>29.2</c:v>
                </c:pt>
                <c:pt idx="12">
                  <c:v>29.840000000000003</c:v>
                </c:pt>
                <c:pt idx="13">
                  <c:v>30.639999999999997</c:v>
                </c:pt>
                <c:pt idx="14">
                  <c:v>30.3</c:v>
                </c:pt>
                <c:pt idx="15">
                  <c:v>30.639999999999997</c:v>
                </c:pt>
                <c:pt idx="16">
                  <c:v>30.540000000000003</c:v>
                </c:pt>
                <c:pt idx="17">
                  <c:v>31.259999999999998</c:v>
                </c:pt>
                <c:pt idx="18">
                  <c:v>30.6</c:v>
                </c:pt>
                <c:pt idx="20">
                  <c:v>30.975000000000001</c:v>
                </c:pt>
                <c:pt idx="21">
                  <c:v>31.325000000000003</c:v>
                </c:pt>
                <c:pt idx="23">
                  <c:v>30.724999999999998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D-2C48-A9DC-858D71800E44}"/>
            </c:ext>
          </c:extLst>
        </c:ser>
        <c:ser>
          <c:idx val="1"/>
          <c:order val="1"/>
          <c:tx>
            <c:strRef>
              <c:f>'Mouse Weights'!$A$29</c:f>
              <c:strCache>
                <c:ptCount val="1"/>
                <c:pt idx="0">
                  <c:v>LA Avg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'Mouse Weights'!$B$21:$Y$21</c:f>
                <c:numCache>
                  <c:formatCode>General</c:formatCode>
                  <c:ptCount val="24"/>
                  <c:pt idx="0">
                    <c:v>0.44528392939536665</c:v>
                  </c:pt>
                  <c:pt idx="1">
                    <c:v>0.66704156125720149</c:v>
                  </c:pt>
                  <c:pt idx="2">
                    <c:v>0.55702583223561342</c:v>
                  </c:pt>
                  <c:pt idx="3">
                    <c:v>0.744610263456289</c:v>
                  </c:pt>
                  <c:pt idx="4">
                    <c:v>0.60263310999999997</c:v>
                  </c:pt>
                  <c:pt idx="5">
                    <c:v>0.56666666666666687</c:v>
                  </c:pt>
                  <c:pt idx="6">
                    <c:v>0.56534158799004974</c:v>
                  </c:pt>
                  <c:pt idx="7">
                    <c:v>0.47234638890448949</c:v>
                  </c:pt>
                  <c:pt idx="8">
                    <c:v>0.56297819180181785</c:v>
                  </c:pt>
                  <c:pt idx="9">
                    <c:v>0.47848139404207174</c:v>
                  </c:pt>
                  <c:pt idx="10">
                    <c:v>0.34544657088084307</c:v>
                  </c:pt>
                  <c:pt idx="11">
                    <c:v>0.43620841094341306</c:v>
                  </c:pt>
                  <c:pt idx="12">
                    <c:v>0.33208098075285469</c:v>
                  </c:pt>
                  <c:pt idx="13">
                    <c:v>0.36968455021364732</c:v>
                  </c:pt>
                  <c:pt idx="14">
                    <c:v>0.14925742118158727</c:v>
                  </c:pt>
                  <c:pt idx="15">
                    <c:v>0.26666666666666661</c:v>
                  </c:pt>
                  <c:pt idx="16">
                    <c:v>0.24048561980570335</c:v>
                  </c:pt>
                  <c:pt idx="17">
                    <c:v>0.29599174162653813</c:v>
                  </c:pt>
                  <c:pt idx="18">
                    <c:v>0.64451532177288062</c:v>
                  </c:pt>
                  <c:pt idx="20">
                    <c:v>0.48733971724044828</c:v>
                  </c:pt>
                  <c:pt idx="21">
                    <c:v>0.67206150512186491</c:v>
                  </c:pt>
                  <c:pt idx="23">
                    <c:v>1.250333288900737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'Mouse Weights'!$B$29:$Y$29</c:f>
              <c:numCache>
                <c:formatCode>General</c:formatCode>
                <c:ptCount val="24"/>
                <c:pt idx="0">
                  <c:v>23.983333333333334</c:v>
                </c:pt>
                <c:pt idx="1">
                  <c:v>23.316666666666666</c:v>
                </c:pt>
                <c:pt idx="2">
                  <c:v>23.716666666666665</c:v>
                </c:pt>
                <c:pt idx="3">
                  <c:v>24.666666666666668</c:v>
                </c:pt>
                <c:pt idx="4">
                  <c:v>24.45</c:v>
                </c:pt>
                <c:pt idx="5">
                  <c:v>25.466666700000001</c:v>
                </c:pt>
                <c:pt idx="6">
                  <c:v>26.416666666666668</c:v>
                </c:pt>
                <c:pt idx="7">
                  <c:v>26.166666666666668</c:v>
                </c:pt>
                <c:pt idx="8">
                  <c:v>27.216666666666669</c:v>
                </c:pt>
                <c:pt idx="9">
                  <c:v>26.716666666666669</c:v>
                </c:pt>
                <c:pt idx="10">
                  <c:v>26.7</c:v>
                </c:pt>
                <c:pt idx="11">
                  <c:v>27.616666666666671</c:v>
                </c:pt>
                <c:pt idx="12">
                  <c:v>26.183333333333334</c:v>
                </c:pt>
                <c:pt idx="13">
                  <c:v>26.400000000000002</c:v>
                </c:pt>
                <c:pt idx="14">
                  <c:v>26.983333333333334</c:v>
                </c:pt>
                <c:pt idx="15">
                  <c:v>26.733333333333334</c:v>
                </c:pt>
                <c:pt idx="16">
                  <c:v>26.650000000000002</c:v>
                </c:pt>
                <c:pt idx="17">
                  <c:v>27.083333333333339</c:v>
                </c:pt>
                <c:pt idx="18">
                  <c:v>25.580000000000002</c:v>
                </c:pt>
                <c:pt idx="20">
                  <c:v>27.05</c:v>
                </c:pt>
                <c:pt idx="21">
                  <c:v>26.799999999999997</c:v>
                </c:pt>
                <c:pt idx="23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D-2C48-A9DC-858D7180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771151"/>
        <c:axId val="2094846399"/>
      </c:lineChart>
      <c:catAx>
        <c:axId val="209477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846399"/>
        <c:crosses val="autoZero"/>
        <c:auto val="1"/>
        <c:lblAlgn val="ctr"/>
        <c:lblOffset val="100"/>
        <c:noMultiLvlLbl val="0"/>
      </c:catAx>
      <c:valAx>
        <c:axId val="20948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7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'Food Consumed'!$AQ$2</c:f>
              <c:strCache>
                <c:ptCount val="1"/>
                <c:pt idx="0">
                  <c:v>AT Avg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Consumed'!$AR$3:$BH$3</c:f>
                <c:numCache>
                  <c:formatCode>General</c:formatCode>
                  <c:ptCount val="17"/>
                  <c:pt idx="0">
                    <c:v>0.62083333333333734</c:v>
                  </c:pt>
                  <c:pt idx="1">
                    <c:v>0.21071428571428469</c:v>
                  </c:pt>
                  <c:pt idx="2">
                    <c:v>0.1819444444444431</c:v>
                  </c:pt>
                  <c:pt idx="3">
                    <c:v>4.1666666666664298E-3</c:v>
                  </c:pt>
                  <c:pt idx="4">
                    <c:v>8.7500000000000119E-2</c:v>
                  </c:pt>
                  <c:pt idx="5">
                    <c:v>2.9166666666665675E-2</c:v>
                  </c:pt>
                  <c:pt idx="6">
                    <c:v>0.12857142857142878</c:v>
                  </c:pt>
                  <c:pt idx="7">
                    <c:v>0.16071428571428512</c:v>
                  </c:pt>
                  <c:pt idx="8">
                    <c:v>0.12857142857142922</c:v>
                  </c:pt>
                  <c:pt idx="9">
                    <c:v>6.0714285714285936E-2</c:v>
                  </c:pt>
                  <c:pt idx="10">
                    <c:v>0.1124999999999996</c:v>
                  </c:pt>
                  <c:pt idx="11">
                    <c:v>4.1071428571428197E-2</c:v>
                  </c:pt>
                  <c:pt idx="12">
                    <c:v>0.40357142857143014</c:v>
                  </c:pt>
                  <c:pt idx="13">
                    <c:v>0.28425925925925899</c:v>
                  </c:pt>
                  <c:pt idx="14">
                    <c:v>4.027777777777785E-2</c:v>
                  </c:pt>
                  <c:pt idx="15">
                    <c:v>2.777777777778212E-3</c:v>
                  </c:pt>
                  <c:pt idx="16">
                    <c:v>0.34166666666666612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Consumed'!$AR$2:$BH$2</c:f>
              <c:numCache>
                <c:formatCode>General</c:formatCode>
                <c:ptCount val="17"/>
                <c:pt idx="0">
                  <c:v>2.7708333333333335</c:v>
                </c:pt>
                <c:pt idx="1">
                  <c:v>2.0107142857142852</c:v>
                </c:pt>
                <c:pt idx="2">
                  <c:v>2.6930555555555569</c:v>
                </c:pt>
                <c:pt idx="3">
                  <c:v>2.4236111111111107</c:v>
                </c:pt>
                <c:pt idx="4">
                  <c:v>2.4937500000000004</c:v>
                </c:pt>
                <c:pt idx="5">
                  <c:v>2.3374999999999995</c:v>
                </c:pt>
                <c:pt idx="6">
                  <c:v>3.0142857142857142</c:v>
                </c:pt>
                <c:pt idx="7">
                  <c:v>2.9535714285714296</c:v>
                </c:pt>
                <c:pt idx="8">
                  <c:v>2.5071428571428562</c:v>
                </c:pt>
                <c:pt idx="9">
                  <c:v>2.7964285714285713</c:v>
                </c:pt>
                <c:pt idx="10">
                  <c:v>2.941071428571429</c:v>
                </c:pt>
                <c:pt idx="11">
                  <c:v>2.9089285714285715</c:v>
                </c:pt>
                <c:pt idx="12">
                  <c:v>3.4464285714285712</c:v>
                </c:pt>
                <c:pt idx="13">
                  <c:v>3.7546296296296298</c:v>
                </c:pt>
                <c:pt idx="14">
                  <c:v>2.781944444444445</c:v>
                </c:pt>
                <c:pt idx="15">
                  <c:v>2.9194444444444438</c:v>
                </c:pt>
                <c:pt idx="16">
                  <c:v>3.6083333333333334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0-FD44-9FB4-17A84B331167}"/>
            </c:ext>
          </c:extLst>
        </c:ser>
        <c:ser>
          <c:idx val="3"/>
          <c:order val="1"/>
          <c:tx>
            <c:strRef>
              <c:f>'Food Consumed'!$AQ$4</c:f>
              <c:strCache>
                <c:ptCount val="1"/>
                <c:pt idx="0">
                  <c:v>AA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Consumed'!$AR$5:$BH$5</c:f>
                <c:numCache>
                  <c:formatCode>General</c:formatCode>
                  <c:ptCount val="17"/>
                  <c:pt idx="0">
                    <c:v>2.0833333333335702E-2</c:v>
                  </c:pt>
                  <c:pt idx="1">
                    <c:v>0.91785714285714359</c:v>
                  </c:pt>
                  <c:pt idx="2">
                    <c:v>0.60972222222222272</c:v>
                  </c:pt>
                  <c:pt idx="3">
                    <c:v>5.5555555555556017E-2</c:v>
                  </c:pt>
                  <c:pt idx="4">
                    <c:v>0.15781250000000055</c:v>
                  </c:pt>
                  <c:pt idx="5">
                    <c:v>0.11630234119699059</c:v>
                  </c:pt>
                  <c:pt idx="6">
                    <c:v>0.20999676058401931</c:v>
                  </c:pt>
                  <c:pt idx="7">
                    <c:v>0.35573532161934596</c:v>
                  </c:pt>
                  <c:pt idx="8">
                    <c:v>0.30664411333808189</c:v>
                  </c:pt>
                  <c:pt idx="9">
                    <c:v>0.25981853077530892</c:v>
                  </c:pt>
                  <c:pt idx="10">
                    <c:v>0.26394229081338566</c:v>
                  </c:pt>
                  <c:pt idx="11">
                    <c:v>4.1307979935470453E-2</c:v>
                  </c:pt>
                  <c:pt idx="12">
                    <c:v>0.64611607811178728</c:v>
                  </c:pt>
                  <c:pt idx="13">
                    <c:v>0.23518518518518566</c:v>
                  </c:pt>
                  <c:pt idx="14">
                    <c:v>0.27639935770234986</c:v>
                  </c:pt>
                  <c:pt idx="15">
                    <c:v>0.26943012562182445</c:v>
                  </c:pt>
                  <c:pt idx="16">
                    <c:v>0.18000000000000105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Consumed'!$AR$4:$BH$4</c:f>
              <c:numCache>
                <c:formatCode>General</c:formatCode>
                <c:ptCount val="17"/>
                <c:pt idx="0">
                  <c:v>1.3291666666666682</c:v>
                </c:pt>
                <c:pt idx="1">
                  <c:v>3.4892857142857148</c:v>
                </c:pt>
                <c:pt idx="2">
                  <c:v>2.1791666666666663</c:v>
                </c:pt>
                <c:pt idx="3">
                  <c:v>2.2888888888888888</c:v>
                </c:pt>
                <c:pt idx="4">
                  <c:v>2.2328124999999996</c:v>
                </c:pt>
                <c:pt idx="5">
                  <c:v>2.0861111111111117</c:v>
                </c:pt>
                <c:pt idx="6">
                  <c:v>2.6214285714285714</c:v>
                </c:pt>
                <c:pt idx="7">
                  <c:v>3.4714285714285715</c:v>
                </c:pt>
                <c:pt idx="8">
                  <c:v>2.592857142857143</c:v>
                </c:pt>
                <c:pt idx="9">
                  <c:v>2.5095238095238095</c:v>
                </c:pt>
                <c:pt idx="10">
                  <c:v>3.195238095238095</c:v>
                </c:pt>
                <c:pt idx="11">
                  <c:v>2.426190476190476</c:v>
                </c:pt>
                <c:pt idx="12">
                  <c:v>3.4999999999999987</c:v>
                </c:pt>
                <c:pt idx="13">
                  <c:v>3.3407407407407415</c:v>
                </c:pt>
                <c:pt idx="14">
                  <c:v>3.013888888888888</c:v>
                </c:pt>
                <c:pt idx="15">
                  <c:v>3.1500000000000008</c:v>
                </c:pt>
                <c:pt idx="16">
                  <c:v>4.4400000000000013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00-FD44-9FB4-17A84B331167}"/>
            </c:ext>
          </c:extLst>
        </c:ser>
        <c:ser>
          <c:idx val="5"/>
          <c:order val="2"/>
          <c:tx>
            <c:strRef>
              <c:f>'Food Consumed'!$AQ$6</c:f>
              <c:strCache>
                <c:ptCount val="1"/>
                <c:pt idx="0">
                  <c:v>LT Avg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Consumed'!$AR$7:$BH$7</c:f>
                <c:numCache>
                  <c:formatCode>General</c:formatCode>
                  <c:ptCount val="17"/>
                  <c:pt idx="0">
                    <c:v>4.4444444444445168E-2</c:v>
                  </c:pt>
                  <c:pt idx="1">
                    <c:v>0.48888888888888937</c:v>
                  </c:pt>
                  <c:pt idx="2">
                    <c:v>0.21481481481481435</c:v>
                  </c:pt>
                  <c:pt idx="3">
                    <c:v>9.2592592592588546E-3</c:v>
                  </c:pt>
                  <c:pt idx="4">
                    <c:v>0.15416666666666679</c:v>
                  </c:pt>
                  <c:pt idx="5">
                    <c:v>8.3333333333333467E-2</c:v>
                  </c:pt>
                  <c:pt idx="6">
                    <c:v>0.17261904761904723</c:v>
                  </c:pt>
                  <c:pt idx="7">
                    <c:v>0.33571428571428624</c:v>
                  </c:pt>
                  <c:pt idx="8">
                    <c:v>0.12380952380952359</c:v>
                  </c:pt>
                  <c:pt idx="9">
                    <c:v>1.1464285714285711</c:v>
                  </c:pt>
                  <c:pt idx="10">
                    <c:v>0.13571428571428523</c:v>
                  </c:pt>
                  <c:pt idx="11">
                    <c:v>0.2238095238095241</c:v>
                  </c:pt>
                  <c:pt idx="12">
                    <c:v>6.071428571428527E-2</c:v>
                  </c:pt>
                  <c:pt idx="13">
                    <c:v>4.4444444444444287E-2</c:v>
                  </c:pt>
                  <c:pt idx="14">
                    <c:v>8.7500000000000355E-2</c:v>
                  </c:pt>
                  <c:pt idx="15">
                    <c:v>0.1375000000000004</c:v>
                  </c:pt>
                  <c:pt idx="16">
                    <c:v>0.28000000000000108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Consumed'!$AR$6:$BH$6</c:f>
              <c:numCache>
                <c:formatCode>General</c:formatCode>
                <c:ptCount val="17"/>
                <c:pt idx="0">
                  <c:v>2.066666666666666</c:v>
                </c:pt>
                <c:pt idx="1">
                  <c:v>4.9888888888888889</c:v>
                </c:pt>
                <c:pt idx="2">
                  <c:v>2.2777777777777768</c:v>
                </c:pt>
                <c:pt idx="3">
                  <c:v>3.0055555555555555</c:v>
                </c:pt>
                <c:pt idx="4">
                  <c:v>2.8666666666666671</c:v>
                </c:pt>
                <c:pt idx="5">
                  <c:v>2.3833333333333337</c:v>
                </c:pt>
                <c:pt idx="6">
                  <c:v>3.2059523809523798</c:v>
                </c:pt>
                <c:pt idx="7">
                  <c:v>3.1928571428571431</c:v>
                </c:pt>
                <c:pt idx="8">
                  <c:v>2.60952380952381</c:v>
                </c:pt>
                <c:pt idx="9">
                  <c:v>1.467857142857143</c:v>
                </c:pt>
                <c:pt idx="10">
                  <c:v>2.9214285714285708</c:v>
                </c:pt>
                <c:pt idx="11">
                  <c:v>2.8761904761904766</c:v>
                </c:pt>
                <c:pt idx="12">
                  <c:v>3.1178571428571429</c:v>
                </c:pt>
                <c:pt idx="13">
                  <c:v>3.5111111111111111</c:v>
                </c:pt>
                <c:pt idx="14">
                  <c:v>2.8124999999999996</c:v>
                </c:pt>
                <c:pt idx="15">
                  <c:v>2.979166666666667</c:v>
                </c:pt>
                <c:pt idx="16">
                  <c:v>3.8900000000000006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00-FD44-9FB4-17A84B331167}"/>
            </c:ext>
          </c:extLst>
        </c:ser>
        <c:ser>
          <c:idx val="7"/>
          <c:order val="3"/>
          <c:tx>
            <c:strRef>
              <c:f>'Food Consumed'!$AQ$8</c:f>
              <c:strCache>
                <c:ptCount val="1"/>
                <c:pt idx="0">
                  <c:v>LA Avg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Consumed'!$AR$9:$BH$9</c:f>
                <c:numCache>
                  <c:formatCode>General</c:formatCode>
                  <c:ptCount val="17"/>
                  <c:pt idx="0">
                    <c:v>7.2222222222222854E-2</c:v>
                  </c:pt>
                  <c:pt idx="1">
                    <c:v>0.73333333333333728</c:v>
                  </c:pt>
                  <c:pt idx="2">
                    <c:v>0.56296296296296211</c:v>
                  </c:pt>
                  <c:pt idx="3">
                    <c:v>0.22962962962962985</c:v>
                  </c:pt>
                  <c:pt idx="4">
                    <c:v>0.21666666666666612</c:v>
                  </c:pt>
                  <c:pt idx="5">
                    <c:v>0.15277777777777787</c:v>
                  </c:pt>
                  <c:pt idx="6">
                    <c:v>0.29523809523809463</c:v>
                  </c:pt>
                  <c:pt idx="7">
                    <c:v>0.22380952380952457</c:v>
                  </c:pt>
                  <c:pt idx="8">
                    <c:v>4.047619047619011E-2</c:v>
                  </c:pt>
                  <c:pt idx="9">
                    <c:v>0.62142857142857111</c:v>
                  </c:pt>
                  <c:pt idx="10">
                    <c:v>4.5238095238095515E-2</c:v>
                  </c:pt>
                  <c:pt idx="11">
                    <c:v>1.9047619047619202E-2</c:v>
                  </c:pt>
                  <c:pt idx="12">
                    <c:v>0.19285714285714303</c:v>
                  </c:pt>
                  <c:pt idx="13">
                    <c:v>0.56296296296296378</c:v>
                  </c:pt>
                  <c:pt idx="14">
                    <c:v>0.10833333333333361</c:v>
                  </c:pt>
                  <c:pt idx="15">
                    <c:v>0.12222222222222155</c:v>
                  </c:pt>
                  <c:pt idx="16">
                    <c:v>0.49625000000000002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Consumed'!$AR$8:$BH$8</c:f>
              <c:numCache>
                <c:formatCode>General</c:formatCode>
                <c:ptCount val="17"/>
                <c:pt idx="0">
                  <c:v>1.6277777777777784</c:v>
                </c:pt>
                <c:pt idx="1">
                  <c:v>4.5444444444444416</c:v>
                </c:pt>
                <c:pt idx="2">
                  <c:v>2.9370370370370358</c:v>
                </c:pt>
                <c:pt idx="3">
                  <c:v>2.42962962962963</c:v>
                </c:pt>
                <c:pt idx="4">
                  <c:v>2.645833333333333</c:v>
                </c:pt>
                <c:pt idx="5">
                  <c:v>2.1694444444444452</c:v>
                </c:pt>
                <c:pt idx="6">
                  <c:v>3.009523809523809</c:v>
                </c:pt>
                <c:pt idx="7">
                  <c:v>2.7619047619047619</c:v>
                </c:pt>
                <c:pt idx="8">
                  <c:v>2.2928571428571427</c:v>
                </c:pt>
                <c:pt idx="9">
                  <c:v>2.6833333333333336</c:v>
                </c:pt>
                <c:pt idx="10">
                  <c:v>2.4547619047619045</c:v>
                </c:pt>
                <c:pt idx="11">
                  <c:v>2.0238095238095237</c:v>
                </c:pt>
                <c:pt idx="12">
                  <c:v>2.4785714285714286</c:v>
                </c:pt>
                <c:pt idx="13">
                  <c:v>2.8481481481481472</c:v>
                </c:pt>
                <c:pt idx="14">
                  <c:v>2.4583333333333339</c:v>
                </c:pt>
                <c:pt idx="15">
                  <c:v>2.4111111111111097</c:v>
                </c:pt>
                <c:pt idx="16">
                  <c:v>3.816250000000001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00-FD44-9FB4-17A84B331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939279"/>
        <c:axId val="2096337551"/>
      </c:barChart>
      <c:catAx>
        <c:axId val="209593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337551"/>
        <c:crosses val="autoZero"/>
        <c:auto val="1"/>
        <c:lblAlgn val="ctr"/>
        <c:lblOffset val="100"/>
        <c:noMultiLvlLbl val="0"/>
      </c:catAx>
      <c:valAx>
        <c:axId val="20963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 food/mouse/day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TRF vs Ad Lib Food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'Food Consumed'!$AQ$2</c:f>
              <c:strCache>
                <c:ptCount val="1"/>
                <c:pt idx="0">
                  <c:v>AT Avg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Consumed'!$AR$3:$BH$3</c:f>
                <c:numCache>
                  <c:formatCode>General</c:formatCode>
                  <c:ptCount val="17"/>
                  <c:pt idx="0">
                    <c:v>0.62083333333333734</c:v>
                  </c:pt>
                  <c:pt idx="1">
                    <c:v>0.21071428571428469</c:v>
                  </c:pt>
                  <c:pt idx="2">
                    <c:v>0.1819444444444431</c:v>
                  </c:pt>
                  <c:pt idx="3">
                    <c:v>4.1666666666664298E-3</c:v>
                  </c:pt>
                  <c:pt idx="4">
                    <c:v>8.7500000000000119E-2</c:v>
                  </c:pt>
                  <c:pt idx="5">
                    <c:v>2.9166666666665675E-2</c:v>
                  </c:pt>
                  <c:pt idx="6">
                    <c:v>0.12857142857142878</c:v>
                  </c:pt>
                  <c:pt idx="7">
                    <c:v>0.16071428571428512</c:v>
                  </c:pt>
                  <c:pt idx="8">
                    <c:v>0.12857142857142922</c:v>
                  </c:pt>
                  <c:pt idx="9">
                    <c:v>6.0714285714285936E-2</c:v>
                  </c:pt>
                  <c:pt idx="10">
                    <c:v>0.1124999999999996</c:v>
                  </c:pt>
                  <c:pt idx="11">
                    <c:v>4.1071428571428197E-2</c:v>
                  </c:pt>
                  <c:pt idx="12">
                    <c:v>0.40357142857143014</c:v>
                  </c:pt>
                  <c:pt idx="13">
                    <c:v>0.28425925925925899</c:v>
                  </c:pt>
                  <c:pt idx="14">
                    <c:v>4.027777777777785E-2</c:v>
                  </c:pt>
                  <c:pt idx="15">
                    <c:v>2.777777777778212E-3</c:v>
                  </c:pt>
                  <c:pt idx="16">
                    <c:v>0.34166666666666612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Consumed'!$AR$2:$BH$2</c:f>
              <c:numCache>
                <c:formatCode>General</c:formatCode>
                <c:ptCount val="17"/>
                <c:pt idx="0">
                  <c:v>2.7708333333333335</c:v>
                </c:pt>
                <c:pt idx="1">
                  <c:v>2.0107142857142852</c:v>
                </c:pt>
                <c:pt idx="2">
                  <c:v>2.6930555555555569</c:v>
                </c:pt>
                <c:pt idx="3">
                  <c:v>2.4236111111111107</c:v>
                </c:pt>
                <c:pt idx="4">
                  <c:v>2.4937500000000004</c:v>
                </c:pt>
                <c:pt idx="5">
                  <c:v>2.3374999999999995</c:v>
                </c:pt>
                <c:pt idx="6">
                  <c:v>3.0142857142857142</c:v>
                </c:pt>
                <c:pt idx="7">
                  <c:v>2.9535714285714296</c:v>
                </c:pt>
                <c:pt idx="8">
                  <c:v>2.5071428571428562</c:v>
                </c:pt>
                <c:pt idx="9">
                  <c:v>2.7964285714285713</c:v>
                </c:pt>
                <c:pt idx="10">
                  <c:v>2.941071428571429</c:v>
                </c:pt>
                <c:pt idx="11">
                  <c:v>2.9089285714285715</c:v>
                </c:pt>
                <c:pt idx="12">
                  <c:v>3.4464285714285712</c:v>
                </c:pt>
                <c:pt idx="13">
                  <c:v>3.7546296296296298</c:v>
                </c:pt>
                <c:pt idx="14">
                  <c:v>2.781944444444445</c:v>
                </c:pt>
                <c:pt idx="15">
                  <c:v>2.9194444444444438</c:v>
                </c:pt>
                <c:pt idx="16">
                  <c:v>3.6083333333333334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6-9D4D-9860-C9731EE3C82A}"/>
            </c:ext>
          </c:extLst>
        </c:ser>
        <c:ser>
          <c:idx val="3"/>
          <c:order val="1"/>
          <c:tx>
            <c:strRef>
              <c:f>'Food Consumed'!$AQ$4</c:f>
              <c:strCache>
                <c:ptCount val="1"/>
                <c:pt idx="0">
                  <c:v>AA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Consumed'!$AR$5:$BH$5</c:f>
                <c:numCache>
                  <c:formatCode>General</c:formatCode>
                  <c:ptCount val="17"/>
                  <c:pt idx="0">
                    <c:v>2.0833333333335702E-2</c:v>
                  </c:pt>
                  <c:pt idx="1">
                    <c:v>0.91785714285714359</c:v>
                  </c:pt>
                  <c:pt idx="2">
                    <c:v>0.60972222222222272</c:v>
                  </c:pt>
                  <c:pt idx="3">
                    <c:v>5.5555555555556017E-2</c:v>
                  </c:pt>
                  <c:pt idx="4">
                    <c:v>0.15781250000000055</c:v>
                  </c:pt>
                  <c:pt idx="5">
                    <c:v>0.11630234119699059</c:v>
                  </c:pt>
                  <c:pt idx="6">
                    <c:v>0.20999676058401931</c:v>
                  </c:pt>
                  <c:pt idx="7">
                    <c:v>0.35573532161934596</c:v>
                  </c:pt>
                  <c:pt idx="8">
                    <c:v>0.30664411333808189</c:v>
                  </c:pt>
                  <c:pt idx="9">
                    <c:v>0.25981853077530892</c:v>
                  </c:pt>
                  <c:pt idx="10">
                    <c:v>0.26394229081338566</c:v>
                  </c:pt>
                  <c:pt idx="11">
                    <c:v>4.1307979935470453E-2</c:v>
                  </c:pt>
                  <c:pt idx="12">
                    <c:v>0.64611607811178728</c:v>
                  </c:pt>
                  <c:pt idx="13">
                    <c:v>0.23518518518518566</c:v>
                  </c:pt>
                  <c:pt idx="14">
                    <c:v>0.27639935770234986</c:v>
                  </c:pt>
                  <c:pt idx="15">
                    <c:v>0.26943012562182445</c:v>
                  </c:pt>
                  <c:pt idx="16">
                    <c:v>0.18000000000000105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Consumed'!$AR$4:$BH$4</c:f>
              <c:numCache>
                <c:formatCode>General</c:formatCode>
                <c:ptCount val="17"/>
                <c:pt idx="0">
                  <c:v>1.3291666666666682</c:v>
                </c:pt>
                <c:pt idx="1">
                  <c:v>3.4892857142857148</c:v>
                </c:pt>
                <c:pt idx="2">
                  <c:v>2.1791666666666663</c:v>
                </c:pt>
                <c:pt idx="3">
                  <c:v>2.2888888888888888</c:v>
                </c:pt>
                <c:pt idx="4">
                  <c:v>2.2328124999999996</c:v>
                </c:pt>
                <c:pt idx="5">
                  <c:v>2.0861111111111117</c:v>
                </c:pt>
                <c:pt idx="6">
                  <c:v>2.6214285714285714</c:v>
                </c:pt>
                <c:pt idx="7">
                  <c:v>3.4714285714285715</c:v>
                </c:pt>
                <c:pt idx="8">
                  <c:v>2.592857142857143</c:v>
                </c:pt>
                <c:pt idx="9">
                  <c:v>2.5095238095238095</c:v>
                </c:pt>
                <c:pt idx="10">
                  <c:v>3.195238095238095</c:v>
                </c:pt>
                <c:pt idx="11">
                  <c:v>2.426190476190476</c:v>
                </c:pt>
                <c:pt idx="12">
                  <c:v>3.4999999999999987</c:v>
                </c:pt>
                <c:pt idx="13">
                  <c:v>3.3407407407407415</c:v>
                </c:pt>
                <c:pt idx="14">
                  <c:v>3.013888888888888</c:v>
                </c:pt>
                <c:pt idx="15">
                  <c:v>3.1500000000000008</c:v>
                </c:pt>
                <c:pt idx="16">
                  <c:v>4.4400000000000013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6-9D4D-9860-C9731EE3C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993951"/>
        <c:axId val="2091242847"/>
      </c:barChart>
      <c:catAx>
        <c:axId val="204099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42847"/>
        <c:crosses val="autoZero"/>
        <c:auto val="1"/>
        <c:lblAlgn val="ctr"/>
        <c:lblOffset val="100"/>
        <c:noMultiLvlLbl val="0"/>
      </c:catAx>
      <c:valAx>
        <c:axId val="20912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</a:t>
                </a:r>
                <a:r>
                  <a:rPr lang="en-US" baseline="0"/>
                  <a:t> food/mosue/day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TRF vs</a:t>
            </a:r>
            <a:r>
              <a:rPr lang="en-US" baseline="0"/>
              <a:t> Ad Lib Food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'Food Consumed'!$AQ$6</c:f>
              <c:strCache>
                <c:ptCount val="1"/>
                <c:pt idx="0">
                  <c:v>LT Avg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Consumed'!$AR$7:$BH$7</c:f>
                <c:numCache>
                  <c:formatCode>General</c:formatCode>
                  <c:ptCount val="17"/>
                  <c:pt idx="0">
                    <c:v>4.4444444444445168E-2</c:v>
                  </c:pt>
                  <c:pt idx="1">
                    <c:v>0.48888888888888937</c:v>
                  </c:pt>
                  <c:pt idx="2">
                    <c:v>0.21481481481481435</c:v>
                  </c:pt>
                  <c:pt idx="3">
                    <c:v>9.2592592592588546E-3</c:v>
                  </c:pt>
                  <c:pt idx="4">
                    <c:v>0.15416666666666679</c:v>
                  </c:pt>
                  <c:pt idx="5">
                    <c:v>8.3333333333333467E-2</c:v>
                  </c:pt>
                  <c:pt idx="6">
                    <c:v>0.17261904761904723</c:v>
                  </c:pt>
                  <c:pt idx="7">
                    <c:v>0.33571428571428624</c:v>
                  </c:pt>
                  <c:pt idx="8">
                    <c:v>0.12380952380952359</c:v>
                  </c:pt>
                  <c:pt idx="9">
                    <c:v>1.1464285714285711</c:v>
                  </c:pt>
                  <c:pt idx="10">
                    <c:v>0.13571428571428523</c:v>
                  </c:pt>
                  <c:pt idx="11">
                    <c:v>0.2238095238095241</c:v>
                  </c:pt>
                  <c:pt idx="12">
                    <c:v>6.071428571428527E-2</c:v>
                  </c:pt>
                  <c:pt idx="13">
                    <c:v>4.4444444444444287E-2</c:v>
                  </c:pt>
                  <c:pt idx="14">
                    <c:v>8.7500000000000355E-2</c:v>
                  </c:pt>
                  <c:pt idx="15">
                    <c:v>0.1375000000000004</c:v>
                  </c:pt>
                  <c:pt idx="16">
                    <c:v>0.28000000000000108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Consumed'!$AR$6:$BH$6</c:f>
              <c:numCache>
                <c:formatCode>General</c:formatCode>
                <c:ptCount val="17"/>
                <c:pt idx="0">
                  <c:v>2.066666666666666</c:v>
                </c:pt>
                <c:pt idx="1">
                  <c:v>4.9888888888888889</c:v>
                </c:pt>
                <c:pt idx="2">
                  <c:v>2.2777777777777768</c:v>
                </c:pt>
                <c:pt idx="3">
                  <c:v>3.0055555555555555</c:v>
                </c:pt>
                <c:pt idx="4">
                  <c:v>2.8666666666666671</c:v>
                </c:pt>
                <c:pt idx="5">
                  <c:v>2.3833333333333337</c:v>
                </c:pt>
                <c:pt idx="6">
                  <c:v>3.2059523809523798</c:v>
                </c:pt>
                <c:pt idx="7">
                  <c:v>3.1928571428571431</c:v>
                </c:pt>
                <c:pt idx="8">
                  <c:v>2.60952380952381</c:v>
                </c:pt>
                <c:pt idx="9">
                  <c:v>1.467857142857143</c:v>
                </c:pt>
                <c:pt idx="10">
                  <c:v>2.9214285714285708</c:v>
                </c:pt>
                <c:pt idx="11">
                  <c:v>2.8761904761904766</c:v>
                </c:pt>
                <c:pt idx="12">
                  <c:v>3.1178571428571429</c:v>
                </c:pt>
                <c:pt idx="13">
                  <c:v>3.5111111111111111</c:v>
                </c:pt>
                <c:pt idx="14">
                  <c:v>2.8124999999999996</c:v>
                </c:pt>
                <c:pt idx="15">
                  <c:v>2.979166666666667</c:v>
                </c:pt>
                <c:pt idx="16">
                  <c:v>3.8900000000000006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E-C04F-A7BE-102DFCA77EFA}"/>
            </c:ext>
          </c:extLst>
        </c:ser>
        <c:ser>
          <c:idx val="7"/>
          <c:order val="1"/>
          <c:tx>
            <c:strRef>
              <c:f>'Food Consumed'!$AQ$8</c:f>
              <c:strCache>
                <c:ptCount val="1"/>
                <c:pt idx="0">
                  <c:v>LA Avg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'Food Consumed'!$AR$9:$BH$9</c:f>
                <c:numCache>
                  <c:formatCode>General</c:formatCode>
                  <c:ptCount val="17"/>
                  <c:pt idx="0">
                    <c:v>7.2222222222222854E-2</c:v>
                  </c:pt>
                  <c:pt idx="1">
                    <c:v>0.73333333333333728</c:v>
                  </c:pt>
                  <c:pt idx="2">
                    <c:v>0.56296296296296211</c:v>
                  </c:pt>
                  <c:pt idx="3">
                    <c:v>0.22962962962962985</c:v>
                  </c:pt>
                  <c:pt idx="4">
                    <c:v>0.21666666666666612</c:v>
                  </c:pt>
                  <c:pt idx="5">
                    <c:v>0.15277777777777787</c:v>
                  </c:pt>
                  <c:pt idx="6">
                    <c:v>0.29523809523809463</c:v>
                  </c:pt>
                  <c:pt idx="7">
                    <c:v>0.22380952380952457</c:v>
                  </c:pt>
                  <c:pt idx="8">
                    <c:v>4.047619047619011E-2</c:v>
                  </c:pt>
                  <c:pt idx="9">
                    <c:v>0.62142857142857111</c:v>
                  </c:pt>
                  <c:pt idx="10">
                    <c:v>4.5238095238095515E-2</c:v>
                  </c:pt>
                  <c:pt idx="11">
                    <c:v>1.9047619047619202E-2</c:v>
                  </c:pt>
                  <c:pt idx="12">
                    <c:v>0.19285714285714303</c:v>
                  </c:pt>
                  <c:pt idx="13">
                    <c:v>0.56296296296296378</c:v>
                  </c:pt>
                  <c:pt idx="14">
                    <c:v>0.10833333333333361</c:v>
                  </c:pt>
                  <c:pt idx="15">
                    <c:v>0.12222222222222155</c:v>
                  </c:pt>
                  <c:pt idx="16">
                    <c:v>0.49625000000000002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'Food Consumed'!$AR$1:$BH$1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'Food Consumed'!$AR$8:$BH$8</c:f>
              <c:numCache>
                <c:formatCode>General</c:formatCode>
                <c:ptCount val="17"/>
                <c:pt idx="0">
                  <c:v>1.6277777777777784</c:v>
                </c:pt>
                <c:pt idx="1">
                  <c:v>4.5444444444444416</c:v>
                </c:pt>
                <c:pt idx="2">
                  <c:v>2.9370370370370358</c:v>
                </c:pt>
                <c:pt idx="3">
                  <c:v>2.42962962962963</c:v>
                </c:pt>
                <c:pt idx="4">
                  <c:v>2.645833333333333</c:v>
                </c:pt>
                <c:pt idx="5">
                  <c:v>2.1694444444444452</c:v>
                </c:pt>
                <c:pt idx="6">
                  <c:v>3.009523809523809</c:v>
                </c:pt>
                <c:pt idx="7">
                  <c:v>2.7619047619047619</c:v>
                </c:pt>
                <c:pt idx="8">
                  <c:v>2.2928571428571427</c:v>
                </c:pt>
                <c:pt idx="9">
                  <c:v>2.6833333333333336</c:v>
                </c:pt>
                <c:pt idx="10">
                  <c:v>2.4547619047619045</c:v>
                </c:pt>
                <c:pt idx="11">
                  <c:v>2.0238095238095237</c:v>
                </c:pt>
                <c:pt idx="12">
                  <c:v>2.4785714285714286</c:v>
                </c:pt>
                <c:pt idx="13">
                  <c:v>2.8481481481481472</c:v>
                </c:pt>
                <c:pt idx="14">
                  <c:v>2.4583333333333339</c:v>
                </c:pt>
                <c:pt idx="15">
                  <c:v>2.4111111111111097</c:v>
                </c:pt>
                <c:pt idx="16">
                  <c:v>3.816250000000001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FE-C04F-A7BE-102DFCA7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522319"/>
        <c:axId val="2090158367"/>
      </c:barChart>
      <c:catAx>
        <c:axId val="209252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58367"/>
        <c:crosses val="autoZero"/>
        <c:auto val="1"/>
        <c:lblAlgn val="ctr"/>
        <c:lblOffset val="100"/>
        <c:noMultiLvlLbl val="0"/>
      </c:catAx>
      <c:valAx>
        <c:axId val="20901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 food/mouse/day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2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'cum food intake take '!$AY$21</c:f>
              <c:strCache>
                <c:ptCount val="1"/>
                <c:pt idx="0">
                  <c:v>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'cum food intake take '!$AY$22:$AY$39</c:f>
              <c:numCache>
                <c:formatCode>General</c:formatCode>
                <c:ptCount val="18"/>
                <c:pt idx="0">
                  <c:v>37.655625000000001</c:v>
                </c:pt>
                <c:pt idx="1">
                  <c:v>101.41537499999998</c:v>
                </c:pt>
                <c:pt idx="2">
                  <c:v>211.21125000000004</c:v>
                </c:pt>
                <c:pt idx="3">
                  <c:v>366.25049999999999</c:v>
                </c:pt>
                <c:pt idx="4">
                  <c:v>445.12912500000004</c:v>
                </c:pt>
                <c:pt idx="5">
                  <c:v>543.93975</c:v>
                </c:pt>
                <c:pt idx="6">
                  <c:v>634.31325000000004</c:v>
                </c:pt>
                <c:pt idx="7">
                  <c:v>697.84649999999999</c:v>
                </c:pt>
                <c:pt idx="8">
                  <c:v>793.42949999999996</c:v>
                </c:pt>
                <c:pt idx="9">
                  <c:v>887.08725000000004</c:v>
                </c:pt>
                <c:pt idx="10">
                  <c:v>966.58875</c:v>
                </c:pt>
                <c:pt idx="11">
                  <c:v>1059.8501249999999</c:v>
                </c:pt>
                <c:pt idx="12">
                  <c:v>1152.0922499999999</c:v>
                </c:pt>
                <c:pt idx="13">
                  <c:v>1152.0922499999999</c:v>
                </c:pt>
                <c:pt idx="14">
                  <c:v>1414.4547500000001</c:v>
                </c:pt>
                <c:pt idx="15">
                  <c:v>1490.0680000000002</c:v>
                </c:pt>
                <c:pt idx="16">
                  <c:v>1569.4185000000002</c:v>
                </c:pt>
                <c:pt idx="17">
                  <c:v>1634.8015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3-A44C-A8A4-0FF28D982505}"/>
            </c:ext>
          </c:extLst>
        </c:ser>
        <c:ser>
          <c:idx val="1"/>
          <c:order val="1"/>
          <c:tx>
            <c:strRef>
              <c:f>'cum food intake take '!$AZ$21</c:f>
              <c:strCache>
                <c:ptCount val="1"/>
                <c:pt idx="0">
                  <c:v>AA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'cum food intake take '!$AZ$22:$AZ$39</c:f>
              <c:numCache>
                <c:formatCode>General</c:formatCode>
                <c:ptCount val="18"/>
                <c:pt idx="0">
                  <c:v>18.063375000000022</c:v>
                </c:pt>
                <c:pt idx="1">
                  <c:v>128.70862500000004</c:v>
                </c:pt>
                <c:pt idx="2">
                  <c:v>217.55325000000005</c:v>
                </c:pt>
                <c:pt idx="3">
                  <c:v>418.17562500000003</c:v>
                </c:pt>
                <c:pt idx="4">
                  <c:v>572.87512500000003</c:v>
                </c:pt>
                <c:pt idx="5">
                  <c:v>666.19312500000001</c:v>
                </c:pt>
                <c:pt idx="6">
                  <c:v>747.11024999999995</c:v>
                </c:pt>
                <c:pt idx="7">
                  <c:v>859.0390000000001</c:v>
                </c:pt>
                <c:pt idx="8">
                  <c:v>942.16449999999998</c:v>
                </c:pt>
                <c:pt idx="9">
                  <c:v>1052.2435000000003</c:v>
                </c:pt>
                <c:pt idx="10">
                  <c:v>1134.463</c:v>
                </c:pt>
                <c:pt idx="11">
                  <c:v>1235.7840000000001</c:v>
                </c:pt>
                <c:pt idx="12">
                  <c:v>1312.7185000000002</c:v>
                </c:pt>
                <c:pt idx="13">
                  <c:v>1363.1525000000001</c:v>
                </c:pt>
                <c:pt idx="14">
                  <c:v>1559.9055000000001</c:v>
                </c:pt>
                <c:pt idx="15">
                  <c:v>1641.8230000000003</c:v>
                </c:pt>
                <c:pt idx="16">
                  <c:v>1727.4400000000003</c:v>
                </c:pt>
                <c:pt idx="17">
                  <c:v>1725.4770000000003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3-A44C-A8A4-0FF28D982505}"/>
            </c:ext>
          </c:extLst>
        </c:ser>
        <c:ser>
          <c:idx val="2"/>
          <c:order val="2"/>
          <c:tx>
            <c:strRef>
              <c:f>'cum food intake take '!$BA$21</c:f>
              <c:strCache>
                <c:ptCount val="1"/>
                <c:pt idx="0">
                  <c:v>LT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'cum food intake take '!$BA$22:$BA$39</c:f>
              <c:numCache>
                <c:formatCode>General</c:formatCode>
                <c:ptCount val="18"/>
                <c:pt idx="0">
                  <c:v>28.085999999999991</c:v>
                </c:pt>
                <c:pt idx="1">
                  <c:v>95.885000000000005</c:v>
                </c:pt>
                <c:pt idx="2">
                  <c:v>188.74999999999994</c:v>
                </c:pt>
                <c:pt idx="3">
                  <c:v>260.77699999999993</c:v>
                </c:pt>
                <c:pt idx="4">
                  <c:v>336.95649999999995</c:v>
                </c:pt>
                <c:pt idx="5">
                  <c:v>459.49299999999994</c:v>
                </c:pt>
                <c:pt idx="6">
                  <c:v>563.38099999999986</c:v>
                </c:pt>
                <c:pt idx="7">
                  <c:v>628.15999999999985</c:v>
                </c:pt>
                <c:pt idx="8">
                  <c:v>729.82074999999986</c:v>
                </c:pt>
                <c:pt idx="9">
                  <c:v>831.06624999999997</c:v>
                </c:pt>
                <c:pt idx="10">
                  <c:v>913.8142499999999</c:v>
                </c:pt>
                <c:pt idx="11">
                  <c:v>1006.4527499999999</c:v>
                </c:pt>
                <c:pt idx="12">
                  <c:v>1097.6567499999999</c:v>
                </c:pt>
                <c:pt idx="13">
                  <c:v>1097.6567499999999</c:v>
                </c:pt>
                <c:pt idx="14">
                  <c:v>1339.672</c:v>
                </c:pt>
                <c:pt idx="15">
                  <c:v>1416.1157499999999</c:v>
                </c:pt>
                <c:pt idx="16">
                  <c:v>1497.0895</c:v>
                </c:pt>
                <c:pt idx="17">
                  <c:v>1585.1979999999999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3-A44C-A8A4-0FF28D982505}"/>
            </c:ext>
          </c:extLst>
        </c:ser>
        <c:ser>
          <c:idx val="3"/>
          <c:order val="3"/>
          <c:tx>
            <c:strRef>
              <c:f>'cum food intake take '!$BB$21</c:f>
              <c:strCache>
                <c:ptCount val="1"/>
                <c:pt idx="0">
                  <c:v>LA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'cum food intake take '!$BB$22:$BB$39</c:f>
              <c:numCache>
                <c:formatCode>General</c:formatCode>
                <c:ptCount val="18"/>
                <c:pt idx="0">
                  <c:v>22.121500000000012</c:v>
                </c:pt>
                <c:pt idx="1">
                  <c:v>83.880499999999984</c:v>
                </c:pt>
                <c:pt idx="2">
                  <c:v>177.65149999999997</c:v>
                </c:pt>
                <c:pt idx="3">
                  <c:v>250.43349999999998</c:v>
                </c:pt>
                <c:pt idx="4">
                  <c:v>348.28149999999994</c:v>
                </c:pt>
                <c:pt idx="5">
                  <c:v>447.33749999999998</c:v>
                </c:pt>
                <c:pt idx="6">
                  <c:v>543.22249999999997</c:v>
                </c:pt>
                <c:pt idx="7">
                  <c:v>602.18799999999999</c:v>
                </c:pt>
                <c:pt idx="8">
                  <c:v>697.62</c:v>
                </c:pt>
                <c:pt idx="9">
                  <c:v>785.2</c:v>
                </c:pt>
                <c:pt idx="10">
                  <c:v>857.90650000000005</c:v>
                </c:pt>
                <c:pt idx="11">
                  <c:v>935.74699999999996</c:v>
                </c:pt>
                <c:pt idx="12">
                  <c:v>999.92200000000003</c:v>
                </c:pt>
                <c:pt idx="13">
                  <c:v>999.92200000000003</c:v>
                </c:pt>
                <c:pt idx="14">
                  <c:v>1194.6365000000001</c:v>
                </c:pt>
                <c:pt idx="15">
                  <c:v>1261.454</c:v>
                </c:pt>
                <c:pt idx="16">
                  <c:v>1326.9879999999998</c:v>
                </c:pt>
                <c:pt idx="17">
                  <c:v>1403.65825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3-A44C-A8A4-0FF28D982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53872"/>
        <c:axId val="55959200"/>
      </c:lineChart>
      <c:catAx>
        <c:axId val="6825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9200"/>
        <c:crosses val="autoZero"/>
        <c:auto val="1"/>
        <c:lblAlgn val="ctr"/>
        <c:lblOffset val="100"/>
        <c:noMultiLvlLbl val="0"/>
      </c:catAx>
      <c:valAx>
        <c:axId val="559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'Cumulative Food Intake'!$AU$2</c:f>
              <c:strCache>
                <c:ptCount val="1"/>
                <c:pt idx="0">
                  <c:v>AT Avg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Intake'!$AV$3:$BL$3</c:f>
                <c:numCache>
                  <c:formatCode>General</c:formatCode>
                  <c:ptCount val="17"/>
                  <c:pt idx="0">
                    <c:v>0.62083333333333734</c:v>
                  </c:pt>
                  <c:pt idx="1">
                    <c:v>0.21071428571428469</c:v>
                  </c:pt>
                  <c:pt idx="2">
                    <c:v>0.1819444444444431</c:v>
                  </c:pt>
                  <c:pt idx="3">
                    <c:v>4.1666666666664298E-3</c:v>
                  </c:pt>
                  <c:pt idx="4">
                    <c:v>8.7500000000000119E-2</c:v>
                  </c:pt>
                  <c:pt idx="5">
                    <c:v>2.9166666666665675E-2</c:v>
                  </c:pt>
                  <c:pt idx="6">
                    <c:v>0.12857142857142878</c:v>
                  </c:pt>
                  <c:pt idx="7">
                    <c:v>0.16071428571428512</c:v>
                  </c:pt>
                  <c:pt idx="8">
                    <c:v>0.12857142857142922</c:v>
                  </c:pt>
                  <c:pt idx="9">
                    <c:v>6.0714285714285936E-2</c:v>
                  </c:pt>
                  <c:pt idx="10">
                    <c:v>0.1124999999999996</c:v>
                  </c:pt>
                  <c:pt idx="11">
                    <c:v>4.1071428571428197E-2</c:v>
                  </c:pt>
                  <c:pt idx="12">
                    <c:v>0.40357142857143014</c:v>
                  </c:pt>
                  <c:pt idx="13">
                    <c:v>0.28425925925925899</c:v>
                  </c:pt>
                  <c:pt idx="14">
                    <c:v>4.027777777777785E-2</c:v>
                  </c:pt>
                  <c:pt idx="15">
                    <c:v>2.777777777778212E-3</c:v>
                  </c:pt>
                  <c:pt idx="16">
                    <c:v>0.34166666666666612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Intake'!$AV$2:$BL$2</c:f>
              <c:numCache>
                <c:formatCode>General</c:formatCode>
                <c:ptCount val="17"/>
                <c:pt idx="0">
                  <c:v>2.7708333333333335</c:v>
                </c:pt>
                <c:pt idx="1">
                  <c:v>2.0107142857142852</c:v>
                </c:pt>
                <c:pt idx="2">
                  <c:v>2.6930555555555569</c:v>
                </c:pt>
                <c:pt idx="3">
                  <c:v>2.4236111111111107</c:v>
                </c:pt>
                <c:pt idx="4">
                  <c:v>2.4937500000000004</c:v>
                </c:pt>
                <c:pt idx="5">
                  <c:v>2.3374999999999995</c:v>
                </c:pt>
                <c:pt idx="6">
                  <c:v>3.0142857142857142</c:v>
                </c:pt>
                <c:pt idx="7">
                  <c:v>2.9535714285714296</c:v>
                </c:pt>
                <c:pt idx="8">
                  <c:v>2.5071428571428562</c:v>
                </c:pt>
                <c:pt idx="9">
                  <c:v>2.7964285714285713</c:v>
                </c:pt>
                <c:pt idx="10">
                  <c:v>2.941071428571429</c:v>
                </c:pt>
                <c:pt idx="11">
                  <c:v>2.9089285714285715</c:v>
                </c:pt>
                <c:pt idx="12">
                  <c:v>3.4464285714285712</c:v>
                </c:pt>
                <c:pt idx="13">
                  <c:v>3.7546296296296298</c:v>
                </c:pt>
                <c:pt idx="14">
                  <c:v>2.781944444444445</c:v>
                </c:pt>
                <c:pt idx="15">
                  <c:v>2.9194444444444438</c:v>
                </c:pt>
                <c:pt idx="16">
                  <c:v>3.6083333333333334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004A-8B9C-7D40D2CE8840}"/>
            </c:ext>
          </c:extLst>
        </c:ser>
        <c:ser>
          <c:idx val="3"/>
          <c:order val="1"/>
          <c:tx>
            <c:strRef>
              <c:f>'Cumulative Food Intake'!$AU$4</c:f>
              <c:strCache>
                <c:ptCount val="1"/>
                <c:pt idx="0">
                  <c:v>AA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Intake'!$AV$5:$BL$5</c:f>
                <c:numCache>
                  <c:formatCode>General</c:formatCode>
                  <c:ptCount val="17"/>
                  <c:pt idx="0">
                    <c:v>2.0833333333335702E-2</c:v>
                  </c:pt>
                  <c:pt idx="1">
                    <c:v>0.91785714285714359</c:v>
                  </c:pt>
                  <c:pt idx="2">
                    <c:v>0.60972222222222272</c:v>
                  </c:pt>
                  <c:pt idx="3">
                    <c:v>5.5555555555556017E-2</c:v>
                  </c:pt>
                  <c:pt idx="4">
                    <c:v>0.15781250000000055</c:v>
                  </c:pt>
                  <c:pt idx="5">
                    <c:v>0.11630234119699059</c:v>
                  </c:pt>
                  <c:pt idx="6">
                    <c:v>0.20999676058401931</c:v>
                  </c:pt>
                  <c:pt idx="7">
                    <c:v>0.35573532161934596</c:v>
                  </c:pt>
                  <c:pt idx="8">
                    <c:v>0.30664411333808189</c:v>
                  </c:pt>
                  <c:pt idx="9">
                    <c:v>0.25981853077530892</c:v>
                  </c:pt>
                  <c:pt idx="10">
                    <c:v>0.26394229081338566</c:v>
                  </c:pt>
                  <c:pt idx="11">
                    <c:v>4.1307979935470453E-2</c:v>
                  </c:pt>
                  <c:pt idx="12">
                    <c:v>0.64611607811178728</c:v>
                  </c:pt>
                  <c:pt idx="13">
                    <c:v>0.23518518518518566</c:v>
                  </c:pt>
                  <c:pt idx="14">
                    <c:v>0.27639935770234986</c:v>
                  </c:pt>
                  <c:pt idx="15">
                    <c:v>0.26943012562182445</c:v>
                  </c:pt>
                  <c:pt idx="16">
                    <c:v>0.18000000000000105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Intake'!$AV$4:$BL$4</c:f>
              <c:numCache>
                <c:formatCode>General</c:formatCode>
                <c:ptCount val="17"/>
                <c:pt idx="0">
                  <c:v>1.3291666666666682</c:v>
                </c:pt>
                <c:pt idx="1">
                  <c:v>3.4892857142857148</c:v>
                </c:pt>
                <c:pt idx="2">
                  <c:v>2.1791666666666663</c:v>
                </c:pt>
                <c:pt idx="3">
                  <c:v>2.2888888888888888</c:v>
                </c:pt>
                <c:pt idx="4">
                  <c:v>2.2328124999999996</c:v>
                </c:pt>
                <c:pt idx="5">
                  <c:v>2.0861111111111117</c:v>
                </c:pt>
                <c:pt idx="6">
                  <c:v>2.6214285714285714</c:v>
                </c:pt>
                <c:pt idx="7">
                  <c:v>3.4714285714285715</c:v>
                </c:pt>
                <c:pt idx="8">
                  <c:v>2.592857142857143</c:v>
                </c:pt>
                <c:pt idx="9">
                  <c:v>2.5095238095238095</c:v>
                </c:pt>
                <c:pt idx="10">
                  <c:v>3.195238095238095</c:v>
                </c:pt>
                <c:pt idx="11">
                  <c:v>2.426190476190476</c:v>
                </c:pt>
                <c:pt idx="12">
                  <c:v>3.4999999999999987</c:v>
                </c:pt>
                <c:pt idx="13">
                  <c:v>3.3407407407407415</c:v>
                </c:pt>
                <c:pt idx="14">
                  <c:v>3.013888888888888</c:v>
                </c:pt>
                <c:pt idx="15">
                  <c:v>3.1500000000000008</c:v>
                </c:pt>
                <c:pt idx="16">
                  <c:v>4.4400000000000013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004A-8B9C-7D40D2CE8840}"/>
            </c:ext>
          </c:extLst>
        </c:ser>
        <c:ser>
          <c:idx val="5"/>
          <c:order val="2"/>
          <c:tx>
            <c:strRef>
              <c:f>'Cumulative Food Intake'!$AU$6</c:f>
              <c:strCache>
                <c:ptCount val="1"/>
                <c:pt idx="0">
                  <c:v>LT Avg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Intake'!$AV$7:$BL$7</c:f>
                <c:numCache>
                  <c:formatCode>General</c:formatCode>
                  <c:ptCount val="17"/>
                  <c:pt idx="0">
                    <c:v>4.4444444444445168E-2</c:v>
                  </c:pt>
                  <c:pt idx="1">
                    <c:v>0.48888888888888937</c:v>
                  </c:pt>
                  <c:pt idx="2">
                    <c:v>0.21481481481481435</c:v>
                  </c:pt>
                  <c:pt idx="3">
                    <c:v>9.2592592592588546E-3</c:v>
                  </c:pt>
                  <c:pt idx="4">
                    <c:v>0.15416666666666679</c:v>
                  </c:pt>
                  <c:pt idx="5">
                    <c:v>8.3333333333333467E-2</c:v>
                  </c:pt>
                  <c:pt idx="6">
                    <c:v>0.17261904761904723</c:v>
                  </c:pt>
                  <c:pt idx="7">
                    <c:v>0.33571428571428624</c:v>
                  </c:pt>
                  <c:pt idx="8">
                    <c:v>0.12380952380952359</c:v>
                  </c:pt>
                  <c:pt idx="9">
                    <c:v>1.1464285714285711</c:v>
                  </c:pt>
                  <c:pt idx="10">
                    <c:v>0.13571428571428523</c:v>
                  </c:pt>
                  <c:pt idx="11">
                    <c:v>0.2238095238095241</c:v>
                  </c:pt>
                  <c:pt idx="12">
                    <c:v>6.071428571428527E-2</c:v>
                  </c:pt>
                  <c:pt idx="13">
                    <c:v>4.4444444444444287E-2</c:v>
                  </c:pt>
                  <c:pt idx="14">
                    <c:v>8.7500000000000355E-2</c:v>
                  </c:pt>
                  <c:pt idx="15">
                    <c:v>0.1375000000000004</c:v>
                  </c:pt>
                  <c:pt idx="16">
                    <c:v>0.28000000000000108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Intake'!$AV$6:$BL$6</c:f>
              <c:numCache>
                <c:formatCode>General</c:formatCode>
                <c:ptCount val="17"/>
                <c:pt idx="0">
                  <c:v>2.066666666666666</c:v>
                </c:pt>
                <c:pt idx="1">
                  <c:v>4.9888888888888889</c:v>
                </c:pt>
                <c:pt idx="2">
                  <c:v>2.2777777777777768</c:v>
                </c:pt>
                <c:pt idx="3">
                  <c:v>3.0055555555555555</c:v>
                </c:pt>
                <c:pt idx="4">
                  <c:v>2.8666666666666671</c:v>
                </c:pt>
                <c:pt idx="5">
                  <c:v>2.3833333333333337</c:v>
                </c:pt>
                <c:pt idx="6">
                  <c:v>3.2059523809523798</c:v>
                </c:pt>
                <c:pt idx="7">
                  <c:v>3.1928571428571431</c:v>
                </c:pt>
                <c:pt idx="8">
                  <c:v>2.60952380952381</c:v>
                </c:pt>
                <c:pt idx="9">
                  <c:v>1.467857142857143</c:v>
                </c:pt>
                <c:pt idx="10">
                  <c:v>2.9214285714285708</c:v>
                </c:pt>
                <c:pt idx="11">
                  <c:v>2.8761904761904766</c:v>
                </c:pt>
                <c:pt idx="12">
                  <c:v>3.1178571428571429</c:v>
                </c:pt>
                <c:pt idx="13">
                  <c:v>3.5111111111111111</c:v>
                </c:pt>
                <c:pt idx="14">
                  <c:v>2.8124999999999996</c:v>
                </c:pt>
                <c:pt idx="15">
                  <c:v>2.979166666666667</c:v>
                </c:pt>
                <c:pt idx="16">
                  <c:v>3.8900000000000006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B-004A-8B9C-7D40D2CE8840}"/>
            </c:ext>
          </c:extLst>
        </c:ser>
        <c:ser>
          <c:idx val="7"/>
          <c:order val="3"/>
          <c:tx>
            <c:strRef>
              <c:f>'Cumulative Food Intake'!$AU$8</c:f>
              <c:strCache>
                <c:ptCount val="1"/>
                <c:pt idx="0">
                  <c:v>LA Avg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Intake'!$AV$9:$BL$9</c:f>
                <c:numCache>
                  <c:formatCode>General</c:formatCode>
                  <c:ptCount val="17"/>
                  <c:pt idx="0">
                    <c:v>7.2222222222222854E-2</c:v>
                  </c:pt>
                  <c:pt idx="1">
                    <c:v>0.73333333333333728</c:v>
                  </c:pt>
                  <c:pt idx="2">
                    <c:v>0.56296296296296211</c:v>
                  </c:pt>
                  <c:pt idx="3">
                    <c:v>0.22962962962962985</c:v>
                  </c:pt>
                  <c:pt idx="4">
                    <c:v>0.21666666666666612</c:v>
                  </c:pt>
                  <c:pt idx="5">
                    <c:v>0.15277777777777787</c:v>
                  </c:pt>
                  <c:pt idx="6">
                    <c:v>0.29523809523809463</c:v>
                  </c:pt>
                  <c:pt idx="7">
                    <c:v>0.22380952380952457</c:v>
                  </c:pt>
                  <c:pt idx="8">
                    <c:v>4.047619047619011E-2</c:v>
                  </c:pt>
                  <c:pt idx="9">
                    <c:v>0.62142857142857111</c:v>
                  </c:pt>
                  <c:pt idx="10">
                    <c:v>4.5238095238095515E-2</c:v>
                  </c:pt>
                  <c:pt idx="11">
                    <c:v>1.9047619047619202E-2</c:v>
                  </c:pt>
                  <c:pt idx="12">
                    <c:v>0.19285714285714303</c:v>
                  </c:pt>
                  <c:pt idx="13">
                    <c:v>0.56296296296296378</c:v>
                  </c:pt>
                  <c:pt idx="14">
                    <c:v>0.10833333333333361</c:v>
                  </c:pt>
                  <c:pt idx="15">
                    <c:v>0.12222222222222155</c:v>
                  </c:pt>
                  <c:pt idx="16">
                    <c:v>0.49625000000000002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Intake'!$AV$8:$BL$8</c:f>
              <c:numCache>
                <c:formatCode>General</c:formatCode>
                <c:ptCount val="17"/>
                <c:pt idx="0">
                  <c:v>1.6277777777777784</c:v>
                </c:pt>
                <c:pt idx="1">
                  <c:v>4.5444444444444416</c:v>
                </c:pt>
                <c:pt idx="2">
                  <c:v>2.9370370370370358</c:v>
                </c:pt>
                <c:pt idx="3">
                  <c:v>2.42962962962963</c:v>
                </c:pt>
                <c:pt idx="4">
                  <c:v>2.645833333333333</c:v>
                </c:pt>
                <c:pt idx="5">
                  <c:v>2.1694444444444452</c:v>
                </c:pt>
                <c:pt idx="6">
                  <c:v>3.009523809523809</c:v>
                </c:pt>
                <c:pt idx="7">
                  <c:v>2.7619047619047619</c:v>
                </c:pt>
                <c:pt idx="8">
                  <c:v>2.2928571428571427</c:v>
                </c:pt>
                <c:pt idx="9">
                  <c:v>2.6833333333333336</c:v>
                </c:pt>
                <c:pt idx="10">
                  <c:v>2.4547619047619045</c:v>
                </c:pt>
                <c:pt idx="11">
                  <c:v>2.0238095238095237</c:v>
                </c:pt>
                <c:pt idx="12">
                  <c:v>2.4785714285714286</c:v>
                </c:pt>
                <c:pt idx="13">
                  <c:v>2.8481481481481472</c:v>
                </c:pt>
                <c:pt idx="14">
                  <c:v>2.4583333333333339</c:v>
                </c:pt>
                <c:pt idx="15">
                  <c:v>2.4111111111111097</c:v>
                </c:pt>
                <c:pt idx="16">
                  <c:v>3.816250000000001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B-004A-8B9C-7D40D2CE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939279"/>
        <c:axId val="2096337551"/>
      </c:barChart>
      <c:catAx>
        <c:axId val="209593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337551"/>
        <c:crosses val="autoZero"/>
        <c:auto val="1"/>
        <c:lblAlgn val="ctr"/>
        <c:lblOffset val="100"/>
        <c:noMultiLvlLbl val="0"/>
      </c:catAx>
      <c:valAx>
        <c:axId val="20963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 food/mouse/day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TRF vs Ad Lib Food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'Cumulative Food Intake'!$AU$2</c:f>
              <c:strCache>
                <c:ptCount val="1"/>
                <c:pt idx="0">
                  <c:v>AT Avg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Intake'!$AV$3:$BL$3</c:f>
                <c:numCache>
                  <c:formatCode>General</c:formatCode>
                  <c:ptCount val="17"/>
                  <c:pt idx="0">
                    <c:v>0.62083333333333734</c:v>
                  </c:pt>
                  <c:pt idx="1">
                    <c:v>0.21071428571428469</c:v>
                  </c:pt>
                  <c:pt idx="2">
                    <c:v>0.1819444444444431</c:v>
                  </c:pt>
                  <c:pt idx="3">
                    <c:v>4.1666666666664298E-3</c:v>
                  </c:pt>
                  <c:pt idx="4">
                    <c:v>8.7500000000000119E-2</c:v>
                  </c:pt>
                  <c:pt idx="5">
                    <c:v>2.9166666666665675E-2</c:v>
                  </c:pt>
                  <c:pt idx="6">
                    <c:v>0.12857142857142878</c:v>
                  </c:pt>
                  <c:pt idx="7">
                    <c:v>0.16071428571428512</c:v>
                  </c:pt>
                  <c:pt idx="8">
                    <c:v>0.12857142857142922</c:v>
                  </c:pt>
                  <c:pt idx="9">
                    <c:v>6.0714285714285936E-2</c:v>
                  </c:pt>
                  <c:pt idx="10">
                    <c:v>0.1124999999999996</c:v>
                  </c:pt>
                  <c:pt idx="11">
                    <c:v>4.1071428571428197E-2</c:v>
                  </c:pt>
                  <c:pt idx="12">
                    <c:v>0.40357142857143014</c:v>
                  </c:pt>
                  <c:pt idx="13">
                    <c:v>0.28425925925925899</c:v>
                  </c:pt>
                  <c:pt idx="14">
                    <c:v>4.027777777777785E-2</c:v>
                  </c:pt>
                  <c:pt idx="15">
                    <c:v>2.777777777778212E-3</c:v>
                  </c:pt>
                  <c:pt idx="16">
                    <c:v>0.34166666666666612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Intake'!$AV$2:$BL$2</c:f>
              <c:numCache>
                <c:formatCode>General</c:formatCode>
                <c:ptCount val="17"/>
                <c:pt idx="0">
                  <c:v>2.7708333333333335</c:v>
                </c:pt>
                <c:pt idx="1">
                  <c:v>2.0107142857142852</c:v>
                </c:pt>
                <c:pt idx="2">
                  <c:v>2.6930555555555569</c:v>
                </c:pt>
                <c:pt idx="3">
                  <c:v>2.4236111111111107</c:v>
                </c:pt>
                <c:pt idx="4">
                  <c:v>2.4937500000000004</c:v>
                </c:pt>
                <c:pt idx="5">
                  <c:v>2.3374999999999995</c:v>
                </c:pt>
                <c:pt idx="6">
                  <c:v>3.0142857142857142</c:v>
                </c:pt>
                <c:pt idx="7">
                  <c:v>2.9535714285714296</c:v>
                </c:pt>
                <c:pt idx="8">
                  <c:v>2.5071428571428562</c:v>
                </c:pt>
                <c:pt idx="9">
                  <c:v>2.7964285714285713</c:v>
                </c:pt>
                <c:pt idx="10">
                  <c:v>2.941071428571429</c:v>
                </c:pt>
                <c:pt idx="11">
                  <c:v>2.9089285714285715</c:v>
                </c:pt>
                <c:pt idx="12">
                  <c:v>3.4464285714285712</c:v>
                </c:pt>
                <c:pt idx="13">
                  <c:v>3.7546296296296298</c:v>
                </c:pt>
                <c:pt idx="14">
                  <c:v>2.781944444444445</c:v>
                </c:pt>
                <c:pt idx="15">
                  <c:v>2.9194444444444438</c:v>
                </c:pt>
                <c:pt idx="16">
                  <c:v>3.6083333333333334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6B49-8AAE-08E9E1854658}"/>
            </c:ext>
          </c:extLst>
        </c:ser>
        <c:ser>
          <c:idx val="3"/>
          <c:order val="1"/>
          <c:tx>
            <c:strRef>
              <c:f>'Cumulative Food Intake'!$AU$4</c:f>
              <c:strCache>
                <c:ptCount val="1"/>
                <c:pt idx="0">
                  <c:v>AA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Intake'!$AV$5:$BL$5</c:f>
                <c:numCache>
                  <c:formatCode>General</c:formatCode>
                  <c:ptCount val="17"/>
                  <c:pt idx="0">
                    <c:v>2.0833333333335702E-2</c:v>
                  </c:pt>
                  <c:pt idx="1">
                    <c:v>0.91785714285714359</c:v>
                  </c:pt>
                  <c:pt idx="2">
                    <c:v>0.60972222222222272</c:v>
                  </c:pt>
                  <c:pt idx="3">
                    <c:v>5.5555555555556017E-2</c:v>
                  </c:pt>
                  <c:pt idx="4">
                    <c:v>0.15781250000000055</c:v>
                  </c:pt>
                  <c:pt idx="5">
                    <c:v>0.11630234119699059</c:v>
                  </c:pt>
                  <c:pt idx="6">
                    <c:v>0.20999676058401931</c:v>
                  </c:pt>
                  <c:pt idx="7">
                    <c:v>0.35573532161934596</c:v>
                  </c:pt>
                  <c:pt idx="8">
                    <c:v>0.30664411333808189</c:v>
                  </c:pt>
                  <c:pt idx="9">
                    <c:v>0.25981853077530892</c:v>
                  </c:pt>
                  <c:pt idx="10">
                    <c:v>0.26394229081338566</c:v>
                  </c:pt>
                  <c:pt idx="11">
                    <c:v>4.1307979935470453E-2</c:v>
                  </c:pt>
                  <c:pt idx="12">
                    <c:v>0.64611607811178728</c:v>
                  </c:pt>
                  <c:pt idx="13">
                    <c:v>0.23518518518518566</c:v>
                  </c:pt>
                  <c:pt idx="14">
                    <c:v>0.27639935770234986</c:v>
                  </c:pt>
                  <c:pt idx="15">
                    <c:v>0.26943012562182445</c:v>
                  </c:pt>
                  <c:pt idx="16">
                    <c:v>0.18000000000000105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Intake'!$AV$4:$BL$4</c:f>
              <c:numCache>
                <c:formatCode>General</c:formatCode>
                <c:ptCount val="17"/>
                <c:pt idx="0">
                  <c:v>1.3291666666666682</c:v>
                </c:pt>
                <c:pt idx="1">
                  <c:v>3.4892857142857148</c:v>
                </c:pt>
                <c:pt idx="2">
                  <c:v>2.1791666666666663</c:v>
                </c:pt>
                <c:pt idx="3">
                  <c:v>2.2888888888888888</c:v>
                </c:pt>
                <c:pt idx="4">
                  <c:v>2.2328124999999996</c:v>
                </c:pt>
                <c:pt idx="5">
                  <c:v>2.0861111111111117</c:v>
                </c:pt>
                <c:pt idx="6">
                  <c:v>2.6214285714285714</c:v>
                </c:pt>
                <c:pt idx="7">
                  <c:v>3.4714285714285715</c:v>
                </c:pt>
                <c:pt idx="8">
                  <c:v>2.592857142857143</c:v>
                </c:pt>
                <c:pt idx="9">
                  <c:v>2.5095238095238095</c:v>
                </c:pt>
                <c:pt idx="10">
                  <c:v>3.195238095238095</c:v>
                </c:pt>
                <c:pt idx="11">
                  <c:v>2.426190476190476</c:v>
                </c:pt>
                <c:pt idx="12">
                  <c:v>3.4999999999999987</c:v>
                </c:pt>
                <c:pt idx="13">
                  <c:v>3.3407407407407415</c:v>
                </c:pt>
                <c:pt idx="14">
                  <c:v>3.013888888888888</c:v>
                </c:pt>
                <c:pt idx="15">
                  <c:v>3.1500000000000008</c:v>
                </c:pt>
                <c:pt idx="16">
                  <c:v>4.4400000000000013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2-6B49-8AAE-08E9E1854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993951"/>
        <c:axId val="2091242847"/>
      </c:barChart>
      <c:catAx>
        <c:axId val="204099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42847"/>
        <c:crosses val="autoZero"/>
        <c:auto val="1"/>
        <c:lblAlgn val="ctr"/>
        <c:lblOffset val="100"/>
        <c:noMultiLvlLbl val="0"/>
      </c:catAx>
      <c:valAx>
        <c:axId val="20912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</a:t>
                </a:r>
                <a:r>
                  <a:rPr lang="en-US" baseline="0"/>
                  <a:t> food/mosue/day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TRF vs</a:t>
            </a:r>
            <a:r>
              <a:rPr lang="en-US" baseline="0"/>
              <a:t> Ad Lib Food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'Cumulative Food Intake'!$AU$6</c:f>
              <c:strCache>
                <c:ptCount val="1"/>
                <c:pt idx="0">
                  <c:v>LT Avg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Intake'!$AV$7:$BL$7</c:f>
                <c:numCache>
                  <c:formatCode>General</c:formatCode>
                  <c:ptCount val="17"/>
                  <c:pt idx="0">
                    <c:v>4.4444444444445168E-2</c:v>
                  </c:pt>
                  <c:pt idx="1">
                    <c:v>0.48888888888888937</c:v>
                  </c:pt>
                  <c:pt idx="2">
                    <c:v>0.21481481481481435</c:v>
                  </c:pt>
                  <c:pt idx="3">
                    <c:v>9.2592592592588546E-3</c:v>
                  </c:pt>
                  <c:pt idx="4">
                    <c:v>0.15416666666666679</c:v>
                  </c:pt>
                  <c:pt idx="5">
                    <c:v>8.3333333333333467E-2</c:v>
                  </c:pt>
                  <c:pt idx="6">
                    <c:v>0.17261904761904723</c:v>
                  </c:pt>
                  <c:pt idx="7">
                    <c:v>0.33571428571428624</c:v>
                  </c:pt>
                  <c:pt idx="8">
                    <c:v>0.12380952380952359</c:v>
                  </c:pt>
                  <c:pt idx="9">
                    <c:v>1.1464285714285711</c:v>
                  </c:pt>
                  <c:pt idx="10">
                    <c:v>0.13571428571428523</c:v>
                  </c:pt>
                  <c:pt idx="11">
                    <c:v>0.2238095238095241</c:v>
                  </c:pt>
                  <c:pt idx="12">
                    <c:v>6.071428571428527E-2</c:v>
                  </c:pt>
                  <c:pt idx="13">
                    <c:v>4.4444444444444287E-2</c:v>
                  </c:pt>
                  <c:pt idx="14">
                    <c:v>8.7500000000000355E-2</c:v>
                  </c:pt>
                  <c:pt idx="15">
                    <c:v>0.1375000000000004</c:v>
                  </c:pt>
                  <c:pt idx="16">
                    <c:v>0.28000000000000108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Intake'!$AV$6:$BL$6</c:f>
              <c:numCache>
                <c:formatCode>General</c:formatCode>
                <c:ptCount val="17"/>
                <c:pt idx="0">
                  <c:v>2.066666666666666</c:v>
                </c:pt>
                <c:pt idx="1">
                  <c:v>4.9888888888888889</c:v>
                </c:pt>
                <c:pt idx="2">
                  <c:v>2.2777777777777768</c:v>
                </c:pt>
                <c:pt idx="3">
                  <c:v>3.0055555555555555</c:v>
                </c:pt>
                <c:pt idx="4">
                  <c:v>2.8666666666666671</c:v>
                </c:pt>
                <c:pt idx="5">
                  <c:v>2.3833333333333337</c:v>
                </c:pt>
                <c:pt idx="6">
                  <c:v>3.2059523809523798</c:v>
                </c:pt>
                <c:pt idx="7">
                  <c:v>3.1928571428571431</c:v>
                </c:pt>
                <c:pt idx="8">
                  <c:v>2.60952380952381</c:v>
                </c:pt>
                <c:pt idx="9">
                  <c:v>1.467857142857143</c:v>
                </c:pt>
                <c:pt idx="10">
                  <c:v>2.9214285714285708</c:v>
                </c:pt>
                <c:pt idx="11">
                  <c:v>2.8761904761904766</c:v>
                </c:pt>
                <c:pt idx="12">
                  <c:v>3.1178571428571429</c:v>
                </c:pt>
                <c:pt idx="13">
                  <c:v>3.5111111111111111</c:v>
                </c:pt>
                <c:pt idx="14">
                  <c:v>2.8124999999999996</c:v>
                </c:pt>
                <c:pt idx="15">
                  <c:v>2.979166666666667</c:v>
                </c:pt>
                <c:pt idx="16">
                  <c:v>3.8900000000000006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9-2A44-AA38-D17F1D114712}"/>
            </c:ext>
          </c:extLst>
        </c:ser>
        <c:ser>
          <c:idx val="7"/>
          <c:order val="1"/>
          <c:tx>
            <c:strRef>
              <c:f>'Cumulative Food Intake'!$AU$8</c:f>
              <c:strCache>
                <c:ptCount val="1"/>
                <c:pt idx="0">
                  <c:v>LA Avg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'Cumulative Food Intake'!$AV$9:$BL$9</c:f>
                <c:numCache>
                  <c:formatCode>General</c:formatCode>
                  <c:ptCount val="17"/>
                  <c:pt idx="0">
                    <c:v>7.2222222222222854E-2</c:v>
                  </c:pt>
                  <c:pt idx="1">
                    <c:v>0.73333333333333728</c:v>
                  </c:pt>
                  <c:pt idx="2">
                    <c:v>0.56296296296296211</c:v>
                  </c:pt>
                  <c:pt idx="3">
                    <c:v>0.22962962962962985</c:v>
                  </c:pt>
                  <c:pt idx="4">
                    <c:v>0.21666666666666612</c:v>
                  </c:pt>
                  <c:pt idx="5">
                    <c:v>0.15277777777777787</c:v>
                  </c:pt>
                  <c:pt idx="6">
                    <c:v>0.29523809523809463</c:v>
                  </c:pt>
                  <c:pt idx="7">
                    <c:v>0.22380952380952457</c:v>
                  </c:pt>
                  <c:pt idx="8">
                    <c:v>4.047619047619011E-2</c:v>
                  </c:pt>
                  <c:pt idx="9">
                    <c:v>0.62142857142857111</c:v>
                  </c:pt>
                  <c:pt idx="10">
                    <c:v>4.5238095238095515E-2</c:v>
                  </c:pt>
                  <c:pt idx="11">
                    <c:v>1.9047619047619202E-2</c:v>
                  </c:pt>
                  <c:pt idx="12">
                    <c:v>0.19285714285714303</c:v>
                  </c:pt>
                  <c:pt idx="13">
                    <c:v>0.56296296296296378</c:v>
                  </c:pt>
                  <c:pt idx="14">
                    <c:v>0.10833333333333361</c:v>
                  </c:pt>
                  <c:pt idx="15">
                    <c:v>0.12222222222222155</c:v>
                  </c:pt>
                  <c:pt idx="16">
                    <c:v>0.49625000000000002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'Cumulative Food Intake'!$AV$1:$BL$1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</c:numCache>
            </c:numRef>
          </c:cat>
          <c:val>
            <c:numRef>
              <c:f>'Cumulative Food Intake'!$AV$8:$BL$8</c:f>
              <c:numCache>
                <c:formatCode>General</c:formatCode>
                <c:ptCount val="17"/>
                <c:pt idx="0">
                  <c:v>1.6277777777777784</c:v>
                </c:pt>
                <c:pt idx="1">
                  <c:v>4.5444444444444416</c:v>
                </c:pt>
                <c:pt idx="2">
                  <c:v>2.9370370370370358</c:v>
                </c:pt>
                <c:pt idx="3">
                  <c:v>2.42962962962963</c:v>
                </c:pt>
                <c:pt idx="4">
                  <c:v>2.645833333333333</c:v>
                </c:pt>
                <c:pt idx="5">
                  <c:v>2.1694444444444452</c:v>
                </c:pt>
                <c:pt idx="6">
                  <c:v>3.009523809523809</c:v>
                </c:pt>
                <c:pt idx="7">
                  <c:v>2.7619047619047619</c:v>
                </c:pt>
                <c:pt idx="8">
                  <c:v>2.2928571428571427</c:v>
                </c:pt>
                <c:pt idx="9">
                  <c:v>2.6833333333333336</c:v>
                </c:pt>
                <c:pt idx="10">
                  <c:v>2.4547619047619045</c:v>
                </c:pt>
                <c:pt idx="11">
                  <c:v>2.0238095238095237</c:v>
                </c:pt>
                <c:pt idx="12">
                  <c:v>2.4785714285714286</c:v>
                </c:pt>
                <c:pt idx="13">
                  <c:v>2.8481481481481472</c:v>
                </c:pt>
                <c:pt idx="14">
                  <c:v>2.4583333333333339</c:v>
                </c:pt>
                <c:pt idx="15">
                  <c:v>2.4111111111111097</c:v>
                </c:pt>
                <c:pt idx="16">
                  <c:v>3.816250000000001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9-2A44-AA38-D17F1D114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522319"/>
        <c:axId val="2090158367"/>
      </c:barChart>
      <c:catAx>
        <c:axId val="209252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58367"/>
        <c:crosses val="autoZero"/>
        <c:auto val="1"/>
        <c:lblAlgn val="ctr"/>
        <c:lblOffset val="100"/>
        <c:noMultiLvlLbl val="0"/>
      </c:catAx>
      <c:valAx>
        <c:axId val="20901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 food/mouse/day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2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139345</xdr:colOff>
      <xdr:row>32</xdr:row>
      <xdr:rowOff>13051</xdr:rowOff>
    </xdr:from>
    <xdr:to>
      <xdr:col>8</xdr:col>
      <xdr:colOff>729575</xdr:colOff>
      <xdr:row>59</xdr:row>
      <xdr:rowOff>162128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290C8-3BA1-F14D-876B-972D93B2C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531080</xdr:colOff>
      <xdr:row>33</xdr:row>
      <xdr:rowOff>69496</xdr:rowOff>
    </xdr:from>
    <xdr:to>
      <xdr:col>17</xdr:col>
      <xdr:colOff>472872</xdr:colOff>
      <xdr:row>57</xdr:row>
      <xdr:rowOff>94575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7B1DC4-2DE9-3141-A197-BBE8721EF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21168</xdr:colOff>
      <xdr:row>33</xdr:row>
      <xdr:rowOff>60077</xdr:rowOff>
    </xdr:from>
    <xdr:to>
      <xdr:col>26</xdr:col>
      <xdr:colOff>432341</xdr:colOff>
      <xdr:row>57</xdr:row>
      <xdr:rowOff>81064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F7AAF3-4189-5444-8A37-A98C042D5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183292</xdr:colOff>
      <xdr:row>13</xdr:row>
      <xdr:rowOff>34779</xdr:rowOff>
    </xdr:from>
    <xdr:to>
      <xdr:col>37</xdr:col>
      <xdr:colOff>11442</xdr:colOff>
      <xdr:row>44</xdr:row>
      <xdr:rowOff>85580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E2198-1193-B540-8B52-7808C57C8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403412</xdr:colOff>
      <xdr:row>13</xdr:row>
      <xdr:rowOff>47809</xdr:rowOff>
    </xdr:from>
    <xdr:to>
      <xdr:col>53</xdr:col>
      <xdr:colOff>709707</xdr:colOff>
      <xdr:row>42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D15D3-4C93-B04E-B94B-B0456CB14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141939</xdr:colOff>
      <xdr:row>44</xdr:row>
      <xdr:rowOff>66486</xdr:rowOff>
    </xdr:from>
    <xdr:to>
      <xdr:col>51</xdr:col>
      <xdr:colOff>336175</xdr:colOff>
      <xdr:row>66</xdr:row>
      <xdr:rowOff>74706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C7EA6F-4220-5142-9EC5-9ABF041A4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211667</xdr:colOff>
      <xdr:row>1</xdr:row>
      <xdr:rowOff>162981</xdr:rowOff>
    </xdr:from>
    <xdr:to>
      <xdr:col>72</xdr:col>
      <xdr:colOff>423333</xdr:colOff>
      <xdr:row>25</xdr:row>
      <xdr:rowOff>21166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0DC948-DA92-3446-B09B-EFBA7A18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183292</xdr:colOff>
      <xdr:row>13</xdr:row>
      <xdr:rowOff>34779</xdr:rowOff>
    </xdr:from>
    <xdr:to>
      <xdr:col>41</xdr:col>
      <xdr:colOff>11442</xdr:colOff>
      <xdr:row>44</xdr:row>
      <xdr:rowOff>85580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20CFD-E782-354C-8A26-A8AD7A52D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403412</xdr:colOff>
      <xdr:row>13</xdr:row>
      <xdr:rowOff>47809</xdr:rowOff>
    </xdr:from>
    <xdr:to>
      <xdr:col>57</xdr:col>
      <xdr:colOff>709707</xdr:colOff>
      <xdr:row>42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4AB015-602C-854B-8C7C-09566D393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141939</xdr:colOff>
      <xdr:row>44</xdr:row>
      <xdr:rowOff>66486</xdr:rowOff>
    </xdr:from>
    <xdr:to>
      <xdr:col>55</xdr:col>
      <xdr:colOff>336175</xdr:colOff>
      <xdr:row>66</xdr:row>
      <xdr:rowOff>74706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C83F37-8F4E-2144-92AA-119C33603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AFA5-C636-5545-9771-6B7310353F25}">
  <dimension ref="A1:E20"/>
  <sheetViews>
    <sheetView workbookViewId="0">
      <selection activeCell="I17" sqref="I17"/>
    </sheetView>
  </sheetViews>
  <sheetFormatPr baseColWidth="10" defaultRowHeight="16"/>
  <cols>
    <col min="2" max="2" width="11.6640625" customWidth="1"/>
    <col min="3" max="3" width="13" customWidth="1"/>
  </cols>
  <sheetData>
    <row r="1" spans="1:5">
      <c r="A1" s="84" t="s">
        <v>150</v>
      </c>
      <c r="B1" s="84"/>
      <c r="C1" s="84"/>
      <c r="D1" s="84"/>
      <c r="E1" s="84"/>
    </row>
    <row r="2" spans="1:5">
      <c r="A2" s="4" t="s">
        <v>14</v>
      </c>
      <c r="B2" s="4" t="s">
        <v>152</v>
      </c>
      <c r="C2" s="4" t="s">
        <v>155</v>
      </c>
      <c r="D2" s="4" t="s">
        <v>153</v>
      </c>
      <c r="E2" s="4" t="s">
        <v>154</v>
      </c>
    </row>
    <row r="3" spans="1:5">
      <c r="A3" s="1">
        <v>1</v>
      </c>
      <c r="B3" s="2" t="s">
        <v>15</v>
      </c>
      <c r="C3" s="2" t="s">
        <v>16</v>
      </c>
      <c r="D3" s="2" t="s">
        <v>17</v>
      </c>
      <c r="E3" s="2" t="s">
        <v>18</v>
      </c>
    </row>
    <row r="4" spans="1:5">
      <c r="A4" s="1">
        <v>2</v>
      </c>
      <c r="B4" s="2" t="s">
        <v>19</v>
      </c>
      <c r="C4" s="2" t="s">
        <v>20</v>
      </c>
      <c r="D4" s="2" t="s">
        <v>21</v>
      </c>
      <c r="E4" s="2" t="s">
        <v>22</v>
      </c>
    </row>
    <row r="5" spans="1:5">
      <c r="A5" s="1">
        <v>3</v>
      </c>
      <c r="B5" s="2" t="s">
        <v>23</v>
      </c>
      <c r="C5" s="2" t="s">
        <v>24</v>
      </c>
      <c r="D5" s="2" t="s">
        <v>25</v>
      </c>
      <c r="E5" s="2" t="s">
        <v>26</v>
      </c>
    </row>
    <row r="6" spans="1:5">
      <c r="A6" s="1">
        <v>4</v>
      </c>
      <c r="B6" s="2" t="s">
        <v>27</v>
      </c>
      <c r="C6" s="2" t="s">
        <v>28</v>
      </c>
      <c r="D6" s="2" t="s">
        <v>29</v>
      </c>
      <c r="E6" s="2" t="s">
        <v>30</v>
      </c>
    </row>
    <row r="7" spans="1:5">
      <c r="A7" s="1">
        <v>5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>
      <c r="A8" s="1">
        <v>6</v>
      </c>
      <c r="B8" s="2" t="s">
        <v>35</v>
      </c>
      <c r="C8" s="2" t="s">
        <v>36</v>
      </c>
      <c r="D8" s="2" t="s">
        <v>37</v>
      </c>
      <c r="E8" s="2" t="s">
        <v>38</v>
      </c>
    </row>
    <row r="13" spans="1:5">
      <c r="A13" s="84" t="s">
        <v>151</v>
      </c>
      <c r="B13" s="84"/>
      <c r="C13" s="84"/>
      <c r="D13" s="84"/>
      <c r="E13" s="84"/>
    </row>
    <row r="14" spans="1:5">
      <c r="A14" s="4" t="s">
        <v>14</v>
      </c>
      <c r="B14" s="4" t="s">
        <v>152</v>
      </c>
      <c r="C14" s="4" t="s">
        <v>155</v>
      </c>
      <c r="D14" s="4" t="s">
        <v>153</v>
      </c>
      <c r="E14" s="4" t="s">
        <v>154</v>
      </c>
    </row>
    <row r="15" spans="1:5">
      <c r="A15" s="1">
        <v>1</v>
      </c>
      <c r="B15" s="2" t="s">
        <v>15</v>
      </c>
      <c r="C15" s="54" t="s">
        <v>156</v>
      </c>
      <c r="D15" s="2" t="s">
        <v>17</v>
      </c>
      <c r="E15" s="54" t="s">
        <v>156</v>
      </c>
    </row>
    <row r="16" spans="1:5">
      <c r="A16" s="1">
        <v>2</v>
      </c>
      <c r="B16" s="2" t="s">
        <v>19</v>
      </c>
      <c r="C16" s="2" t="s">
        <v>20</v>
      </c>
      <c r="D16" s="54" t="s">
        <v>156</v>
      </c>
      <c r="E16" s="2" t="s">
        <v>22</v>
      </c>
    </row>
    <row r="17" spans="1:5">
      <c r="A17" s="1">
        <v>3</v>
      </c>
      <c r="B17" s="2" t="s">
        <v>23</v>
      </c>
      <c r="C17" s="2" t="s">
        <v>24</v>
      </c>
      <c r="D17" s="2" t="s">
        <v>25</v>
      </c>
      <c r="E17" s="54" t="s">
        <v>156</v>
      </c>
    </row>
    <row r="18" spans="1:5">
      <c r="A18" s="1">
        <v>4</v>
      </c>
      <c r="B18" s="54" t="s">
        <v>156</v>
      </c>
      <c r="C18" s="2" t="s">
        <v>28</v>
      </c>
      <c r="D18" s="2" t="s">
        <v>29</v>
      </c>
      <c r="E18" s="2" t="s">
        <v>30</v>
      </c>
    </row>
    <row r="19" spans="1:5">
      <c r="A19" s="1">
        <v>5</v>
      </c>
      <c r="B19" s="2" t="s">
        <v>31</v>
      </c>
      <c r="C19" s="2" t="s">
        <v>32</v>
      </c>
      <c r="D19" s="2" t="s">
        <v>33</v>
      </c>
      <c r="E19" s="2" t="s">
        <v>34</v>
      </c>
    </row>
    <row r="20" spans="1:5">
      <c r="A20" s="1">
        <v>6</v>
      </c>
      <c r="B20" s="2" t="s">
        <v>35</v>
      </c>
      <c r="C20" s="2" t="s">
        <v>36</v>
      </c>
      <c r="D20" s="54" t="s">
        <v>156</v>
      </c>
      <c r="E20" s="2" t="s">
        <v>38</v>
      </c>
    </row>
  </sheetData>
  <mergeCells count="2">
    <mergeCell ref="A1:E1"/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2733-EE27-454A-977E-52025F48EBE0}">
  <dimension ref="A1:N28"/>
  <sheetViews>
    <sheetView workbookViewId="0">
      <selection activeCell="F10" sqref="F10"/>
    </sheetView>
  </sheetViews>
  <sheetFormatPr baseColWidth="10" defaultRowHeight="16"/>
  <cols>
    <col min="1" max="1" width="7.1640625" customWidth="1"/>
    <col min="2" max="2" width="20" customWidth="1"/>
  </cols>
  <sheetData>
    <row r="1" spans="1:14">
      <c r="D1" s="84" t="s">
        <v>100</v>
      </c>
      <c r="E1" s="84"/>
      <c r="F1" s="84"/>
      <c r="G1" s="84"/>
      <c r="H1" s="84"/>
      <c r="J1" s="84" t="s">
        <v>101</v>
      </c>
      <c r="K1" s="84"/>
      <c r="L1" s="84"/>
      <c r="M1" s="84"/>
      <c r="N1" s="84"/>
    </row>
    <row r="2" spans="1:14">
      <c r="A2" s="85" t="s">
        <v>9</v>
      </c>
      <c r="B2" s="85"/>
      <c r="D2" s="4" t="s">
        <v>14</v>
      </c>
      <c r="E2" s="4" t="s">
        <v>5</v>
      </c>
      <c r="F2" s="4" t="s">
        <v>6</v>
      </c>
      <c r="G2" s="4" t="s">
        <v>7</v>
      </c>
      <c r="H2" s="4" t="s">
        <v>8</v>
      </c>
      <c r="J2" s="4" t="s">
        <v>103</v>
      </c>
      <c r="K2" s="4" t="s">
        <v>5</v>
      </c>
      <c r="L2" s="4" t="s">
        <v>6</v>
      </c>
      <c r="M2" s="4" t="s">
        <v>7</v>
      </c>
      <c r="N2" s="4" t="s">
        <v>8</v>
      </c>
    </row>
    <row r="3" spans="1:14">
      <c r="A3" s="3" t="s">
        <v>10</v>
      </c>
      <c r="B3" s="3" t="s">
        <v>11</v>
      </c>
      <c r="D3" s="1">
        <v>1</v>
      </c>
      <c r="E3" s="2" t="s">
        <v>15</v>
      </c>
      <c r="F3" s="2" t="s">
        <v>16</v>
      </c>
      <c r="G3" s="2" t="s">
        <v>17</v>
      </c>
      <c r="H3" s="2" t="s">
        <v>18</v>
      </c>
      <c r="J3" s="1">
        <v>1</v>
      </c>
      <c r="K3" s="2">
        <v>123</v>
      </c>
      <c r="L3" s="2" t="s">
        <v>124</v>
      </c>
      <c r="M3" s="2">
        <v>130</v>
      </c>
      <c r="N3" s="2">
        <v>132</v>
      </c>
    </row>
    <row r="4" spans="1:14">
      <c r="A4" s="1" t="s">
        <v>5</v>
      </c>
      <c r="B4" s="2" t="s">
        <v>2</v>
      </c>
      <c r="D4" s="1">
        <v>2</v>
      </c>
      <c r="E4" s="2" t="s">
        <v>19</v>
      </c>
      <c r="F4" s="2" t="s">
        <v>20</v>
      </c>
      <c r="G4" s="2" t="s">
        <v>21</v>
      </c>
      <c r="H4" s="2" t="s">
        <v>22</v>
      </c>
      <c r="J4" s="1">
        <v>2</v>
      </c>
      <c r="K4" s="2">
        <v>124</v>
      </c>
      <c r="L4" s="2">
        <v>126</v>
      </c>
      <c r="M4" s="2">
        <v>131</v>
      </c>
      <c r="N4" s="2">
        <v>133</v>
      </c>
    </row>
    <row r="5" spans="1:14">
      <c r="A5" s="1" t="s">
        <v>6</v>
      </c>
      <c r="B5" s="2" t="s">
        <v>12</v>
      </c>
      <c r="D5" s="1">
        <v>3</v>
      </c>
      <c r="E5" s="2" t="s">
        <v>23</v>
      </c>
      <c r="F5" s="2" t="s">
        <v>24</v>
      </c>
      <c r="G5" s="2" t="s">
        <v>25</v>
      </c>
      <c r="H5" s="2" t="s">
        <v>26</v>
      </c>
      <c r="J5" s="37">
        <v>3</v>
      </c>
      <c r="K5" s="31"/>
      <c r="L5" s="41" t="s">
        <v>28</v>
      </c>
      <c r="M5" s="31"/>
      <c r="N5" s="31"/>
    </row>
    <row r="6" spans="1:14">
      <c r="A6" s="1" t="s">
        <v>7</v>
      </c>
      <c r="B6" s="2" t="s">
        <v>3</v>
      </c>
      <c r="D6" s="1">
        <v>4</v>
      </c>
      <c r="E6" s="2" t="s">
        <v>27</v>
      </c>
      <c r="F6" s="2" t="s">
        <v>28</v>
      </c>
      <c r="G6" s="2" t="s">
        <v>29</v>
      </c>
      <c r="H6" s="2" t="s">
        <v>30</v>
      </c>
      <c r="J6" s="37"/>
      <c r="K6" s="31"/>
      <c r="L6" s="31"/>
      <c r="M6" s="31"/>
      <c r="N6" s="31"/>
    </row>
    <row r="7" spans="1:14">
      <c r="A7" s="1" t="s">
        <v>8</v>
      </c>
      <c r="B7" s="2" t="s">
        <v>13</v>
      </c>
      <c r="D7" s="1">
        <v>5</v>
      </c>
      <c r="E7" s="2" t="s">
        <v>31</v>
      </c>
      <c r="F7" s="2" t="s">
        <v>32</v>
      </c>
      <c r="G7" s="2" t="s">
        <v>33</v>
      </c>
      <c r="H7" s="2" t="s">
        <v>34</v>
      </c>
      <c r="J7" s="37" t="s">
        <v>121</v>
      </c>
      <c r="K7" s="31"/>
      <c r="L7" s="31"/>
      <c r="M7" s="31"/>
      <c r="N7" s="31"/>
    </row>
    <row r="8" spans="1:14">
      <c r="D8" s="1">
        <v>6</v>
      </c>
      <c r="E8" s="2" t="s">
        <v>35</v>
      </c>
      <c r="F8" s="2" t="s">
        <v>36</v>
      </c>
      <c r="G8" s="2" t="s">
        <v>37</v>
      </c>
      <c r="H8" s="2" t="s">
        <v>38</v>
      </c>
      <c r="J8" s="37"/>
      <c r="K8" s="38" t="s">
        <v>5</v>
      </c>
      <c r="L8" s="38" t="s">
        <v>6</v>
      </c>
      <c r="M8" s="38" t="s">
        <v>7</v>
      </c>
      <c r="N8" s="38" t="s">
        <v>8</v>
      </c>
    </row>
    <row r="9" spans="1:14">
      <c r="J9" s="37">
        <v>1</v>
      </c>
      <c r="K9" s="31">
        <v>4</v>
      </c>
      <c r="L9" s="31">
        <v>4</v>
      </c>
      <c r="M9" s="39">
        <v>3</v>
      </c>
      <c r="N9" s="39">
        <v>3</v>
      </c>
    </row>
    <row r="10" spans="1:14">
      <c r="J10" s="37">
        <v>2</v>
      </c>
      <c r="K10" s="31">
        <v>2</v>
      </c>
      <c r="L10" s="31">
        <v>2</v>
      </c>
      <c r="M10" s="39">
        <v>3</v>
      </c>
      <c r="N10" s="39">
        <v>3</v>
      </c>
    </row>
    <row r="12" spans="1:14">
      <c r="J12" s="43" t="s">
        <v>123</v>
      </c>
    </row>
    <row r="13" spans="1:14">
      <c r="J13" s="37"/>
      <c r="K13" s="38" t="s">
        <v>5</v>
      </c>
      <c r="L13" s="38" t="s">
        <v>6</v>
      </c>
      <c r="M13" s="38" t="s">
        <v>7</v>
      </c>
      <c r="N13" s="38" t="s">
        <v>8</v>
      </c>
    </row>
    <row r="14" spans="1:14">
      <c r="J14" s="37">
        <v>1</v>
      </c>
      <c r="K14" s="31">
        <v>4</v>
      </c>
      <c r="L14" s="31">
        <v>3</v>
      </c>
      <c r="M14" s="39">
        <v>3</v>
      </c>
      <c r="N14" s="39">
        <v>3</v>
      </c>
    </row>
    <row r="15" spans="1:14">
      <c r="J15" s="37">
        <v>2</v>
      </c>
      <c r="K15" s="31">
        <v>2</v>
      </c>
      <c r="L15" s="31">
        <v>2</v>
      </c>
      <c r="M15" s="39">
        <v>3</v>
      </c>
      <c r="N15" s="39">
        <v>3</v>
      </c>
    </row>
    <row r="16" spans="1:14">
      <c r="L16">
        <v>1</v>
      </c>
    </row>
    <row r="18" spans="10:14">
      <c r="J18" s="43" t="s">
        <v>123</v>
      </c>
    </row>
    <row r="19" spans="10:14">
      <c r="J19" s="37"/>
      <c r="K19" s="38" t="s">
        <v>5</v>
      </c>
      <c r="L19" s="38" t="s">
        <v>6</v>
      </c>
      <c r="M19" s="38" t="s">
        <v>7</v>
      </c>
      <c r="N19" s="38" t="s">
        <v>8</v>
      </c>
    </row>
    <row r="20" spans="10:14">
      <c r="J20" s="37">
        <v>1</v>
      </c>
      <c r="K20" s="31">
        <v>4</v>
      </c>
      <c r="L20" s="31">
        <v>2</v>
      </c>
      <c r="M20" s="39">
        <v>3</v>
      </c>
      <c r="N20" s="39">
        <v>3</v>
      </c>
    </row>
    <row r="21" spans="10:14">
      <c r="J21" s="37">
        <v>2</v>
      </c>
      <c r="K21" s="31">
        <v>2</v>
      </c>
      <c r="L21" s="31">
        <v>2</v>
      </c>
      <c r="M21" s="39">
        <v>2</v>
      </c>
      <c r="N21" s="39">
        <v>3</v>
      </c>
    </row>
    <row r="22" spans="10:14">
      <c r="L22">
        <v>2</v>
      </c>
    </row>
    <row r="24" spans="10:14">
      <c r="J24" s="43" t="s">
        <v>132</v>
      </c>
    </row>
    <row r="25" spans="10:14">
      <c r="J25" s="37"/>
      <c r="K25" s="38" t="s">
        <v>5</v>
      </c>
      <c r="L25" s="38" t="s">
        <v>6</v>
      </c>
      <c r="M25" s="38" t="s">
        <v>7</v>
      </c>
      <c r="N25" s="38" t="s">
        <v>8</v>
      </c>
    </row>
    <row r="26" spans="10:14">
      <c r="J26" s="37">
        <v>1</v>
      </c>
      <c r="K26" s="31">
        <v>3</v>
      </c>
      <c r="L26" s="31">
        <v>3</v>
      </c>
      <c r="M26" s="39">
        <v>3</v>
      </c>
      <c r="N26" s="39">
        <v>3</v>
      </c>
    </row>
    <row r="27" spans="10:14">
      <c r="J27" s="37">
        <v>2</v>
      </c>
      <c r="K27" s="31">
        <v>2</v>
      </c>
      <c r="L27" s="31">
        <v>2</v>
      </c>
      <c r="M27" s="39">
        <v>2</v>
      </c>
      <c r="N27" s="39">
        <v>3</v>
      </c>
    </row>
    <row r="28" spans="10:14">
      <c r="L28">
        <v>1</v>
      </c>
    </row>
  </sheetData>
  <mergeCells count="3">
    <mergeCell ref="A2:B2"/>
    <mergeCell ref="D1:H1"/>
    <mergeCell ref="J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637D-E747-3E4B-B6B7-2F08205C278D}">
  <dimension ref="A1:FR38"/>
  <sheetViews>
    <sheetView tabSelected="1" topLeftCell="C26" zoomScale="58" zoomScaleNormal="94" workbookViewId="0">
      <selection activeCell="BG4" sqref="BG4"/>
    </sheetView>
  </sheetViews>
  <sheetFormatPr baseColWidth="10" defaultRowHeight="16"/>
  <sheetData>
    <row r="1" spans="1:174">
      <c r="A1" s="5" t="s">
        <v>1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4</v>
      </c>
      <c r="G1" s="16" t="s">
        <v>53</v>
      </c>
      <c r="H1" s="5" t="s">
        <v>83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4</v>
      </c>
      <c r="N1" s="16" t="s">
        <v>54</v>
      </c>
      <c r="O1" s="13" t="s">
        <v>0</v>
      </c>
      <c r="P1" s="14" t="s">
        <v>5</v>
      </c>
      <c r="Q1" s="14" t="s">
        <v>6</v>
      </c>
      <c r="R1" s="14" t="s">
        <v>7</v>
      </c>
      <c r="S1" s="14" t="s">
        <v>8</v>
      </c>
      <c r="T1" s="14" t="s">
        <v>4</v>
      </c>
      <c r="U1" s="26" t="s">
        <v>56</v>
      </c>
      <c r="V1" s="13" t="s">
        <v>52</v>
      </c>
      <c r="W1" s="14" t="s">
        <v>5</v>
      </c>
      <c r="X1" s="14" t="s">
        <v>6</v>
      </c>
      <c r="Y1" s="14" t="s">
        <v>7</v>
      </c>
      <c r="Z1" s="14" t="s">
        <v>8</v>
      </c>
      <c r="AA1" s="14" t="s">
        <v>4</v>
      </c>
      <c r="AB1" s="26" t="s">
        <v>58</v>
      </c>
      <c r="AC1" s="13" t="s">
        <v>55</v>
      </c>
      <c r="AD1" s="14" t="s">
        <v>5</v>
      </c>
      <c r="AE1" s="14" t="s">
        <v>6</v>
      </c>
      <c r="AF1" s="14" t="s">
        <v>7</v>
      </c>
      <c r="AG1" s="14" t="s">
        <v>8</v>
      </c>
      <c r="AH1" s="14" t="s">
        <v>4</v>
      </c>
      <c r="AI1" s="26" t="s">
        <v>60</v>
      </c>
      <c r="AJ1" s="13" t="s">
        <v>57</v>
      </c>
      <c r="AK1" s="14" t="s">
        <v>5</v>
      </c>
      <c r="AL1" s="14" t="s">
        <v>6</v>
      </c>
      <c r="AM1" s="14" t="s">
        <v>7</v>
      </c>
      <c r="AN1" s="14" t="s">
        <v>8</v>
      </c>
      <c r="AO1" s="14" t="s">
        <v>4</v>
      </c>
      <c r="AP1" s="26" t="s">
        <v>60</v>
      </c>
      <c r="AQ1" s="13" t="s">
        <v>59</v>
      </c>
      <c r="AR1" s="14" t="s">
        <v>5</v>
      </c>
      <c r="AS1" s="14" t="s">
        <v>6</v>
      </c>
      <c r="AT1" s="14" t="s">
        <v>7</v>
      </c>
      <c r="AU1" s="14" t="s">
        <v>8</v>
      </c>
      <c r="AV1" s="14" t="s">
        <v>4</v>
      </c>
      <c r="AW1" s="26" t="s">
        <v>60</v>
      </c>
      <c r="AX1" s="13" t="s">
        <v>61</v>
      </c>
      <c r="AY1" s="14" t="s">
        <v>5</v>
      </c>
      <c r="AZ1" s="14" t="s">
        <v>6</v>
      </c>
      <c r="BA1" s="14" t="s">
        <v>7</v>
      </c>
      <c r="BB1" s="14" t="s">
        <v>8</v>
      </c>
      <c r="BC1" s="14" t="s">
        <v>4</v>
      </c>
      <c r="BD1" s="26" t="s">
        <v>60</v>
      </c>
      <c r="BE1" s="13" t="s">
        <v>62</v>
      </c>
      <c r="BF1" s="14" t="s">
        <v>5</v>
      </c>
      <c r="BG1" s="14" t="s">
        <v>6</v>
      </c>
      <c r="BH1" s="14" t="s">
        <v>7</v>
      </c>
      <c r="BI1" s="14" t="s">
        <v>8</v>
      </c>
      <c r="BJ1" s="14" t="s">
        <v>4</v>
      </c>
      <c r="BK1" s="26" t="s">
        <v>58</v>
      </c>
      <c r="BL1" s="13" t="s">
        <v>63</v>
      </c>
      <c r="BM1" s="14" t="s">
        <v>5</v>
      </c>
      <c r="BN1" s="14" t="s">
        <v>6</v>
      </c>
      <c r="BO1" s="14" t="s">
        <v>7</v>
      </c>
      <c r="BP1" s="14" t="s">
        <v>8</v>
      </c>
      <c r="BQ1" s="14" t="s">
        <v>4</v>
      </c>
      <c r="BR1" s="26" t="s">
        <v>66</v>
      </c>
      <c r="BS1" s="13" t="s">
        <v>64</v>
      </c>
      <c r="BT1" s="14" t="s">
        <v>5</v>
      </c>
      <c r="BU1" s="14" t="s">
        <v>6</v>
      </c>
      <c r="BV1" s="14" t="s">
        <v>7</v>
      </c>
      <c r="BW1" s="14" t="s">
        <v>8</v>
      </c>
      <c r="BX1" s="14" t="s">
        <v>4</v>
      </c>
      <c r="BY1" s="26" t="s">
        <v>68</v>
      </c>
      <c r="BZ1" s="13" t="s">
        <v>65</v>
      </c>
      <c r="CA1" s="14" t="s">
        <v>5</v>
      </c>
      <c r="CB1" s="14" t="s">
        <v>6</v>
      </c>
      <c r="CC1" s="14" t="s">
        <v>7</v>
      </c>
      <c r="CD1" s="14" t="s">
        <v>8</v>
      </c>
      <c r="CE1" s="14" t="s">
        <v>4</v>
      </c>
      <c r="CF1" s="26" t="s">
        <v>70</v>
      </c>
      <c r="CG1" s="13" t="s">
        <v>67</v>
      </c>
      <c r="CH1" s="14" t="s">
        <v>5</v>
      </c>
      <c r="CI1" s="14" t="s">
        <v>6</v>
      </c>
      <c r="CJ1" s="14" t="s">
        <v>7</v>
      </c>
      <c r="CK1" s="14" t="s">
        <v>8</v>
      </c>
      <c r="CL1" s="14" t="s">
        <v>4</v>
      </c>
      <c r="CM1" s="26" t="s">
        <v>60</v>
      </c>
      <c r="CN1" s="13" t="s">
        <v>69</v>
      </c>
      <c r="CO1" s="14" t="s">
        <v>5</v>
      </c>
      <c r="CP1" s="14" t="s">
        <v>6</v>
      </c>
      <c r="CQ1" s="14" t="s">
        <v>7</v>
      </c>
      <c r="CR1" s="14" t="s">
        <v>8</v>
      </c>
      <c r="CS1" s="14" t="s">
        <v>4</v>
      </c>
      <c r="CT1" s="26" t="s">
        <v>60</v>
      </c>
      <c r="CU1" s="13" t="s">
        <v>71</v>
      </c>
      <c r="CV1" s="14" t="s">
        <v>5</v>
      </c>
      <c r="CW1" s="14" t="s">
        <v>6</v>
      </c>
      <c r="CX1" s="14" t="s">
        <v>7</v>
      </c>
      <c r="CY1" s="14" t="s">
        <v>8</v>
      </c>
      <c r="CZ1" s="14" t="s">
        <v>4</v>
      </c>
      <c r="DA1" s="26" t="s">
        <v>60</v>
      </c>
      <c r="DB1" s="13" t="s">
        <v>72</v>
      </c>
      <c r="DC1" s="14" t="s">
        <v>5</v>
      </c>
      <c r="DD1" s="14" t="s">
        <v>6</v>
      </c>
      <c r="DE1" s="14" t="s">
        <v>7</v>
      </c>
      <c r="DF1" s="14" t="s">
        <v>8</v>
      </c>
      <c r="DG1" s="14" t="s">
        <v>4</v>
      </c>
      <c r="DH1" s="26" t="s">
        <v>60</v>
      </c>
      <c r="DI1" s="13" t="s">
        <v>73</v>
      </c>
      <c r="DJ1" s="14" t="s">
        <v>5</v>
      </c>
      <c r="DK1" s="14" t="s">
        <v>6</v>
      </c>
      <c r="DL1" s="14" t="s">
        <v>7</v>
      </c>
      <c r="DM1" s="14" t="s">
        <v>8</v>
      </c>
      <c r="DN1" s="14" t="s">
        <v>4</v>
      </c>
      <c r="DO1" s="26" t="s">
        <v>56</v>
      </c>
      <c r="DP1" s="13" t="s">
        <v>74</v>
      </c>
      <c r="DQ1" s="14" t="s">
        <v>5</v>
      </c>
      <c r="DR1" s="14" t="s">
        <v>6</v>
      </c>
      <c r="DS1" s="14" t="s">
        <v>7</v>
      </c>
      <c r="DT1" s="14" t="s">
        <v>8</v>
      </c>
      <c r="DU1" s="14" t="s">
        <v>4</v>
      </c>
      <c r="DV1" s="26" t="s">
        <v>60</v>
      </c>
      <c r="DW1" s="13" t="s">
        <v>75</v>
      </c>
      <c r="DX1" s="14" t="s">
        <v>5</v>
      </c>
      <c r="DY1" s="14" t="s">
        <v>6</v>
      </c>
      <c r="DZ1" s="14" t="s">
        <v>7</v>
      </c>
      <c r="EA1" s="14" t="s">
        <v>8</v>
      </c>
      <c r="EB1" s="14" t="s">
        <v>4</v>
      </c>
      <c r="EC1" s="26" t="s">
        <v>60</v>
      </c>
      <c r="ED1" s="13" t="s">
        <v>76</v>
      </c>
      <c r="EE1" s="14" t="s">
        <v>5</v>
      </c>
      <c r="EF1" s="14" t="s">
        <v>6</v>
      </c>
      <c r="EG1" s="14" t="s">
        <v>7</v>
      </c>
      <c r="EH1" s="14" t="s">
        <v>8</v>
      </c>
      <c r="EI1" s="14" t="s">
        <v>4</v>
      </c>
      <c r="EJ1" s="26" t="s">
        <v>58</v>
      </c>
      <c r="EK1" s="13" t="s">
        <v>77</v>
      </c>
      <c r="EL1" s="14" t="s">
        <v>5</v>
      </c>
      <c r="EM1" s="14" t="s">
        <v>6</v>
      </c>
      <c r="EN1" s="14" t="s">
        <v>7</v>
      </c>
      <c r="EO1" s="14" t="s">
        <v>8</v>
      </c>
      <c r="EP1" s="14" t="s">
        <v>4</v>
      </c>
      <c r="EQ1" s="26" t="s">
        <v>70</v>
      </c>
      <c r="ER1" s="13" t="s">
        <v>78</v>
      </c>
      <c r="ES1" s="14" t="s">
        <v>5</v>
      </c>
      <c r="ET1" s="14" t="s">
        <v>6</v>
      </c>
      <c r="EU1" s="14" t="s">
        <v>7</v>
      </c>
      <c r="EV1" s="14" t="s">
        <v>8</v>
      </c>
      <c r="EW1" s="14" t="s">
        <v>4</v>
      </c>
      <c r="EX1" s="26" t="s">
        <v>70</v>
      </c>
      <c r="EY1" s="13" t="s">
        <v>80</v>
      </c>
      <c r="EZ1" s="14" t="s">
        <v>5</v>
      </c>
      <c r="FA1" s="14" t="s">
        <v>6</v>
      </c>
      <c r="FB1" s="14" t="s">
        <v>7</v>
      </c>
      <c r="FC1" s="14" t="s">
        <v>8</v>
      </c>
      <c r="FD1" s="14" t="s">
        <v>4</v>
      </c>
      <c r="FE1" s="26" t="s">
        <v>68</v>
      </c>
      <c r="FF1" s="13" t="s">
        <v>81</v>
      </c>
      <c r="FG1" s="14" t="s">
        <v>5</v>
      </c>
      <c r="FH1" s="14" t="s">
        <v>6</v>
      </c>
      <c r="FI1" s="14" t="s">
        <v>7</v>
      </c>
      <c r="FJ1" s="14" t="s">
        <v>8</v>
      </c>
      <c r="FK1" s="14" t="s">
        <v>4</v>
      </c>
      <c r="FL1" s="26" t="s">
        <v>66</v>
      </c>
      <c r="FM1" s="13" t="s">
        <v>82</v>
      </c>
      <c r="FN1" s="14" t="s">
        <v>5</v>
      </c>
      <c r="FO1" s="14" t="s">
        <v>6</v>
      </c>
      <c r="FP1" s="14" t="s">
        <v>7</v>
      </c>
      <c r="FQ1" s="14" t="s">
        <v>8</v>
      </c>
      <c r="FR1" s="14" t="s">
        <v>4</v>
      </c>
    </row>
    <row r="2" spans="1:174">
      <c r="A2">
        <v>1</v>
      </c>
      <c r="B2">
        <v>26.7</v>
      </c>
      <c r="C2">
        <v>24.4</v>
      </c>
      <c r="D2">
        <v>24.5</v>
      </c>
      <c r="E2">
        <v>24</v>
      </c>
      <c r="F2">
        <v>0</v>
      </c>
      <c r="H2">
        <v>1</v>
      </c>
      <c r="I2" t="s">
        <v>51</v>
      </c>
      <c r="J2" t="s">
        <v>51</v>
      </c>
      <c r="K2" t="s">
        <v>51</v>
      </c>
      <c r="L2" t="s">
        <v>51</v>
      </c>
      <c r="M2">
        <v>0.5</v>
      </c>
      <c r="O2" s="15">
        <v>1</v>
      </c>
      <c r="P2" s="17">
        <v>23.7</v>
      </c>
      <c r="Q2" s="15">
        <v>23.1</v>
      </c>
      <c r="R2" s="15">
        <v>22.7</v>
      </c>
      <c r="S2" s="15">
        <v>23</v>
      </c>
      <c r="T2" s="15">
        <v>1</v>
      </c>
      <c r="V2" s="15">
        <v>1</v>
      </c>
      <c r="W2" s="24">
        <v>23.8</v>
      </c>
      <c r="X2" s="15">
        <v>22.2</v>
      </c>
      <c r="Y2" s="15">
        <v>23.7</v>
      </c>
      <c r="Z2" s="15">
        <v>23.2</v>
      </c>
      <c r="AA2" s="15">
        <v>2</v>
      </c>
      <c r="AC2" s="15">
        <v>1</v>
      </c>
      <c r="AD2" s="24">
        <v>26.7</v>
      </c>
      <c r="AE2" s="15">
        <v>23.6</v>
      </c>
      <c r="AF2" s="15">
        <v>23</v>
      </c>
      <c r="AG2" s="15">
        <v>24</v>
      </c>
      <c r="AH2" s="15">
        <v>3</v>
      </c>
      <c r="AJ2" s="15">
        <v>1</v>
      </c>
      <c r="AK2" s="24">
        <v>26.9</v>
      </c>
      <c r="AL2" s="15">
        <v>24.6</v>
      </c>
      <c r="AM2" s="15">
        <v>25.2</v>
      </c>
      <c r="AN2" s="15">
        <v>23.9</v>
      </c>
      <c r="AO2" s="15">
        <v>4</v>
      </c>
      <c r="AQ2" s="15">
        <v>1</v>
      </c>
      <c r="AR2" s="24">
        <v>27.9</v>
      </c>
      <c r="AS2" s="15">
        <v>24.5</v>
      </c>
      <c r="AT2" s="15">
        <v>26</v>
      </c>
      <c r="AU2" s="15">
        <v>24.6</v>
      </c>
      <c r="AV2" s="15">
        <v>5</v>
      </c>
      <c r="AX2" s="15">
        <v>1</v>
      </c>
      <c r="AY2" s="24">
        <v>27.5</v>
      </c>
      <c r="AZ2" s="15">
        <v>25.2</v>
      </c>
      <c r="BA2" s="15">
        <v>26.7</v>
      </c>
      <c r="BB2" s="15">
        <v>25</v>
      </c>
      <c r="BC2" s="15">
        <v>6</v>
      </c>
      <c r="BE2" s="15">
        <v>1</v>
      </c>
      <c r="BF2" s="24">
        <v>28.1</v>
      </c>
      <c r="BG2" s="15">
        <v>24.1</v>
      </c>
      <c r="BH2" s="15">
        <v>27.2</v>
      </c>
      <c r="BI2" s="15">
        <v>25.4</v>
      </c>
      <c r="BJ2" s="15">
        <v>7</v>
      </c>
      <c r="BL2" s="15">
        <v>1</v>
      </c>
      <c r="BM2" s="24">
        <v>28.9</v>
      </c>
      <c r="BN2" s="15">
        <v>25.5</v>
      </c>
      <c r="BO2" s="15">
        <v>28.2</v>
      </c>
      <c r="BP2" s="15">
        <v>28</v>
      </c>
      <c r="BQ2" s="15">
        <v>8</v>
      </c>
      <c r="BS2" s="15">
        <v>1</v>
      </c>
      <c r="BT2" s="24">
        <v>29.6</v>
      </c>
      <c r="BU2" s="15">
        <v>27.2</v>
      </c>
      <c r="BV2" s="15">
        <v>28.2</v>
      </c>
      <c r="BW2" s="15">
        <v>25.6</v>
      </c>
      <c r="BX2" s="15">
        <v>9</v>
      </c>
      <c r="BZ2" s="15">
        <v>1</v>
      </c>
      <c r="CA2" s="24">
        <v>31.2</v>
      </c>
      <c r="CB2" s="15">
        <v>25.5</v>
      </c>
      <c r="CC2" s="15">
        <v>28.6</v>
      </c>
      <c r="CD2" s="15">
        <v>26.3</v>
      </c>
      <c r="CE2" s="15">
        <v>10</v>
      </c>
      <c r="CG2" s="15">
        <v>1</v>
      </c>
      <c r="CH2" s="24">
        <v>30.4</v>
      </c>
      <c r="CI2" s="15">
        <v>25.3</v>
      </c>
      <c r="CJ2" s="15">
        <v>29.8</v>
      </c>
      <c r="CK2" s="15">
        <v>27.7</v>
      </c>
      <c r="CL2" s="15">
        <v>11</v>
      </c>
      <c r="CN2" s="15">
        <v>1</v>
      </c>
      <c r="CO2" s="24">
        <v>32.700000000000003</v>
      </c>
      <c r="CP2" s="15">
        <v>26</v>
      </c>
      <c r="CQ2" s="15">
        <v>28.9</v>
      </c>
      <c r="CR2" s="15">
        <v>25.5</v>
      </c>
      <c r="CS2" s="15">
        <v>12</v>
      </c>
      <c r="CU2" s="15">
        <v>1</v>
      </c>
      <c r="CV2" s="24">
        <v>32.299999999999997</v>
      </c>
      <c r="CW2" s="15">
        <v>27.3</v>
      </c>
      <c r="CX2" s="15">
        <v>29.9</v>
      </c>
      <c r="CY2" s="15">
        <v>25.2</v>
      </c>
      <c r="CZ2" s="15">
        <v>13</v>
      </c>
      <c r="DB2" s="15">
        <v>1</v>
      </c>
      <c r="DC2" s="24">
        <v>34.6</v>
      </c>
      <c r="DD2" s="15">
        <v>26.9</v>
      </c>
      <c r="DE2" s="15">
        <v>29.3</v>
      </c>
      <c r="DF2" s="15">
        <v>26.5</v>
      </c>
      <c r="DG2" s="15">
        <v>14</v>
      </c>
      <c r="DI2" s="15">
        <v>1</v>
      </c>
      <c r="DJ2" s="24">
        <v>34.6</v>
      </c>
      <c r="DK2" s="15">
        <v>27.9</v>
      </c>
      <c r="DL2" s="15">
        <v>30.5</v>
      </c>
      <c r="DM2" s="15">
        <v>26.9</v>
      </c>
      <c r="DN2" s="15">
        <v>15</v>
      </c>
      <c r="DP2" s="15">
        <v>1</v>
      </c>
      <c r="DQ2" s="24">
        <v>36.299999999999997</v>
      </c>
      <c r="DR2" s="15">
        <v>26</v>
      </c>
      <c r="DS2" s="15">
        <v>30.6</v>
      </c>
      <c r="DT2" s="15">
        <v>26.5</v>
      </c>
      <c r="DU2" s="15">
        <v>16</v>
      </c>
      <c r="DW2" s="15">
        <v>1</v>
      </c>
      <c r="DX2" s="24">
        <v>36.1</v>
      </c>
      <c r="DY2" s="15">
        <v>30.8</v>
      </c>
      <c r="DZ2" s="15">
        <v>29.8</v>
      </c>
      <c r="EA2" s="15">
        <v>26.3</v>
      </c>
      <c r="EB2" s="15">
        <v>17</v>
      </c>
      <c r="ED2" s="15">
        <v>1</v>
      </c>
      <c r="EE2" s="24">
        <v>37.6</v>
      </c>
      <c r="EF2" s="27" t="s">
        <v>79</v>
      </c>
      <c r="EG2" s="15">
        <v>31.1</v>
      </c>
      <c r="EH2" s="15">
        <v>23.6</v>
      </c>
      <c r="EI2" s="15">
        <v>18</v>
      </c>
      <c r="EK2" s="15">
        <v>1</v>
      </c>
      <c r="EL2" t="s">
        <v>51</v>
      </c>
      <c r="EM2" s="27" t="s">
        <v>79</v>
      </c>
      <c r="EN2" t="s">
        <v>51</v>
      </c>
      <c r="EO2" t="s">
        <v>51</v>
      </c>
      <c r="EP2" s="15">
        <v>19</v>
      </c>
      <c r="ER2" s="15">
        <v>1</v>
      </c>
      <c r="ES2">
        <v>38.200000000000003</v>
      </c>
      <c r="ET2" s="27" t="s">
        <v>79</v>
      </c>
      <c r="EU2">
        <v>31.9</v>
      </c>
      <c r="EV2" s="27" t="s">
        <v>79</v>
      </c>
      <c r="EW2" s="15">
        <v>20</v>
      </c>
      <c r="EY2" s="15">
        <v>1</v>
      </c>
      <c r="EZ2">
        <v>38.200000000000003</v>
      </c>
      <c r="FA2" s="27" t="s">
        <v>79</v>
      </c>
      <c r="FB2">
        <v>32.700000000000003</v>
      </c>
      <c r="FC2" s="27" t="s">
        <v>79</v>
      </c>
      <c r="FD2" s="15">
        <v>21</v>
      </c>
      <c r="FF2" s="15">
        <v>1</v>
      </c>
      <c r="FG2" t="s">
        <v>84</v>
      </c>
      <c r="FH2" s="27" t="s">
        <v>79</v>
      </c>
      <c r="FI2" t="s">
        <v>84</v>
      </c>
      <c r="FJ2" s="27" t="s">
        <v>79</v>
      </c>
      <c r="FK2" s="15">
        <v>22</v>
      </c>
      <c r="FM2" s="15">
        <v>1</v>
      </c>
      <c r="FN2">
        <v>36.4</v>
      </c>
      <c r="FO2" s="27" t="s">
        <v>79</v>
      </c>
      <c r="FP2">
        <v>32.4</v>
      </c>
      <c r="FQ2" s="27" t="s">
        <v>79</v>
      </c>
      <c r="FR2" s="15">
        <v>23</v>
      </c>
    </row>
    <row r="3" spans="1:174">
      <c r="A3">
        <v>2</v>
      </c>
      <c r="B3">
        <v>24.6</v>
      </c>
      <c r="C3">
        <v>24.9</v>
      </c>
      <c r="D3">
        <v>25.6</v>
      </c>
      <c r="E3">
        <v>25.5</v>
      </c>
      <c r="F3">
        <v>0</v>
      </c>
      <c r="H3">
        <v>2</v>
      </c>
      <c r="I3" t="s">
        <v>51</v>
      </c>
      <c r="J3" t="s">
        <v>51</v>
      </c>
      <c r="K3" t="s">
        <v>51</v>
      </c>
      <c r="L3" t="s">
        <v>51</v>
      </c>
      <c r="M3">
        <v>0.5</v>
      </c>
      <c r="O3" s="15">
        <v>2</v>
      </c>
      <c r="P3" s="17">
        <v>22.9</v>
      </c>
      <c r="Q3" s="15">
        <v>22.3</v>
      </c>
      <c r="R3" s="15">
        <v>24.3</v>
      </c>
      <c r="S3" s="15">
        <v>25.2</v>
      </c>
      <c r="T3" s="15">
        <v>1</v>
      </c>
      <c r="V3" s="15">
        <v>2</v>
      </c>
      <c r="W3" s="24">
        <v>23.5</v>
      </c>
      <c r="X3" s="15">
        <v>24</v>
      </c>
      <c r="Y3" s="15">
        <v>25</v>
      </c>
      <c r="Z3" s="15">
        <v>25.9</v>
      </c>
      <c r="AA3" s="15">
        <v>2</v>
      </c>
      <c r="AC3" s="15">
        <v>2</v>
      </c>
      <c r="AD3" s="24">
        <v>24</v>
      </c>
      <c r="AE3" s="15">
        <v>23</v>
      </c>
      <c r="AF3" s="15">
        <v>25.5</v>
      </c>
      <c r="AG3" s="15">
        <v>26.9</v>
      </c>
      <c r="AH3" s="15">
        <v>3</v>
      </c>
      <c r="AJ3" s="15">
        <v>2</v>
      </c>
      <c r="AK3" s="24">
        <v>25.7</v>
      </c>
      <c r="AL3" s="15">
        <v>25.6</v>
      </c>
      <c r="AM3" s="15">
        <v>26.9</v>
      </c>
      <c r="AN3" s="15">
        <v>26.8</v>
      </c>
      <c r="AO3" s="15">
        <v>4</v>
      </c>
      <c r="AQ3" s="15">
        <v>2</v>
      </c>
      <c r="AR3" s="24">
        <v>26.6</v>
      </c>
      <c r="AS3" s="15">
        <v>25.7</v>
      </c>
      <c r="AT3">
        <v>28</v>
      </c>
      <c r="AU3" s="15">
        <v>27.1</v>
      </c>
      <c r="AV3" s="15">
        <v>5</v>
      </c>
      <c r="AX3" s="15">
        <v>2</v>
      </c>
      <c r="AY3" s="24">
        <v>26.5</v>
      </c>
      <c r="AZ3" s="15">
        <v>26.7</v>
      </c>
      <c r="BA3">
        <v>28.5</v>
      </c>
      <c r="BB3" s="15">
        <v>26.5</v>
      </c>
      <c r="BC3" s="15">
        <v>6</v>
      </c>
      <c r="BE3" s="15">
        <v>2</v>
      </c>
      <c r="BF3" s="24">
        <v>27</v>
      </c>
      <c r="BG3" s="15">
        <v>25.9</v>
      </c>
      <c r="BH3">
        <v>28.9</v>
      </c>
      <c r="BI3" s="15">
        <v>27.5</v>
      </c>
      <c r="BJ3" s="15">
        <v>7</v>
      </c>
      <c r="BL3" s="15">
        <v>2</v>
      </c>
      <c r="BM3" s="24">
        <v>27.9</v>
      </c>
      <c r="BN3" s="15">
        <v>26.5</v>
      </c>
      <c r="BO3">
        <v>29.5</v>
      </c>
      <c r="BP3" s="15">
        <v>28.1</v>
      </c>
      <c r="BQ3" s="15">
        <v>8</v>
      </c>
      <c r="BS3" s="15">
        <v>2</v>
      </c>
      <c r="BT3" s="24">
        <v>28.1</v>
      </c>
      <c r="BU3" s="15">
        <v>29.2</v>
      </c>
      <c r="BV3">
        <v>29.4</v>
      </c>
      <c r="BW3" s="15">
        <v>27.6</v>
      </c>
      <c r="BX3" s="15">
        <v>9</v>
      </c>
      <c r="BZ3" s="15">
        <v>2</v>
      </c>
      <c r="CA3" s="24">
        <v>28.7</v>
      </c>
      <c r="CB3" s="15">
        <v>27.6</v>
      </c>
      <c r="CC3">
        <v>29.7</v>
      </c>
      <c r="CD3" s="15">
        <v>27.2</v>
      </c>
      <c r="CE3" s="15">
        <v>10</v>
      </c>
      <c r="CG3" s="15">
        <v>2</v>
      </c>
      <c r="CH3" s="24">
        <v>28.8</v>
      </c>
      <c r="CI3" s="15">
        <v>27.4</v>
      </c>
      <c r="CJ3">
        <v>30.2</v>
      </c>
      <c r="CK3" s="15">
        <v>28.2</v>
      </c>
      <c r="CL3" s="15">
        <v>11</v>
      </c>
      <c r="CN3" s="15">
        <v>2</v>
      </c>
      <c r="CO3" s="24">
        <v>30</v>
      </c>
      <c r="CP3" s="15">
        <v>28.4</v>
      </c>
      <c r="CQ3">
        <v>30.3</v>
      </c>
      <c r="CR3" s="15">
        <v>26.1</v>
      </c>
      <c r="CS3" s="15">
        <v>12</v>
      </c>
      <c r="CU3" s="15">
        <v>2</v>
      </c>
      <c r="CV3" s="24">
        <v>30.2</v>
      </c>
      <c r="CW3" s="15">
        <v>29.9</v>
      </c>
      <c r="CX3">
        <v>30.8</v>
      </c>
      <c r="CY3" s="15">
        <v>27</v>
      </c>
      <c r="CZ3" s="15">
        <v>13</v>
      </c>
      <c r="DB3" s="15">
        <v>2</v>
      </c>
      <c r="DC3" s="24">
        <v>30.8</v>
      </c>
      <c r="DD3" s="15">
        <v>25.5</v>
      </c>
      <c r="DE3">
        <v>30.8</v>
      </c>
      <c r="DF3" s="15">
        <v>27</v>
      </c>
      <c r="DG3" s="15">
        <v>14</v>
      </c>
      <c r="DI3" s="15">
        <v>2</v>
      </c>
      <c r="DJ3" s="24">
        <v>31.9</v>
      </c>
      <c r="DK3" s="15">
        <v>28.9</v>
      </c>
      <c r="DL3">
        <v>30.3</v>
      </c>
      <c r="DM3" s="15">
        <v>26.7</v>
      </c>
      <c r="DN3" s="15">
        <v>15</v>
      </c>
      <c r="DP3" s="15">
        <v>2</v>
      </c>
      <c r="DQ3" s="24">
        <v>32.6</v>
      </c>
      <c r="DR3" s="15">
        <v>27</v>
      </c>
      <c r="DS3">
        <v>31</v>
      </c>
      <c r="DT3" s="15">
        <v>26.9</v>
      </c>
      <c r="DU3" s="15">
        <v>16</v>
      </c>
      <c r="DW3" s="15">
        <v>2</v>
      </c>
      <c r="DX3" s="24">
        <v>33.6</v>
      </c>
      <c r="DY3" s="15">
        <v>26.2</v>
      </c>
      <c r="DZ3">
        <v>30.9</v>
      </c>
      <c r="EA3" s="15">
        <v>28.1</v>
      </c>
      <c r="EB3" s="15">
        <v>17</v>
      </c>
      <c r="ED3" s="15">
        <v>2</v>
      </c>
      <c r="EE3" s="24">
        <v>34.4</v>
      </c>
      <c r="EF3" s="15">
        <v>27.8</v>
      </c>
      <c r="EG3" s="27" t="s">
        <v>79</v>
      </c>
      <c r="EH3" s="15">
        <v>24.7</v>
      </c>
      <c r="EI3" s="15">
        <v>18</v>
      </c>
      <c r="EK3" s="15">
        <v>2</v>
      </c>
      <c r="EL3" t="s">
        <v>51</v>
      </c>
      <c r="EM3" t="s">
        <v>51</v>
      </c>
      <c r="EN3" s="27" t="s">
        <v>79</v>
      </c>
      <c r="EO3" t="s">
        <v>51</v>
      </c>
      <c r="EP3" s="15">
        <v>19</v>
      </c>
      <c r="ER3" s="15">
        <v>2</v>
      </c>
      <c r="ES3">
        <v>36</v>
      </c>
      <c r="ET3">
        <v>26</v>
      </c>
      <c r="EU3" s="27" t="s">
        <v>79</v>
      </c>
      <c r="EV3">
        <v>28</v>
      </c>
      <c r="EW3" s="15">
        <v>20</v>
      </c>
      <c r="EY3" s="15">
        <v>2</v>
      </c>
      <c r="EZ3">
        <v>35.6</v>
      </c>
      <c r="FA3">
        <v>26.5</v>
      </c>
      <c r="FB3" s="27" t="s">
        <v>79</v>
      </c>
      <c r="FC3">
        <v>28.4</v>
      </c>
      <c r="FD3" s="15">
        <v>21</v>
      </c>
      <c r="FF3" s="15">
        <v>2</v>
      </c>
      <c r="FG3">
        <v>28.8</v>
      </c>
      <c r="FH3" t="s">
        <v>84</v>
      </c>
      <c r="FI3" s="27" t="s">
        <v>79</v>
      </c>
      <c r="FJ3" t="s">
        <v>84</v>
      </c>
      <c r="FK3" s="15">
        <v>22</v>
      </c>
      <c r="FM3" s="15">
        <v>2</v>
      </c>
      <c r="FN3">
        <v>26.3</v>
      </c>
      <c r="FO3">
        <v>26.2</v>
      </c>
      <c r="FP3" s="27" t="s">
        <v>79</v>
      </c>
      <c r="FQ3">
        <v>27.8</v>
      </c>
      <c r="FR3" s="15">
        <v>23</v>
      </c>
    </row>
    <row r="4" spans="1:174">
      <c r="A4">
        <v>3</v>
      </c>
      <c r="B4">
        <v>26.9</v>
      </c>
      <c r="C4">
        <v>24.3</v>
      </c>
      <c r="D4">
        <v>25.3</v>
      </c>
      <c r="E4">
        <v>23.3</v>
      </c>
      <c r="F4">
        <v>0</v>
      </c>
      <c r="H4">
        <v>3</v>
      </c>
      <c r="I4" t="s">
        <v>51</v>
      </c>
      <c r="J4" t="s">
        <v>51</v>
      </c>
      <c r="K4" t="s">
        <v>51</v>
      </c>
      <c r="L4" t="s">
        <v>51</v>
      </c>
      <c r="M4">
        <v>0.5</v>
      </c>
      <c r="O4" s="15">
        <v>3</v>
      </c>
      <c r="P4" s="17">
        <v>24.8</v>
      </c>
      <c r="Q4" s="15">
        <v>22.3</v>
      </c>
      <c r="R4" s="15">
        <v>23.5</v>
      </c>
      <c r="S4" s="15">
        <v>23.5</v>
      </c>
      <c r="T4" s="15">
        <v>1</v>
      </c>
      <c r="V4" s="15">
        <v>3</v>
      </c>
      <c r="W4" s="24">
        <v>25.4</v>
      </c>
      <c r="X4" s="15">
        <v>22</v>
      </c>
      <c r="Y4" s="15">
        <v>24.1</v>
      </c>
      <c r="Z4" s="15">
        <v>23.8</v>
      </c>
      <c r="AA4" s="15">
        <v>2</v>
      </c>
      <c r="AC4" s="15">
        <v>3</v>
      </c>
      <c r="AD4" s="24">
        <v>25</v>
      </c>
      <c r="AE4" s="15">
        <v>24.8</v>
      </c>
      <c r="AF4" s="15">
        <v>24.2</v>
      </c>
      <c r="AG4" s="15">
        <v>24.8</v>
      </c>
      <c r="AH4" s="15">
        <v>3</v>
      </c>
      <c r="AJ4" s="15">
        <v>3</v>
      </c>
      <c r="AK4" s="24">
        <v>27.5</v>
      </c>
      <c r="AL4" s="15">
        <v>23.3</v>
      </c>
      <c r="AM4" s="15">
        <v>26.3</v>
      </c>
      <c r="AN4" s="15">
        <v>24.6</v>
      </c>
      <c r="AO4" s="15">
        <v>4</v>
      </c>
      <c r="AQ4" s="15">
        <v>3</v>
      </c>
      <c r="AR4" s="24">
        <v>29.1</v>
      </c>
      <c r="AS4" s="15">
        <v>24.2</v>
      </c>
      <c r="AT4" s="15">
        <v>26.8</v>
      </c>
      <c r="AU4" s="15">
        <v>25.4</v>
      </c>
      <c r="AV4" s="15">
        <v>5</v>
      </c>
      <c r="AX4" s="15">
        <v>3</v>
      </c>
      <c r="AY4" s="24">
        <v>27.3</v>
      </c>
      <c r="AZ4" s="15">
        <v>24.1</v>
      </c>
      <c r="BA4" s="15">
        <v>27.2</v>
      </c>
      <c r="BB4" s="15">
        <v>25.7</v>
      </c>
      <c r="BC4" s="15">
        <v>6</v>
      </c>
      <c r="BE4" s="15">
        <v>3</v>
      </c>
      <c r="BF4" s="24">
        <v>28.3</v>
      </c>
      <c r="BG4" s="15">
        <v>26.9</v>
      </c>
      <c r="BH4" s="15">
        <v>27.6</v>
      </c>
      <c r="BI4" s="15">
        <v>26</v>
      </c>
      <c r="BJ4" s="15">
        <v>7</v>
      </c>
      <c r="BL4" s="15">
        <v>3</v>
      </c>
      <c r="BM4" s="24">
        <v>29.3</v>
      </c>
      <c r="BN4" s="15">
        <v>24.5</v>
      </c>
      <c r="BO4" s="15">
        <v>25.8</v>
      </c>
      <c r="BP4" s="15">
        <v>27.9</v>
      </c>
      <c r="BQ4" s="15">
        <v>8</v>
      </c>
      <c r="BS4" s="15">
        <v>3</v>
      </c>
      <c r="BT4" s="24">
        <v>29.9</v>
      </c>
      <c r="BU4" s="15">
        <v>25.5</v>
      </c>
      <c r="BV4" s="15">
        <v>28.7</v>
      </c>
      <c r="BW4" s="15">
        <v>27.1</v>
      </c>
      <c r="BX4" s="15">
        <v>9</v>
      </c>
      <c r="BZ4" s="15">
        <v>3</v>
      </c>
      <c r="CA4" s="24">
        <v>31.5</v>
      </c>
      <c r="CB4" s="15">
        <v>25.8</v>
      </c>
      <c r="CC4" s="15">
        <v>29.3</v>
      </c>
      <c r="CD4" s="15">
        <v>26.7</v>
      </c>
      <c r="CE4" s="15">
        <v>10</v>
      </c>
      <c r="CG4" s="15">
        <v>3</v>
      </c>
      <c r="CH4" s="24">
        <v>31.2</v>
      </c>
      <c r="CI4" s="15">
        <v>25.6</v>
      </c>
      <c r="CJ4" s="15">
        <v>29.8</v>
      </c>
      <c r="CK4" s="15">
        <v>28</v>
      </c>
      <c r="CL4" s="15">
        <v>11</v>
      </c>
      <c r="CN4" s="15">
        <v>3</v>
      </c>
      <c r="CO4" s="24">
        <v>31.8</v>
      </c>
      <c r="CP4" s="15">
        <v>25.7</v>
      </c>
      <c r="CQ4" s="15">
        <v>29.5</v>
      </c>
      <c r="CR4" s="15">
        <v>26.2</v>
      </c>
      <c r="CS4" s="15">
        <v>12</v>
      </c>
      <c r="CU4" s="15">
        <v>3</v>
      </c>
      <c r="CV4" s="24">
        <v>32.799999999999997</v>
      </c>
      <c r="CW4" s="15">
        <v>26.5</v>
      </c>
      <c r="CX4" s="15">
        <v>30.7</v>
      </c>
      <c r="CY4" s="15">
        <v>27.2</v>
      </c>
      <c r="CZ4" s="15">
        <v>13</v>
      </c>
      <c r="DB4" s="15">
        <v>3</v>
      </c>
      <c r="DC4" s="24">
        <v>33.799999999999997</v>
      </c>
      <c r="DD4" s="15">
        <v>24.7</v>
      </c>
      <c r="DE4" s="15">
        <v>30.5</v>
      </c>
      <c r="DF4" s="15">
        <v>27.1</v>
      </c>
      <c r="DG4" s="15">
        <v>14</v>
      </c>
      <c r="DI4" s="15">
        <v>3</v>
      </c>
      <c r="DJ4" s="24">
        <v>35</v>
      </c>
      <c r="DK4" s="15">
        <v>25.1</v>
      </c>
      <c r="DL4" s="15">
        <v>29.8</v>
      </c>
      <c r="DM4" s="15">
        <v>26.9</v>
      </c>
      <c r="DN4" s="15">
        <v>15</v>
      </c>
      <c r="DP4" s="15">
        <v>3</v>
      </c>
      <c r="DQ4" s="24">
        <v>35.6</v>
      </c>
      <c r="DR4" s="15">
        <v>29.2</v>
      </c>
      <c r="DS4" s="15">
        <v>29.8</v>
      </c>
      <c r="DT4" s="15">
        <v>26.2</v>
      </c>
      <c r="DU4" s="15">
        <v>16</v>
      </c>
      <c r="DW4" s="15">
        <v>3</v>
      </c>
      <c r="DX4" s="24">
        <v>36.6</v>
      </c>
      <c r="DY4" s="15">
        <v>26.5</v>
      </c>
      <c r="DZ4" s="15">
        <v>30.9</v>
      </c>
      <c r="EA4" s="15">
        <v>26.7</v>
      </c>
      <c r="EB4" s="15">
        <v>17</v>
      </c>
      <c r="ED4" s="15">
        <v>3</v>
      </c>
      <c r="EE4" s="24">
        <v>36.200000000000003</v>
      </c>
      <c r="EF4" s="15">
        <v>26.2</v>
      </c>
      <c r="EG4" s="15">
        <v>29.6</v>
      </c>
      <c r="EH4" s="27" t="s">
        <v>79</v>
      </c>
      <c r="EI4" s="15">
        <v>18</v>
      </c>
      <c r="EK4" s="15">
        <v>3</v>
      </c>
      <c r="EL4" t="s">
        <v>51</v>
      </c>
      <c r="EM4" t="s">
        <v>51</v>
      </c>
      <c r="EN4" t="s">
        <v>51</v>
      </c>
      <c r="EO4" s="27" t="s">
        <v>79</v>
      </c>
      <c r="EP4" s="15">
        <v>19</v>
      </c>
      <c r="ER4" s="15">
        <v>3</v>
      </c>
      <c r="ES4">
        <v>36.9</v>
      </c>
      <c r="ET4">
        <v>29.5</v>
      </c>
      <c r="EU4">
        <v>30</v>
      </c>
      <c r="EV4" s="27" t="s">
        <v>79</v>
      </c>
      <c r="EW4" s="15">
        <v>20</v>
      </c>
      <c r="EY4" s="15">
        <v>3</v>
      </c>
      <c r="EZ4">
        <v>38.299999999999997</v>
      </c>
      <c r="FA4">
        <v>28.7</v>
      </c>
      <c r="FB4">
        <v>30.2</v>
      </c>
      <c r="FC4" s="27" t="s">
        <v>79</v>
      </c>
      <c r="FD4" s="15">
        <v>21</v>
      </c>
      <c r="FF4" s="15">
        <v>3</v>
      </c>
      <c r="FG4" t="s">
        <v>84</v>
      </c>
      <c r="FH4" s="27" t="s">
        <v>79</v>
      </c>
      <c r="FI4" t="s">
        <v>84</v>
      </c>
      <c r="FJ4" s="27" t="s">
        <v>79</v>
      </c>
      <c r="FK4" s="15">
        <v>22</v>
      </c>
      <c r="FM4" s="15">
        <v>3</v>
      </c>
      <c r="FN4">
        <v>38.6</v>
      </c>
      <c r="FO4" s="27" t="s">
        <v>79</v>
      </c>
      <c r="FP4">
        <v>28.7</v>
      </c>
      <c r="FQ4" s="27" t="s">
        <v>79</v>
      </c>
      <c r="FR4" s="15">
        <v>23</v>
      </c>
    </row>
    <row r="5" spans="1:174">
      <c r="A5">
        <v>4</v>
      </c>
      <c r="B5">
        <v>24.4</v>
      </c>
      <c r="C5">
        <v>24.4</v>
      </c>
      <c r="D5">
        <v>23.4</v>
      </c>
      <c r="E5">
        <v>23</v>
      </c>
      <c r="F5">
        <v>0</v>
      </c>
      <c r="H5">
        <v>4</v>
      </c>
      <c r="I5" t="s">
        <v>51</v>
      </c>
      <c r="J5" t="s">
        <v>51</v>
      </c>
      <c r="K5" t="s">
        <v>51</v>
      </c>
      <c r="L5" t="s">
        <v>51</v>
      </c>
      <c r="M5">
        <v>0.5</v>
      </c>
      <c r="O5" s="15">
        <v>4</v>
      </c>
      <c r="P5" s="17">
        <v>23</v>
      </c>
      <c r="Q5" s="15">
        <v>22.1</v>
      </c>
      <c r="R5" s="15">
        <v>22</v>
      </c>
      <c r="S5" s="15">
        <v>21.2</v>
      </c>
      <c r="T5" s="15">
        <v>1</v>
      </c>
      <c r="V5" s="15">
        <v>4</v>
      </c>
      <c r="W5" s="24">
        <v>24.3</v>
      </c>
      <c r="X5" s="15">
        <v>22.5</v>
      </c>
      <c r="Y5" s="15">
        <v>25.1</v>
      </c>
      <c r="Z5" s="15">
        <v>22.3</v>
      </c>
      <c r="AA5" s="15">
        <v>2</v>
      </c>
      <c r="AC5" s="15">
        <v>4</v>
      </c>
      <c r="AD5" s="24">
        <v>26.6</v>
      </c>
      <c r="AE5" s="15">
        <v>24</v>
      </c>
      <c r="AF5" s="15">
        <v>25</v>
      </c>
      <c r="AG5" s="15">
        <v>23</v>
      </c>
      <c r="AH5" s="15">
        <v>3</v>
      </c>
      <c r="AJ5" s="15">
        <v>4</v>
      </c>
      <c r="AK5" s="24">
        <v>26.6</v>
      </c>
      <c r="AL5" s="15">
        <v>23.6</v>
      </c>
      <c r="AM5" s="15">
        <v>26.3</v>
      </c>
      <c r="AN5" s="15">
        <v>22.6</v>
      </c>
      <c r="AO5" s="15">
        <v>4</v>
      </c>
      <c r="AQ5" s="15">
        <v>4</v>
      </c>
      <c r="AR5" s="24">
        <v>27.4</v>
      </c>
      <c r="AS5" s="15">
        <v>23.7</v>
      </c>
      <c r="AT5" s="15">
        <v>27</v>
      </c>
      <c r="AU5" s="15">
        <v>24.6</v>
      </c>
      <c r="AV5" s="15">
        <v>5</v>
      </c>
      <c r="AX5" s="15">
        <v>4</v>
      </c>
      <c r="AY5" s="24">
        <v>29</v>
      </c>
      <c r="AZ5" s="15">
        <v>23.9</v>
      </c>
      <c r="BA5" s="15">
        <v>27.8</v>
      </c>
      <c r="BB5" s="15">
        <v>26.5</v>
      </c>
      <c r="BC5" s="15">
        <v>6</v>
      </c>
      <c r="BE5" s="15">
        <v>4</v>
      </c>
      <c r="BF5" s="24">
        <v>29.5</v>
      </c>
      <c r="BG5" s="15">
        <v>24.2</v>
      </c>
      <c r="BH5" s="15">
        <v>28</v>
      </c>
      <c r="BI5" s="15">
        <v>25</v>
      </c>
      <c r="BJ5" s="15">
        <v>7</v>
      </c>
      <c r="BL5" s="15">
        <v>4</v>
      </c>
      <c r="BM5" s="24">
        <v>30.7</v>
      </c>
      <c r="BN5" s="15">
        <v>24.9</v>
      </c>
      <c r="BO5" s="15">
        <v>28.8</v>
      </c>
      <c r="BP5" s="15">
        <v>26.3</v>
      </c>
      <c r="BQ5" s="15">
        <v>8</v>
      </c>
      <c r="BS5" s="15">
        <v>4</v>
      </c>
      <c r="BT5" s="24">
        <v>31</v>
      </c>
      <c r="BU5" s="15">
        <v>24.3</v>
      </c>
      <c r="BV5" s="15">
        <v>28.5</v>
      </c>
      <c r="BW5" s="15">
        <v>26.1</v>
      </c>
      <c r="BX5" s="15">
        <v>9</v>
      </c>
      <c r="BZ5" s="15">
        <v>4</v>
      </c>
      <c r="CA5" s="24">
        <v>32.700000000000003</v>
      </c>
      <c r="CB5" s="15">
        <v>25.2</v>
      </c>
      <c r="CC5" s="15">
        <v>29.5</v>
      </c>
      <c r="CD5" s="15">
        <v>26.5</v>
      </c>
      <c r="CE5" s="15">
        <v>10</v>
      </c>
      <c r="CG5" s="15">
        <v>4</v>
      </c>
      <c r="CH5" s="24">
        <v>31.9</v>
      </c>
      <c r="CI5" s="15">
        <v>24.4</v>
      </c>
      <c r="CJ5" s="15">
        <v>29.7</v>
      </c>
      <c r="CK5" s="15">
        <v>27.1</v>
      </c>
      <c r="CL5" s="15">
        <v>11</v>
      </c>
      <c r="CN5" s="15">
        <v>4</v>
      </c>
      <c r="CO5" s="24">
        <v>32.9</v>
      </c>
      <c r="CP5" s="15">
        <v>26.4</v>
      </c>
      <c r="CQ5" s="15">
        <v>29.6</v>
      </c>
      <c r="CR5" s="15">
        <v>26.4</v>
      </c>
      <c r="CS5" s="15">
        <v>12</v>
      </c>
      <c r="CU5" s="15">
        <v>4</v>
      </c>
      <c r="CV5" s="24">
        <v>33.200000000000003</v>
      </c>
      <c r="CW5" s="15">
        <v>26.2</v>
      </c>
      <c r="CX5" s="15">
        <v>30.1</v>
      </c>
      <c r="CY5" s="15">
        <v>25.5</v>
      </c>
      <c r="CZ5" s="15">
        <v>13</v>
      </c>
      <c r="DB5" s="15">
        <v>4</v>
      </c>
      <c r="DC5" s="24">
        <v>34.1</v>
      </c>
      <c r="DD5" s="15">
        <v>27.8</v>
      </c>
      <c r="DE5" s="15">
        <v>29.8</v>
      </c>
      <c r="DF5" s="15">
        <v>27.4</v>
      </c>
      <c r="DG5" s="15">
        <v>14</v>
      </c>
      <c r="DI5" s="15">
        <v>4</v>
      </c>
      <c r="DJ5" s="24">
        <v>35.1</v>
      </c>
      <c r="DK5" s="15">
        <v>27.1</v>
      </c>
      <c r="DL5" s="15">
        <v>30.5</v>
      </c>
      <c r="DM5" s="15">
        <v>27.8</v>
      </c>
      <c r="DN5" s="15">
        <v>15</v>
      </c>
      <c r="DP5" s="15">
        <v>4</v>
      </c>
      <c r="DQ5" s="24">
        <v>34.5</v>
      </c>
      <c r="DR5" s="15">
        <v>27.3</v>
      </c>
      <c r="DS5" s="15">
        <v>29.7</v>
      </c>
      <c r="DT5" s="15">
        <v>27.3</v>
      </c>
      <c r="DU5" s="15">
        <v>16</v>
      </c>
      <c r="DW5" s="15">
        <v>4</v>
      </c>
      <c r="DX5" s="24">
        <v>36.700000000000003</v>
      </c>
      <c r="DY5" s="15">
        <v>26.8</v>
      </c>
      <c r="DZ5" s="15">
        <v>32.299999999999997</v>
      </c>
      <c r="EA5" s="15">
        <v>27.6</v>
      </c>
      <c r="EB5" s="15">
        <v>17</v>
      </c>
      <c r="ED5" s="15">
        <v>4</v>
      </c>
      <c r="EE5" s="27" t="s">
        <v>79</v>
      </c>
      <c r="EF5" s="15">
        <v>26.5</v>
      </c>
      <c r="EG5" s="15">
        <v>30.8</v>
      </c>
      <c r="EH5" s="15">
        <v>25.8</v>
      </c>
      <c r="EI5" s="15">
        <v>18</v>
      </c>
      <c r="EK5" s="15">
        <v>4</v>
      </c>
      <c r="EL5" s="27" t="s">
        <v>79</v>
      </c>
      <c r="EM5" t="s">
        <v>51</v>
      </c>
      <c r="EN5" t="s">
        <v>51</v>
      </c>
      <c r="EO5" t="s">
        <v>51</v>
      </c>
      <c r="EP5" s="15">
        <v>19</v>
      </c>
      <c r="ER5" s="15">
        <v>4</v>
      </c>
      <c r="ES5" s="27" t="s">
        <v>79</v>
      </c>
      <c r="ET5">
        <v>27.6</v>
      </c>
      <c r="EU5">
        <v>31.1</v>
      </c>
      <c r="EV5">
        <v>25.9</v>
      </c>
      <c r="EW5" s="15">
        <v>20</v>
      </c>
      <c r="EY5" s="15">
        <v>4</v>
      </c>
      <c r="EZ5" s="27" t="s">
        <v>79</v>
      </c>
      <c r="FA5">
        <v>28.7</v>
      </c>
      <c r="FB5">
        <v>31.5</v>
      </c>
      <c r="FC5">
        <v>25.9</v>
      </c>
      <c r="FD5" s="15">
        <v>21</v>
      </c>
      <c r="FF5" s="15">
        <v>4</v>
      </c>
      <c r="FG5" s="27" t="s">
        <v>79</v>
      </c>
      <c r="FH5" t="s">
        <v>84</v>
      </c>
      <c r="FI5" t="s">
        <v>84</v>
      </c>
      <c r="FJ5" t="s">
        <v>84</v>
      </c>
      <c r="FK5" s="15">
        <v>22</v>
      </c>
      <c r="FM5" s="15">
        <v>4</v>
      </c>
      <c r="FN5" s="27" t="s">
        <v>79</v>
      </c>
      <c r="FO5">
        <v>29.6</v>
      </c>
      <c r="FP5">
        <v>30.8</v>
      </c>
      <c r="FQ5">
        <v>25.2</v>
      </c>
      <c r="FR5" s="15">
        <v>23</v>
      </c>
    </row>
    <row r="6" spans="1:174">
      <c r="A6">
        <v>5</v>
      </c>
      <c r="B6">
        <v>25</v>
      </c>
      <c r="C6">
        <v>28.8</v>
      </c>
      <c r="D6">
        <v>24.8</v>
      </c>
      <c r="E6">
        <v>25.1</v>
      </c>
      <c r="F6">
        <v>0</v>
      </c>
      <c r="H6">
        <v>5</v>
      </c>
      <c r="I6" t="s">
        <v>51</v>
      </c>
      <c r="J6" t="s">
        <v>51</v>
      </c>
      <c r="K6" t="s">
        <v>51</v>
      </c>
      <c r="L6" t="s">
        <v>51</v>
      </c>
      <c r="M6">
        <v>0.5</v>
      </c>
      <c r="O6" s="15">
        <v>5</v>
      </c>
      <c r="P6" s="17">
        <v>22.3</v>
      </c>
      <c r="Q6" s="15">
        <v>26.9</v>
      </c>
      <c r="R6" s="15">
        <v>23.9</v>
      </c>
      <c r="S6" s="15">
        <v>25.1</v>
      </c>
      <c r="T6" s="15">
        <v>1</v>
      </c>
      <c r="V6" s="15">
        <v>5</v>
      </c>
      <c r="W6" s="24">
        <v>23.6</v>
      </c>
      <c r="X6" s="15">
        <v>27.2</v>
      </c>
      <c r="Y6" s="15">
        <v>20.6</v>
      </c>
      <c r="Z6" s="15">
        <v>22.5</v>
      </c>
      <c r="AA6" s="15">
        <v>2</v>
      </c>
      <c r="AC6" s="15">
        <v>5</v>
      </c>
      <c r="AD6" s="24">
        <v>23.2</v>
      </c>
      <c r="AE6" s="15">
        <v>28.8</v>
      </c>
      <c r="AF6" s="15">
        <v>25.3</v>
      </c>
      <c r="AG6" s="15">
        <v>26.7</v>
      </c>
      <c r="AH6" s="15">
        <v>3</v>
      </c>
      <c r="AJ6" s="15">
        <v>5</v>
      </c>
      <c r="AK6" s="24">
        <v>24.2</v>
      </c>
      <c r="AL6" s="15">
        <v>28.9</v>
      </c>
      <c r="AM6" s="15">
        <v>26.8</v>
      </c>
      <c r="AN6" s="15">
        <v>25.3</v>
      </c>
      <c r="AO6" s="15">
        <v>4</v>
      </c>
      <c r="AQ6" s="15">
        <v>5</v>
      </c>
      <c r="AR6" s="24">
        <v>25.6</v>
      </c>
      <c r="AS6" s="15">
        <v>28.8</v>
      </c>
      <c r="AT6" s="15">
        <v>27</v>
      </c>
      <c r="AU6" s="15">
        <v>27.2</v>
      </c>
      <c r="AV6" s="15">
        <v>5</v>
      </c>
      <c r="AX6" s="15">
        <v>5</v>
      </c>
      <c r="AY6" s="24">
        <v>25.5</v>
      </c>
      <c r="AZ6" s="15">
        <v>28.5</v>
      </c>
      <c r="BA6" s="15">
        <v>28.4</v>
      </c>
      <c r="BB6" s="15">
        <v>29</v>
      </c>
      <c r="BC6" s="15">
        <v>6</v>
      </c>
      <c r="BE6" s="15">
        <v>5</v>
      </c>
      <c r="BF6" s="24">
        <v>25.9</v>
      </c>
      <c r="BG6" s="15">
        <v>23.6</v>
      </c>
      <c r="BH6" s="15">
        <v>28.4</v>
      </c>
      <c r="BI6" s="15">
        <v>27.7</v>
      </c>
      <c r="BJ6" s="15">
        <v>7</v>
      </c>
      <c r="BL6" s="15">
        <v>5</v>
      </c>
      <c r="BM6" s="24">
        <v>26.2</v>
      </c>
      <c r="BN6" s="15">
        <v>29.3</v>
      </c>
      <c r="BO6" s="15">
        <v>29.5</v>
      </c>
      <c r="BP6" s="15">
        <v>28.2</v>
      </c>
      <c r="BQ6" s="15">
        <v>8</v>
      </c>
      <c r="BS6" s="15">
        <v>5</v>
      </c>
      <c r="BT6" s="24">
        <v>27.1</v>
      </c>
      <c r="BU6" s="15">
        <v>29.1</v>
      </c>
      <c r="BV6" s="15">
        <v>30.6</v>
      </c>
      <c r="BW6" s="15">
        <v>28.4</v>
      </c>
      <c r="BX6" s="15">
        <v>9</v>
      </c>
      <c r="BZ6" s="15">
        <v>5</v>
      </c>
      <c r="CA6" s="24">
        <v>26.8</v>
      </c>
      <c r="CB6" s="15">
        <v>29.4</v>
      </c>
      <c r="CC6" s="15">
        <v>31.2</v>
      </c>
      <c r="CD6" s="15">
        <v>28</v>
      </c>
      <c r="CE6" s="15">
        <v>10</v>
      </c>
      <c r="CG6" s="15">
        <v>5</v>
      </c>
      <c r="CH6" s="24">
        <v>27.5</v>
      </c>
      <c r="CI6" s="15">
        <v>29.5</v>
      </c>
      <c r="CJ6" s="15">
        <v>30.6</v>
      </c>
      <c r="CK6" s="15">
        <v>28.9</v>
      </c>
      <c r="CL6" s="15">
        <v>11</v>
      </c>
      <c r="CN6" s="15">
        <v>5</v>
      </c>
      <c r="CO6" s="24">
        <v>31</v>
      </c>
      <c r="CP6" s="15">
        <v>30.5</v>
      </c>
      <c r="CQ6" s="15">
        <v>30.9</v>
      </c>
      <c r="CR6" s="15">
        <v>27.6</v>
      </c>
      <c r="CS6" s="15">
        <v>12</v>
      </c>
      <c r="CU6" s="15">
        <v>5</v>
      </c>
      <c r="CV6" s="24">
        <v>28.1</v>
      </c>
      <c r="CW6" s="15">
        <v>30.4</v>
      </c>
      <c r="CX6" s="15">
        <v>31.7</v>
      </c>
      <c r="CY6" s="15">
        <v>26.2</v>
      </c>
      <c r="CZ6" s="15">
        <v>13</v>
      </c>
      <c r="DB6" s="15">
        <v>5</v>
      </c>
      <c r="DC6" s="24">
        <v>28.4</v>
      </c>
      <c r="DD6" s="15">
        <v>29.6</v>
      </c>
      <c r="DE6" s="15">
        <v>31.1</v>
      </c>
      <c r="DF6" s="15">
        <v>27.3</v>
      </c>
      <c r="DG6" s="15">
        <v>14</v>
      </c>
      <c r="DI6" s="15">
        <v>5</v>
      </c>
      <c r="DJ6" s="24">
        <v>28.9</v>
      </c>
      <c r="DK6" s="15">
        <v>30.1</v>
      </c>
      <c r="DL6" s="15">
        <v>32.1</v>
      </c>
      <c r="DM6" s="15">
        <v>26</v>
      </c>
      <c r="DN6" s="15">
        <v>15</v>
      </c>
      <c r="DP6" s="15">
        <v>5</v>
      </c>
      <c r="DQ6" s="24">
        <v>33.299999999999997</v>
      </c>
      <c r="DR6" s="15">
        <v>30.2</v>
      </c>
      <c r="DS6" s="15">
        <v>31.6</v>
      </c>
      <c r="DT6" s="15">
        <v>27.2</v>
      </c>
      <c r="DU6" s="15">
        <v>16</v>
      </c>
      <c r="DW6" s="15">
        <v>5</v>
      </c>
      <c r="DX6" s="24">
        <v>29.3</v>
      </c>
      <c r="DY6" s="15">
        <v>30.6</v>
      </c>
      <c r="DZ6" s="15">
        <v>32.4</v>
      </c>
      <c r="EA6" s="15">
        <v>26.4</v>
      </c>
      <c r="EB6" s="15">
        <v>17</v>
      </c>
      <c r="ED6" s="15">
        <v>5</v>
      </c>
      <c r="EE6" s="24">
        <v>34.6</v>
      </c>
      <c r="EF6" s="15">
        <v>30.1</v>
      </c>
      <c r="EG6" s="15">
        <v>30.9</v>
      </c>
      <c r="EH6" s="15">
        <v>26.7</v>
      </c>
      <c r="EI6" s="15">
        <v>18</v>
      </c>
      <c r="EK6" s="15">
        <v>5</v>
      </c>
      <c r="EL6" t="s">
        <v>51</v>
      </c>
      <c r="EM6" t="s">
        <v>51</v>
      </c>
      <c r="EN6" t="s">
        <v>51</v>
      </c>
      <c r="EO6" t="s">
        <v>51</v>
      </c>
      <c r="EP6" s="15">
        <v>19</v>
      </c>
      <c r="ER6" s="15">
        <v>5</v>
      </c>
      <c r="ES6">
        <v>34.9</v>
      </c>
      <c r="ET6">
        <v>30.9</v>
      </c>
      <c r="EU6">
        <v>30.9</v>
      </c>
      <c r="EV6">
        <v>26.6</v>
      </c>
      <c r="EW6" s="15">
        <v>20</v>
      </c>
      <c r="EY6" s="15">
        <v>5</v>
      </c>
      <c r="EZ6">
        <v>35</v>
      </c>
      <c r="FA6">
        <v>31.1</v>
      </c>
      <c r="FB6">
        <v>30.9</v>
      </c>
      <c r="FC6">
        <v>27.4</v>
      </c>
      <c r="FD6" s="15">
        <v>21</v>
      </c>
      <c r="FF6" s="15">
        <v>5</v>
      </c>
      <c r="FG6" t="s">
        <v>84</v>
      </c>
      <c r="FH6" t="s">
        <v>84</v>
      </c>
      <c r="FI6" t="s">
        <v>84</v>
      </c>
      <c r="FJ6" t="s">
        <v>84</v>
      </c>
      <c r="FK6" s="15">
        <v>22</v>
      </c>
      <c r="FM6" s="15">
        <v>5</v>
      </c>
      <c r="FN6">
        <v>32.700000000000003</v>
      </c>
      <c r="FO6">
        <v>33.4</v>
      </c>
      <c r="FP6">
        <v>31</v>
      </c>
      <c r="FQ6">
        <v>23.5</v>
      </c>
      <c r="FR6" s="15">
        <v>23</v>
      </c>
    </row>
    <row r="7" spans="1:174">
      <c r="A7">
        <v>6</v>
      </c>
      <c r="B7">
        <v>24.2</v>
      </c>
      <c r="C7">
        <v>23.7</v>
      </c>
      <c r="D7">
        <v>20.6</v>
      </c>
      <c r="E7">
        <v>23</v>
      </c>
      <c r="F7">
        <v>0</v>
      </c>
      <c r="H7">
        <v>6</v>
      </c>
      <c r="I7" t="s">
        <v>51</v>
      </c>
      <c r="J7" t="s">
        <v>51</v>
      </c>
      <c r="K7" t="s">
        <v>51</v>
      </c>
      <c r="L7" t="s">
        <v>51</v>
      </c>
      <c r="M7">
        <v>0.5</v>
      </c>
      <c r="O7" s="15">
        <v>6</v>
      </c>
      <c r="P7" s="17">
        <v>21.6</v>
      </c>
      <c r="Q7" s="15">
        <v>21.5</v>
      </c>
      <c r="R7" s="15">
        <v>19.899999999999999</v>
      </c>
      <c r="S7" s="15">
        <v>21.9</v>
      </c>
      <c r="T7" s="15">
        <v>1</v>
      </c>
      <c r="V7" s="15">
        <v>6</v>
      </c>
      <c r="W7" s="24">
        <v>23.8</v>
      </c>
      <c r="X7" s="15">
        <v>22.1</v>
      </c>
      <c r="Y7" s="15">
        <v>24</v>
      </c>
      <c r="Z7" s="15">
        <v>24.6</v>
      </c>
      <c r="AA7" s="15">
        <v>2</v>
      </c>
      <c r="AC7" s="15">
        <v>6</v>
      </c>
      <c r="AD7" s="24">
        <v>24.2</v>
      </c>
      <c r="AE7" s="15">
        <v>26.8</v>
      </c>
      <c r="AF7" s="15">
        <v>21</v>
      </c>
      <c r="AG7" s="15">
        <v>22.6</v>
      </c>
      <c r="AH7" s="15">
        <v>3</v>
      </c>
      <c r="AJ7" s="15">
        <v>6</v>
      </c>
      <c r="AK7" s="24">
        <v>26</v>
      </c>
      <c r="AL7" s="15">
        <v>22.8</v>
      </c>
      <c r="AM7" s="15">
        <v>22.3</v>
      </c>
      <c r="AN7" s="15">
        <v>23.5</v>
      </c>
      <c r="AO7" s="15">
        <v>4</v>
      </c>
      <c r="AQ7" s="15">
        <v>6</v>
      </c>
      <c r="AR7" s="24">
        <v>27.2</v>
      </c>
      <c r="AS7" s="15">
        <v>23.2</v>
      </c>
      <c r="AT7" s="15">
        <v>22.9</v>
      </c>
      <c r="AU7" s="15">
        <v>23.9</v>
      </c>
      <c r="AV7" s="15">
        <v>5</v>
      </c>
      <c r="AX7" s="15">
        <v>6</v>
      </c>
      <c r="AY7" s="24">
        <v>27.3</v>
      </c>
      <c r="AZ7" s="15">
        <v>23</v>
      </c>
      <c r="BA7" s="15">
        <v>23.8</v>
      </c>
      <c r="BB7" s="15">
        <v>25.8</v>
      </c>
      <c r="BC7" s="15">
        <v>6</v>
      </c>
      <c r="BE7" s="15">
        <v>6</v>
      </c>
      <c r="BF7" s="24">
        <v>27.9</v>
      </c>
      <c r="BG7" s="15">
        <v>29.2</v>
      </c>
      <c r="BH7" s="15">
        <v>24.2</v>
      </c>
      <c r="BI7" s="15">
        <v>25.4</v>
      </c>
      <c r="BJ7" s="15">
        <v>7</v>
      </c>
      <c r="BL7" s="15">
        <v>6</v>
      </c>
      <c r="BM7" s="24">
        <v>28.8</v>
      </c>
      <c r="BN7" s="15">
        <v>23.1</v>
      </c>
      <c r="BO7" s="15">
        <v>25.8</v>
      </c>
      <c r="BP7" s="15">
        <v>24.8</v>
      </c>
      <c r="BQ7" s="15">
        <v>8</v>
      </c>
      <c r="BS7" s="15">
        <v>6</v>
      </c>
      <c r="BT7" s="24">
        <v>29.3</v>
      </c>
      <c r="BU7" s="15">
        <v>22.4</v>
      </c>
      <c r="BV7" s="15">
        <v>25.6</v>
      </c>
      <c r="BW7" s="15">
        <v>25.5</v>
      </c>
      <c r="BX7" s="15">
        <v>9</v>
      </c>
      <c r="BZ7" s="15">
        <v>6</v>
      </c>
      <c r="CA7" s="24">
        <v>29.9</v>
      </c>
      <c r="CB7" s="15">
        <v>22.9</v>
      </c>
      <c r="CC7" s="15">
        <v>26.1</v>
      </c>
      <c r="CD7" s="15">
        <v>25.5</v>
      </c>
      <c r="CE7" s="15">
        <v>10</v>
      </c>
      <c r="CG7" s="15">
        <v>6</v>
      </c>
      <c r="CH7" s="24">
        <v>30.2</v>
      </c>
      <c r="CI7" s="15">
        <v>23</v>
      </c>
      <c r="CJ7" s="15">
        <v>25.1</v>
      </c>
      <c r="CK7" s="15">
        <v>25.8</v>
      </c>
      <c r="CL7" s="15">
        <v>11</v>
      </c>
      <c r="CN7" s="15">
        <v>6</v>
      </c>
      <c r="CO7" s="24">
        <v>27.9</v>
      </c>
      <c r="CP7" s="15">
        <v>24.6</v>
      </c>
      <c r="CQ7" s="27" t="s">
        <v>79</v>
      </c>
      <c r="CR7" s="15">
        <v>25.3</v>
      </c>
      <c r="CS7" s="15">
        <v>12</v>
      </c>
      <c r="CU7" s="15">
        <v>6</v>
      </c>
      <c r="CV7" s="24">
        <v>30.7</v>
      </c>
      <c r="CW7" s="15">
        <v>24.3</v>
      </c>
      <c r="CX7" s="27" t="s">
        <v>79</v>
      </c>
      <c r="CY7" s="15">
        <v>27.3</v>
      </c>
      <c r="CZ7" s="15">
        <v>13</v>
      </c>
      <c r="DB7" s="15">
        <v>6</v>
      </c>
      <c r="DC7" s="24">
        <v>31.8</v>
      </c>
      <c r="DD7" s="15">
        <v>24.3</v>
      </c>
      <c r="DE7" s="27" t="s">
        <v>79</v>
      </c>
      <c r="DF7" s="15">
        <v>26.6</v>
      </c>
      <c r="DG7" s="15">
        <v>14</v>
      </c>
      <c r="DI7" s="15">
        <v>6</v>
      </c>
      <c r="DJ7" s="24">
        <v>32.200000000000003</v>
      </c>
      <c r="DK7" s="15">
        <v>24.9</v>
      </c>
      <c r="DL7" s="27" t="s">
        <v>79</v>
      </c>
      <c r="DM7" s="15">
        <v>26.1</v>
      </c>
      <c r="DN7" s="15">
        <v>15</v>
      </c>
      <c r="DP7" s="15">
        <v>6</v>
      </c>
      <c r="DQ7" s="24">
        <v>29.1</v>
      </c>
      <c r="DR7" s="15">
        <v>25</v>
      </c>
      <c r="DS7" s="27" t="s">
        <v>79</v>
      </c>
      <c r="DT7" s="15">
        <v>25.8</v>
      </c>
      <c r="DU7" s="15">
        <v>16</v>
      </c>
      <c r="DW7" s="15">
        <v>6</v>
      </c>
      <c r="DX7" s="24">
        <v>34</v>
      </c>
      <c r="DY7" s="15">
        <v>26.1</v>
      </c>
      <c r="DZ7" s="27" t="s">
        <v>79</v>
      </c>
      <c r="EA7" s="15">
        <v>27.4</v>
      </c>
      <c r="EB7" s="15">
        <v>17</v>
      </c>
      <c r="ED7" s="15">
        <v>6</v>
      </c>
      <c r="EE7" s="24">
        <v>28.5</v>
      </c>
      <c r="EF7" s="15">
        <v>25.7</v>
      </c>
      <c r="EG7" s="27" t="s">
        <v>79</v>
      </c>
      <c r="EH7" s="15">
        <v>27.1</v>
      </c>
      <c r="EI7" s="15">
        <v>18</v>
      </c>
      <c r="EK7" s="15">
        <v>6</v>
      </c>
      <c r="EL7" t="s">
        <v>51</v>
      </c>
      <c r="EM7" t="s">
        <v>51</v>
      </c>
      <c r="EN7" s="27" t="s">
        <v>79</v>
      </c>
      <c r="EO7" t="s">
        <v>51</v>
      </c>
      <c r="EP7" s="15">
        <v>19</v>
      </c>
      <c r="ER7" s="15">
        <v>6</v>
      </c>
      <c r="ES7">
        <v>27.8</v>
      </c>
      <c r="ET7">
        <v>26</v>
      </c>
      <c r="EU7" s="27" t="s">
        <v>79</v>
      </c>
      <c r="EV7">
        <v>27.7</v>
      </c>
      <c r="EW7" s="15">
        <v>20</v>
      </c>
      <c r="EY7" s="15">
        <v>6</v>
      </c>
      <c r="EZ7">
        <v>28.1</v>
      </c>
      <c r="FA7">
        <v>26.3</v>
      </c>
      <c r="FB7" s="27" t="s">
        <v>79</v>
      </c>
      <c r="FC7">
        <v>25.5</v>
      </c>
      <c r="FD7" s="15">
        <v>21</v>
      </c>
      <c r="FF7" s="15">
        <v>6</v>
      </c>
      <c r="FG7" t="s">
        <v>84</v>
      </c>
      <c r="FH7">
        <v>29.2</v>
      </c>
      <c r="FI7" s="27" t="s">
        <v>79</v>
      </c>
      <c r="FJ7" t="s">
        <v>84</v>
      </c>
      <c r="FK7" s="15">
        <v>22</v>
      </c>
      <c r="FM7" s="15">
        <v>6</v>
      </c>
      <c r="FN7">
        <v>26.4</v>
      </c>
      <c r="FO7">
        <v>27.1</v>
      </c>
      <c r="FP7" s="27" t="s">
        <v>79</v>
      </c>
      <c r="FQ7" s="27" t="s">
        <v>79</v>
      </c>
      <c r="FR7" s="15">
        <v>23</v>
      </c>
    </row>
    <row r="8" spans="1:174">
      <c r="A8" t="s">
        <v>39</v>
      </c>
      <c r="B8">
        <f>AVERAGE(B2:B7)</f>
        <v>25.299999999999997</v>
      </c>
      <c r="C8">
        <f>AVERAGE(C2:C7)</f>
        <v>25.083333333333332</v>
      </c>
      <c r="D8">
        <f>AVERAGE(D2:D7)</f>
        <v>24.033333333333335</v>
      </c>
      <c r="E8">
        <f t="shared" ref="E8" si="0">AVERAGE(E2:E7)</f>
        <v>23.983333333333334</v>
      </c>
      <c r="H8" t="s">
        <v>39</v>
      </c>
      <c r="I8" t="e">
        <f>AVERAGE(I2:I7)</f>
        <v>#DIV/0!</v>
      </c>
      <c r="J8" t="e">
        <f>AVERAGE(J2:J7)</f>
        <v>#DIV/0!</v>
      </c>
      <c r="K8" t="e">
        <f>AVERAGE(K2:K7)</f>
        <v>#DIV/0!</v>
      </c>
      <c r="L8" t="e">
        <f t="shared" ref="L8" si="1">AVERAGE(L2:L7)</f>
        <v>#DIV/0!</v>
      </c>
      <c r="O8" s="15" t="s">
        <v>39</v>
      </c>
      <c r="P8" s="15">
        <f>AVERAGE(P2:P7)</f>
        <v>23.049999999999997</v>
      </c>
      <c r="Q8" s="15">
        <f t="shared" ref="Q8:S8" si="2">AVERAGE(Q2:Q7)</f>
        <v>23.033333333333335</v>
      </c>
      <c r="R8" s="15">
        <f t="shared" si="2"/>
        <v>22.716666666666669</v>
      </c>
      <c r="S8" s="15">
        <f t="shared" si="2"/>
        <v>23.316666666666666</v>
      </c>
      <c r="T8" s="15"/>
      <c r="V8" s="15" t="s">
        <v>39</v>
      </c>
      <c r="W8" s="15">
        <f>AVERAGE(W2:W7)</f>
        <v>24.066666666666666</v>
      </c>
      <c r="X8" s="15">
        <f t="shared" ref="X8" si="3">AVERAGE(X2:X7)</f>
        <v>23.333333333333332</v>
      </c>
      <c r="Y8" s="15">
        <f t="shared" ref="Y8" si="4">AVERAGE(Y2:Y7)</f>
        <v>23.75</v>
      </c>
      <c r="Z8" s="15">
        <f t="shared" ref="Z8" si="5">AVERAGE(Z2:Z7)</f>
        <v>23.716666666666665</v>
      </c>
      <c r="AA8" s="15"/>
      <c r="AC8" s="15" t="s">
        <v>39</v>
      </c>
      <c r="AD8" s="15">
        <f>AVERAGE(AD2:AD7)</f>
        <v>24.950000000000003</v>
      </c>
      <c r="AE8" s="15">
        <f t="shared" ref="AE8:AG8" si="6">AVERAGE(AE2:AE7)</f>
        <v>25.166666666666668</v>
      </c>
      <c r="AF8" s="15">
        <f t="shared" si="6"/>
        <v>24</v>
      </c>
      <c r="AG8" s="15">
        <f t="shared" si="6"/>
        <v>24.666666666666668</v>
      </c>
      <c r="AH8" s="15"/>
      <c r="AJ8" s="15" t="s">
        <v>39</v>
      </c>
      <c r="AK8" s="15">
        <f>AVERAGE(AK2:AK7)</f>
        <v>26.149999999999995</v>
      </c>
      <c r="AL8" s="15">
        <f t="shared" ref="AL8:AN8" si="7">AVERAGE(AL2:AL7)</f>
        <v>24.8</v>
      </c>
      <c r="AM8" s="15">
        <f t="shared" si="7"/>
        <v>25.633333333333336</v>
      </c>
      <c r="AN8" s="15">
        <f t="shared" si="7"/>
        <v>24.45</v>
      </c>
      <c r="AO8" s="15"/>
      <c r="AQ8" s="15" t="s">
        <v>39</v>
      </c>
      <c r="AR8" s="15">
        <f>AVERAGE(AR2:AR7)</f>
        <v>27.299999999999997</v>
      </c>
      <c r="AS8" s="15">
        <f t="shared" ref="AS8:AU8" si="8">AVERAGE(AS2:AS7)</f>
        <v>25.016666666666666</v>
      </c>
      <c r="AT8" s="15">
        <f>AVERAGE(AT2:AT7)</f>
        <v>26.283333333333335</v>
      </c>
      <c r="AU8" s="15">
        <f t="shared" si="8"/>
        <v>25.466666666666665</v>
      </c>
      <c r="AV8" s="15"/>
      <c r="AX8" s="15" t="s">
        <v>39</v>
      </c>
      <c r="AY8" s="15">
        <f>AVERAGE(AY2:AY7)</f>
        <v>27.183333333333337</v>
      </c>
      <c r="AZ8" s="15">
        <f t="shared" ref="AZ8" si="9">AVERAGE(AZ2:AZ7)</f>
        <v>25.233333333333334</v>
      </c>
      <c r="BA8" s="15">
        <f>AVERAGE(BA2:BA7)</f>
        <v>27.066666666666666</v>
      </c>
      <c r="BB8" s="15">
        <f t="shared" ref="BB8" si="10">AVERAGE(BB2:BB7)</f>
        <v>26.416666666666668</v>
      </c>
      <c r="BC8" s="15"/>
      <c r="BE8" s="15" t="s">
        <v>39</v>
      </c>
      <c r="BF8" s="15">
        <f>AVERAGE(BF2:BF7)</f>
        <v>27.783333333333335</v>
      </c>
      <c r="BG8" s="15">
        <f t="shared" ref="BG8" si="11">AVERAGE(BG2:BG7)</f>
        <v>25.650000000000002</v>
      </c>
      <c r="BH8" s="15">
        <f>AVERAGE(BH2:BH7)</f>
        <v>27.383333333333329</v>
      </c>
      <c r="BI8" s="15">
        <f t="shared" ref="BI8" si="12">AVERAGE(BI2:BI7)</f>
        <v>26.166666666666668</v>
      </c>
      <c r="BJ8" s="15"/>
      <c r="BL8" s="15" t="s">
        <v>39</v>
      </c>
      <c r="BM8" s="15">
        <f>AVERAGE(BM2:BM7)</f>
        <v>28.633333333333336</v>
      </c>
      <c r="BN8" s="15">
        <f t="shared" ref="BN8" si="13">AVERAGE(BN2:BN7)</f>
        <v>25.633333333333336</v>
      </c>
      <c r="BO8" s="15">
        <f>AVERAGE(BO2:BO7)</f>
        <v>27.933333333333337</v>
      </c>
      <c r="BP8" s="15">
        <f t="shared" ref="BP8" si="14">AVERAGE(BP2:BP7)</f>
        <v>27.216666666666669</v>
      </c>
      <c r="BQ8" s="15"/>
      <c r="BS8" s="15" t="s">
        <v>39</v>
      </c>
      <c r="BT8" s="15">
        <f>AVERAGE(BT2:BT7)</f>
        <v>29.166666666666668</v>
      </c>
      <c r="BU8" s="15">
        <f t="shared" ref="BU8" si="15">AVERAGE(BU2:BU7)</f>
        <v>26.283333333333335</v>
      </c>
      <c r="BV8" s="15">
        <f>AVERAGE(BV2:BV7)</f>
        <v>28.5</v>
      </c>
      <c r="BW8" s="15">
        <f t="shared" ref="BW8" si="16">AVERAGE(BW2:BW7)</f>
        <v>26.716666666666669</v>
      </c>
      <c r="BX8" s="15"/>
      <c r="BZ8" s="15" t="s">
        <v>39</v>
      </c>
      <c r="CA8" s="15">
        <f>AVERAGE(CA2:CA7)</f>
        <v>30.133333333333336</v>
      </c>
      <c r="CB8" s="15">
        <f t="shared" ref="CB8" si="17">AVERAGE(CB2:CB7)</f>
        <v>26.066666666666666</v>
      </c>
      <c r="CC8" s="15">
        <f>AVERAGE(CC2:CC7)</f>
        <v>29.066666666666663</v>
      </c>
      <c r="CD8" s="15">
        <f t="shared" ref="CD8" si="18">AVERAGE(CD2:CD7)</f>
        <v>26.7</v>
      </c>
      <c r="CE8" s="15"/>
      <c r="CG8" s="15" t="s">
        <v>39</v>
      </c>
      <c r="CH8" s="15">
        <f>AVERAGE(CH2:CH7)</f>
        <v>30</v>
      </c>
      <c r="CI8" s="15">
        <f t="shared" ref="CI8" si="19">AVERAGE(CI2:CI7)</f>
        <v>25.866666666666671</v>
      </c>
      <c r="CJ8" s="15">
        <f>AVERAGE(CJ2:CJ7)</f>
        <v>29.2</v>
      </c>
      <c r="CK8" s="15">
        <f t="shared" ref="CK8" si="20">AVERAGE(CK2:CK7)</f>
        <v>27.616666666666671</v>
      </c>
      <c r="CL8" s="15"/>
      <c r="CN8" s="15" t="s">
        <v>39</v>
      </c>
      <c r="CO8" s="15">
        <f>AVERAGE(CO2:CO7)</f>
        <v>31.05</v>
      </c>
      <c r="CP8" s="15">
        <f t="shared" ref="CP8" si="21">AVERAGE(CP2:CP7)</f>
        <v>26.933333333333334</v>
      </c>
      <c r="CQ8" s="15">
        <f>AVERAGE(CQ2:CQ6)</f>
        <v>29.840000000000003</v>
      </c>
      <c r="CR8" s="15">
        <f t="shared" ref="CR8" si="22">AVERAGE(CR2:CR7)</f>
        <v>26.183333333333334</v>
      </c>
      <c r="CS8" s="15"/>
      <c r="CU8" s="15" t="s">
        <v>39</v>
      </c>
      <c r="CV8" s="15">
        <f>AVERAGE(CV2:CV7)</f>
        <v>31.216666666666665</v>
      </c>
      <c r="CW8" s="15">
        <f t="shared" ref="CW8" si="23">AVERAGE(CW2:CW7)</f>
        <v>27.433333333333337</v>
      </c>
      <c r="CX8" s="15">
        <f>AVERAGE(CX2:CX6)</f>
        <v>30.639999999999997</v>
      </c>
      <c r="CY8" s="15">
        <f t="shared" ref="CY8" si="24">AVERAGE(CY2:CY7)</f>
        <v>26.400000000000002</v>
      </c>
      <c r="CZ8" s="15"/>
      <c r="DB8" s="15" t="s">
        <v>39</v>
      </c>
      <c r="DC8" s="15">
        <f>AVERAGE(DC2:DC7)</f>
        <v>32.250000000000007</v>
      </c>
      <c r="DD8" s="15">
        <f t="shared" ref="DD8" si="25">AVERAGE(DD2:DD7)</f>
        <v>26.466666666666669</v>
      </c>
      <c r="DE8" s="15">
        <f>AVERAGE(DE2:DE6)</f>
        <v>30.3</v>
      </c>
      <c r="DF8" s="15">
        <f t="shared" ref="DF8" si="26">AVERAGE(DF2:DF7)</f>
        <v>26.983333333333334</v>
      </c>
      <c r="DG8" s="15"/>
      <c r="DI8" s="15" t="s">
        <v>39</v>
      </c>
      <c r="DJ8" s="15">
        <f>AVERAGE(DJ2:DJ7)</f>
        <v>32.949999999999996</v>
      </c>
      <c r="DK8" s="15">
        <f t="shared" ref="DK8" si="27">AVERAGE(DK2:DK7)</f>
        <v>27.333333333333332</v>
      </c>
      <c r="DL8" s="15">
        <f>AVERAGE(DL2:DL6)</f>
        <v>30.639999999999997</v>
      </c>
      <c r="DM8" s="15">
        <f t="shared" ref="DM8" si="28">AVERAGE(DM2:DM7)</f>
        <v>26.733333333333334</v>
      </c>
      <c r="DN8" s="15"/>
      <c r="DP8" s="15" t="s">
        <v>39</v>
      </c>
      <c r="DQ8" s="15">
        <f>AVERAGE(DQ2:DQ7)</f>
        <v>33.56666666666667</v>
      </c>
      <c r="DR8" s="15">
        <f t="shared" ref="DR8" si="29">AVERAGE(DR2:DR7)</f>
        <v>27.45</v>
      </c>
      <c r="DS8" s="15">
        <f>AVERAGE(DS2:DS6)</f>
        <v>30.540000000000003</v>
      </c>
      <c r="DT8" s="15">
        <f t="shared" ref="DT8" si="30">AVERAGE(DT2:DT7)</f>
        <v>26.650000000000002</v>
      </c>
      <c r="DU8" s="15"/>
      <c r="DW8" s="15" t="s">
        <v>39</v>
      </c>
      <c r="DX8" s="15">
        <f>AVERAGE(DX2:DX7)</f>
        <v>34.383333333333333</v>
      </c>
      <c r="DY8" s="15">
        <f t="shared" ref="DY8" si="31">AVERAGE(DY2:DY7)</f>
        <v>27.833333333333332</v>
      </c>
      <c r="DZ8" s="15">
        <f>AVERAGE(DZ2:DZ6)</f>
        <v>31.259999999999998</v>
      </c>
      <c r="EA8" s="15">
        <f t="shared" ref="EA8" si="32">AVERAGE(EA2:EA7)</f>
        <v>27.083333333333339</v>
      </c>
      <c r="EB8" s="15"/>
      <c r="ED8" s="15" t="s">
        <v>39</v>
      </c>
      <c r="EE8" s="15">
        <f>AVERAGE(EE2:EE7)</f>
        <v>34.260000000000005</v>
      </c>
      <c r="EF8" s="15">
        <f>AVERAGE(EF2:EF7)</f>
        <v>27.259999999999998</v>
      </c>
      <c r="EG8" s="15">
        <f>AVERAGE(EG2:EG6)</f>
        <v>30.6</v>
      </c>
      <c r="EH8" s="15">
        <f t="shared" ref="EH8" si="33">AVERAGE(EH2:EH7)</f>
        <v>25.580000000000002</v>
      </c>
      <c r="EI8" s="15"/>
      <c r="EK8" s="15" t="s">
        <v>39</v>
      </c>
      <c r="EL8" s="15" t="e">
        <f>AVERAGE(EL2:EL7)</f>
        <v>#DIV/0!</v>
      </c>
      <c r="EM8" s="15" t="e">
        <f>AVERAGE(EM2:EM7)</f>
        <v>#DIV/0!</v>
      </c>
      <c r="EN8" s="15" t="e">
        <f>AVERAGE(EN2:EN6)</f>
        <v>#DIV/0!</v>
      </c>
      <c r="EO8" s="15" t="e">
        <f t="shared" ref="EO8" si="34">AVERAGE(EO2:EO7)</f>
        <v>#DIV/0!</v>
      </c>
      <c r="EP8" s="15"/>
      <c r="ER8" s="15" t="s">
        <v>39</v>
      </c>
      <c r="ES8" s="15">
        <f>AVERAGE(ES2:ES7)</f>
        <v>34.760000000000005</v>
      </c>
      <c r="ET8" s="15">
        <f>AVERAGE(ET2:ET7)</f>
        <v>28</v>
      </c>
      <c r="EU8" s="15">
        <f>AVERAGE(EU2:EU6)</f>
        <v>30.975000000000001</v>
      </c>
      <c r="EV8" s="15">
        <f t="shared" ref="EV8" si="35">AVERAGE(EV2:EV7)</f>
        <v>27.05</v>
      </c>
      <c r="EW8" s="15"/>
      <c r="EY8" s="15" t="s">
        <v>39</v>
      </c>
      <c r="EZ8" s="15">
        <f>AVERAGE(EZ2:EZ7)</f>
        <v>35.040000000000006</v>
      </c>
      <c r="FA8" s="15">
        <f>AVERAGE(FA2:FA7)</f>
        <v>28.26</v>
      </c>
      <c r="FB8" s="15">
        <f>AVERAGE(FB2:FB6)</f>
        <v>31.325000000000003</v>
      </c>
      <c r="FC8" s="15">
        <f t="shared" ref="FC8" si="36">AVERAGE(FC2:FC7)</f>
        <v>26.799999999999997</v>
      </c>
      <c r="FD8" s="15"/>
      <c r="FF8" s="15" t="s">
        <v>39</v>
      </c>
      <c r="FG8" s="15">
        <f>AVERAGE(FG2:FG7)</f>
        <v>28.8</v>
      </c>
      <c r="FH8" s="15">
        <f>AVERAGE(FH2:FH7)</f>
        <v>29.2</v>
      </c>
      <c r="FI8" s="15" t="e">
        <f>AVERAGE(FI2:FI6)</f>
        <v>#DIV/0!</v>
      </c>
      <c r="FJ8" s="15" t="e">
        <f t="shared" ref="FJ8" si="37">AVERAGE(FJ2:FJ7)</f>
        <v>#DIV/0!</v>
      </c>
      <c r="FK8" s="15"/>
      <c r="FM8" s="15" t="s">
        <v>39</v>
      </c>
      <c r="FN8" s="15">
        <f>AVERAGE(FN2:FN7)</f>
        <v>32.08</v>
      </c>
      <c r="FO8" s="15">
        <f>AVERAGE(FO2:FO7)</f>
        <v>29.074999999999996</v>
      </c>
      <c r="FP8" s="15">
        <f>AVERAGE(FP2:FP6)</f>
        <v>30.724999999999998</v>
      </c>
      <c r="FQ8" s="15">
        <f t="shared" ref="FQ8" si="38">AVERAGE(FQ2:FQ7)</f>
        <v>25.5</v>
      </c>
      <c r="FR8" s="15"/>
    </row>
    <row r="9" spans="1:174">
      <c r="A9" t="s">
        <v>40</v>
      </c>
      <c r="B9">
        <f>STDEV(B2:B7)</f>
        <v>1.1933147112141034</v>
      </c>
      <c r="C9">
        <f t="shared" ref="C9:E9" si="39">STDEV(C2:C7)</f>
        <v>1.8605554726120554</v>
      </c>
      <c r="D9">
        <f t="shared" si="39"/>
        <v>1.8467990325605725</v>
      </c>
      <c r="E9">
        <f t="shared" si="39"/>
        <v>1.0907184176801394</v>
      </c>
      <c r="H9" t="s">
        <v>40</v>
      </c>
      <c r="I9" t="e">
        <f>STDEV(I2:I7)</f>
        <v>#DIV/0!</v>
      </c>
      <c r="J9" t="e">
        <f t="shared" ref="J9:L9" si="40">STDEV(J2:J7)</f>
        <v>#DIV/0!</v>
      </c>
      <c r="K9" t="e">
        <f t="shared" si="40"/>
        <v>#DIV/0!</v>
      </c>
      <c r="L9" t="e">
        <f t="shared" si="40"/>
        <v>#DIV/0!</v>
      </c>
      <c r="O9" s="15" t="s">
        <v>40</v>
      </c>
      <c r="P9" s="15">
        <f>STDEV(P2:P7)</f>
        <v>1.1113055385446431</v>
      </c>
      <c r="Q9" s="15">
        <f t="shared" ref="Q9:S9" si="41">STDEV(Q2:Q7)</f>
        <v>1.9623115620784237</v>
      </c>
      <c r="R9" s="15">
        <f t="shared" si="41"/>
        <v>1.6104864689486429</v>
      </c>
      <c r="S9" s="15">
        <f t="shared" si="41"/>
        <v>1.6339114623095918</v>
      </c>
      <c r="T9" s="15"/>
      <c r="V9" s="15" t="s">
        <v>40</v>
      </c>
      <c r="W9" s="15">
        <f>STDEV(W2:W7)</f>
        <v>0.70898989179442151</v>
      </c>
      <c r="X9" s="15">
        <f t="shared" ref="X9:Z9" si="42">STDEV(X2:X7)</f>
        <v>2.0333879774078198</v>
      </c>
      <c r="Y9" s="15">
        <f t="shared" si="42"/>
        <v>1.6428633540255255</v>
      </c>
      <c r="Z9" s="15">
        <f t="shared" si="42"/>
        <v>1.3644290625263982</v>
      </c>
      <c r="AA9" s="15"/>
      <c r="AC9" s="15" t="s">
        <v>40</v>
      </c>
      <c r="AD9" s="15">
        <f>STDEV(AD2:AD7)</f>
        <v>1.4363147287415809</v>
      </c>
      <c r="AE9" s="15">
        <f t="shared" ref="AE9:AG9" si="43">STDEV(AE2:AE7)</f>
        <v>2.2141966187912643</v>
      </c>
      <c r="AF9" s="15">
        <f t="shared" si="43"/>
        <v>1.7308957218735044</v>
      </c>
      <c r="AG9" s="15">
        <f t="shared" si="43"/>
        <v>1.8239152027072596</v>
      </c>
      <c r="AH9" s="15"/>
      <c r="AJ9" s="15" t="s">
        <v>40</v>
      </c>
      <c r="AK9" s="15">
        <f>STDEV(AK2:AK7)</f>
        <v>1.150217370760849</v>
      </c>
      <c r="AL9" s="15">
        <f t="shared" ref="AL9:AN9" si="44">STDEV(AL2:AL7)</f>
        <v>2.2441033844277309</v>
      </c>
      <c r="AM9" s="15">
        <f t="shared" si="44"/>
        <v>1.7408810030173418</v>
      </c>
      <c r="AN9" s="15">
        <f t="shared" si="44"/>
        <v>1.4761436244485155</v>
      </c>
      <c r="AO9" s="15"/>
      <c r="AQ9" s="15" t="s">
        <v>40</v>
      </c>
      <c r="AR9" s="15">
        <f>STDEV(AR2:AR7)</f>
        <v>1.183215956619923</v>
      </c>
      <c r="AS9" s="15">
        <f t="shared" ref="AS9:AU9" si="45">STDEV(AS2:AS7)</f>
        <v>2.0370730636544847</v>
      </c>
      <c r="AT9" s="15">
        <f>STDEV(AT2:AT7)</f>
        <v>1.7758566008173826</v>
      </c>
      <c r="AU9" s="15">
        <f t="shared" si="45"/>
        <v>1.3880441875771345</v>
      </c>
      <c r="AV9" s="15"/>
      <c r="AX9" s="15" t="s">
        <v>40</v>
      </c>
      <c r="AY9" s="15">
        <f>STDEV(AY2:AY7)</f>
        <v>1.1600287352762719</v>
      </c>
      <c r="AZ9" s="15">
        <f t="shared" ref="AZ9" si="46">STDEV(AZ2:AZ7)</f>
        <v>2.0432001044113779</v>
      </c>
      <c r="BA9" s="15">
        <f>STDEV(BA2:BA7)</f>
        <v>1.7431771759252315</v>
      </c>
      <c r="BB9" s="15">
        <f t="shared" ref="BB9" si="47">STDEV(BB2:BB7)</f>
        <v>1.3847984209503803</v>
      </c>
      <c r="BC9" s="15"/>
      <c r="BE9" s="15" t="s">
        <v>40</v>
      </c>
      <c r="BF9" s="15">
        <f>STDEV(BF2:BF7)</f>
        <v>1.2237919213112449</v>
      </c>
      <c r="BG9" s="15">
        <f t="shared" ref="BG9" si="48">STDEV(BG2:BG7)</f>
        <v>2.1417282740814709</v>
      </c>
      <c r="BH9" s="15">
        <f>STDEV(BH2:BH7)</f>
        <v>1.6690316553818463</v>
      </c>
      <c r="BI9" s="15">
        <f t="shared" ref="BI9" si="49">STDEV(BI2:BI7)</f>
        <v>1.1570076346622209</v>
      </c>
      <c r="BJ9" s="15"/>
      <c r="BL9" s="15" t="s">
        <v>40</v>
      </c>
      <c r="BM9" s="15">
        <f>STDEV(BM2:BM7)</f>
        <v>1.5015547498065689</v>
      </c>
      <c r="BN9" s="15">
        <f t="shared" ref="BN9" si="50">STDEV(BN2:BN7)</f>
        <v>2.1191193139289415</v>
      </c>
      <c r="BO9" s="15">
        <f>STDEV(BO2:BO7)</f>
        <v>1.7224014243685082</v>
      </c>
      <c r="BP9" s="15">
        <f t="shared" ref="BP9" si="51">STDEV(BP2:BP7)</f>
        <v>1.3790093062291733</v>
      </c>
      <c r="BQ9" s="15"/>
      <c r="BS9" s="15" t="s">
        <v>40</v>
      </c>
      <c r="BT9" s="15">
        <f>STDEV(BT2:BT7)</f>
        <v>1.3793718377097106</v>
      </c>
      <c r="BU9" s="15">
        <f t="shared" ref="BU9" si="52">STDEV(BU2:BU7)</f>
        <v>2.7169222783632714</v>
      </c>
      <c r="BV9" s="15">
        <f>STDEV(BV2:BV7)</f>
        <v>1.6589153082662174</v>
      </c>
      <c r="BW9" s="15">
        <f t="shared" ref="BW9" si="53">STDEV(BW2:BW7)</f>
        <v>1.1720352668186507</v>
      </c>
      <c r="BX9" s="15"/>
      <c r="BZ9" s="15" t="s">
        <v>40</v>
      </c>
      <c r="CA9" s="15">
        <f>STDEV(CA2:CA7)</f>
        <v>2.1360399496888323</v>
      </c>
      <c r="CB9" s="15">
        <f t="shared" ref="CB9" si="54">STDEV(CB2:CB7)</f>
        <v>2.219609575278199</v>
      </c>
      <c r="CC9" s="15">
        <f>STDEV(CC2:CC7)</f>
        <v>1.6860209567697146</v>
      </c>
      <c r="CD9" s="15">
        <f t="shared" ref="CD9" si="55">STDEV(CD2:CD7)</f>
        <v>0.8461678320522471</v>
      </c>
      <c r="CE9" s="15"/>
      <c r="CG9" s="15" t="s">
        <v>40</v>
      </c>
      <c r="CH9" s="15">
        <f>STDEV(CH2:CH7)</f>
        <v>1.6087262041752157</v>
      </c>
      <c r="CI9" s="15">
        <f t="shared" ref="CI9" si="56">STDEV(CI2:CI7)</f>
        <v>2.2940502755316121</v>
      </c>
      <c r="CJ9" s="15">
        <f>STDEV(CJ2:CJ7)</f>
        <v>2.036663938896154</v>
      </c>
      <c r="CK9" s="15">
        <f t="shared" ref="CK9" si="57">STDEV(CK2:CK7)</f>
        <v>1.0684880283216396</v>
      </c>
      <c r="CL9" s="15"/>
      <c r="CN9" s="15" t="s">
        <v>40</v>
      </c>
      <c r="CO9" s="15">
        <f>STDEV(CO2:CO7)</f>
        <v>1.8833480825381173</v>
      </c>
      <c r="CP9" s="15">
        <f t="shared" ref="CP9" si="58">STDEV(CP2:CP7)</f>
        <v>2.1444502014891058</v>
      </c>
      <c r="CQ9" s="15">
        <f>STDEV(CQ2:CQ6)</f>
        <v>0.77330459716724809</v>
      </c>
      <c r="CR9" s="15">
        <f t="shared" ref="CR9" si="59">STDEV(CR2:CR7)</f>
        <v>0.81342895612749555</v>
      </c>
      <c r="CS9" s="15"/>
      <c r="CU9" s="15" t="s">
        <v>40</v>
      </c>
      <c r="CV9" s="15">
        <f>STDEV(CV2:CV7)</f>
        <v>1.9301986080884694</v>
      </c>
      <c r="CW9" s="15">
        <f t="shared" ref="CW9" si="60">STDEV(CW2:CW7)</f>
        <v>2.3286619906432668</v>
      </c>
      <c r="CX9" s="15">
        <f>STDEV(CX2:CX6)</f>
        <v>0.7056911505750938</v>
      </c>
      <c r="CY9" s="15">
        <f t="shared" ref="CY9" si="61">STDEV(CY2:CY7)</f>
        <v>0.90553851381374184</v>
      </c>
      <c r="CZ9" s="15"/>
      <c r="DB9" s="15" t="s">
        <v>40</v>
      </c>
      <c r="DC9" s="15">
        <f>STDEV(DC2:DC7)</f>
        <v>2.3864199127563452</v>
      </c>
      <c r="DD9" s="15">
        <f t="shared" ref="DD9" si="62">STDEV(DD2:DD7)</f>
        <v>2.026491220476089</v>
      </c>
      <c r="DE9" s="15">
        <f>STDEV(DE2:DE6)</f>
        <v>0.73824115301167026</v>
      </c>
      <c r="DF9" s="15">
        <f t="shared" ref="DF9" si="63">STDEV(DF2:DF7)</f>
        <v>0.36560452221856665</v>
      </c>
      <c r="DG9" s="15"/>
      <c r="DI9" s="15" t="s">
        <v>40</v>
      </c>
      <c r="DJ9" s="15">
        <f>STDEV(DJ2:DJ7)</f>
        <v>2.4337214302380632</v>
      </c>
      <c r="DK9" s="15">
        <f t="shared" ref="DK9" si="64">STDEV(DK2:DK7)</f>
        <v>2.0684938159604602</v>
      </c>
      <c r="DL9" s="15">
        <f>STDEV(DL2:DL6)</f>
        <v>0.86486993241758647</v>
      </c>
      <c r="DM9" s="15">
        <f t="shared" ref="DM9" si="65">STDEV(DM2:DM7)</f>
        <v>0.65319726474218065</v>
      </c>
      <c r="DN9" s="15"/>
      <c r="DP9" s="15" t="s">
        <v>40</v>
      </c>
      <c r="DQ9" s="15">
        <f>STDEV(DQ2:DQ7)</f>
        <v>2.5858589804292618</v>
      </c>
      <c r="DR9" s="15">
        <f t="shared" ref="DR9" si="66">STDEV(DR2:DR7)</f>
        <v>1.9470490492024075</v>
      </c>
      <c r="DS9" s="15">
        <f>STDEV(DS2:DS6)</f>
        <v>0.80498447189992484</v>
      </c>
      <c r="DT9" s="15">
        <f t="shared" ref="DT9" si="67">STDEV(DT2:DT7)</f>
        <v>0.58906705900092537</v>
      </c>
      <c r="DU9" s="15"/>
      <c r="DW9" s="15" t="s">
        <v>40</v>
      </c>
      <c r="DX9" s="15">
        <f>STDEV(DX2:DX7)</f>
        <v>2.8223512656412328</v>
      </c>
      <c r="DY9" s="15">
        <f t="shared" ref="DY9" si="68">STDEV(DY2:DY7)</f>
        <v>2.2348750897235101</v>
      </c>
      <c r="DZ9" s="15">
        <f>STDEV(DZ2:DZ6)</f>
        <v>1.0922453936730507</v>
      </c>
      <c r="EA9" s="15">
        <f t="shared" ref="EA9" si="69">STDEV(EA2:EA7)</f>
        <v>0.72502873506273369</v>
      </c>
      <c r="EB9" s="15"/>
      <c r="ED9" s="15" t="s">
        <v>40</v>
      </c>
      <c r="EE9" s="15">
        <f>STDEV(EE2:EE7)</f>
        <v>3.472463102755738</v>
      </c>
      <c r="EF9" s="15">
        <f>STDEV(EF2:EF7)</f>
        <v>1.7672011770027778</v>
      </c>
      <c r="EG9" s="15">
        <f>STDEV(EG2:EG6)</f>
        <v>0.67823299831252637</v>
      </c>
      <c r="EH9" s="15">
        <f t="shared" ref="EH9" si="70">STDEV(EH2:EH7)</f>
        <v>1.4411800720243115</v>
      </c>
      <c r="EI9" s="15"/>
      <c r="EK9" s="15" t="s">
        <v>40</v>
      </c>
      <c r="EL9" s="15" t="e">
        <f>STDEV(EL2:EL6)</f>
        <v>#DIV/0!</v>
      </c>
      <c r="EM9" s="15" t="e">
        <f>STDEV(EM2:EM7)</f>
        <v>#DIV/0!</v>
      </c>
      <c r="EN9" s="15" t="e">
        <f>STDEV(EN2:EN6)</f>
        <v>#DIV/0!</v>
      </c>
      <c r="EO9" s="15" t="e">
        <f t="shared" ref="EO9" si="71">STDEV(EO2:EO7)</f>
        <v>#DIV/0!</v>
      </c>
      <c r="EP9" s="15"/>
      <c r="ER9" s="15" t="s">
        <v>40</v>
      </c>
      <c r="ES9" s="15">
        <f>STDEV(ES2:ES6)</f>
        <v>1.39761701954911</v>
      </c>
      <c r="ET9" s="15">
        <f>STDEV(ET2:ET7)</f>
        <v>2.1691011963483855</v>
      </c>
      <c r="EU9" s="15">
        <f>STDEV(EU2:EU6)</f>
        <v>0.78049129826453922</v>
      </c>
      <c r="EV9" s="15">
        <f t="shared" ref="EV9" si="72">STDEV(EV2:EV7)</f>
        <v>0.97467943448089656</v>
      </c>
      <c r="EW9" s="15"/>
      <c r="EY9" s="15" t="s">
        <v>40</v>
      </c>
      <c r="EZ9" s="15">
        <f>STDEV(EZ2:EZ6)</f>
        <v>1.7211914478058501</v>
      </c>
      <c r="FA9" s="15">
        <f>STDEV(FA2:FA7)</f>
        <v>1.9616319736382768</v>
      </c>
      <c r="FB9" s="15">
        <f>STDEV(FB2:FB6)</f>
        <v>1.0594810050208561</v>
      </c>
      <c r="FC9" s="15">
        <f t="shared" ref="FC9" si="73">STDEV(FC2:FC7)</f>
        <v>1.3441230102437298</v>
      </c>
      <c r="FD9" s="15"/>
      <c r="FF9" s="15" t="s">
        <v>40</v>
      </c>
      <c r="FG9" s="15" t="e">
        <f>STDEV(FG2:FG6)</f>
        <v>#DIV/0!</v>
      </c>
      <c r="FH9" s="15" t="e">
        <f>STDEV(FH2:FH7)</f>
        <v>#DIV/0!</v>
      </c>
      <c r="FI9" s="15" t="e">
        <f>STDEV(FI2:FI6)</f>
        <v>#DIV/0!</v>
      </c>
      <c r="FJ9" s="15" t="e">
        <f t="shared" ref="FJ9" si="74">STDEV(FJ2:FJ7)</f>
        <v>#DIV/0!</v>
      </c>
      <c r="FK9" s="15"/>
      <c r="FM9" s="15" t="s">
        <v>40</v>
      </c>
      <c r="FN9" s="15">
        <f>STDEV(FN2:FN6)</f>
        <v>5.382068994974567</v>
      </c>
      <c r="FO9" s="15">
        <f>STDEV(FO2:FO7)</f>
        <v>3.2221886971436038</v>
      </c>
      <c r="FP9" s="15">
        <f>STDEV(FP2:FP6)</f>
        <v>1.5261607604268517</v>
      </c>
      <c r="FQ9" s="15">
        <f t="shared" ref="FQ9" si="75">STDEV(FQ2:FQ7)</f>
        <v>2.165640782770772</v>
      </c>
      <c r="FR9" s="15"/>
    </row>
    <row r="10" spans="1:174">
      <c r="A10" t="s">
        <v>41</v>
      </c>
      <c r="B10">
        <f>B9/(SQRT(6))</f>
        <v>0.48716869083853614</v>
      </c>
      <c r="C10">
        <f t="shared" ref="C10:E10" si="76">C9/(SQRT(6))</f>
        <v>0.75956859100705643</v>
      </c>
      <c r="D10">
        <f t="shared" si="76"/>
        <v>0.7539525478731699</v>
      </c>
      <c r="E10">
        <f t="shared" si="76"/>
        <v>0.44528392939536665</v>
      </c>
      <c r="H10" t="s">
        <v>41</v>
      </c>
      <c r="I10" t="e">
        <f>I9/(SQRT(6))</f>
        <v>#DIV/0!</v>
      </c>
      <c r="J10" t="e">
        <f t="shared" ref="J10" si="77">J9/(SQRT(6))</f>
        <v>#DIV/0!</v>
      </c>
      <c r="K10" t="e">
        <f t="shared" ref="K10" si="78">K9/(SQRT(6))</f>
        <v>#DIV/0!</v>
      </c>
      <c r="L10" t="e">
        <f t="shared" ref="L10" si="79">L9/(SQRT(6))</f>
        <v>#DIV/0!</v>
      </c>
      <c r="O10" s="15" t="s">
        <v>41</v>
      </c>
      <c r="P10" s="15">
        <f>P9/(SQRT(6))</f>
        <v>0.45368858629387321</v>
      </c>
      <c r="Q10" s="15">
        <f t="shared" ref="Q10:S10" si="80">Q9/(SQRT(6))</f>
        <v>0.80111034057598918</v>
      </c>
      <c r="R10" s="15">
        <f t="shared" si="80"/>
        <v>0.6574783477634667</v>
      </c>
      <c r="S10" s="15">
        <f t="shared" si="80"/>
        <v>0.66704156125720149</v>
      </c>
      <c r="T10" s="15"/>
      <c r="V10" s="15" t="s">
        <v>41</v>
      </c>
      <c r="W10" s="15">
        <f>W9/(SQRT(6))</f>
        <v>0.28944391128123181</v>
      </c>
      <c r="X10" s="15">
        <f t="shared" ref="X10" si="81">X9/(SQRT(6))</f>
        <v>0.83012716562651467</v>
      </c>
      <c r="Y10" s="15">
        <f t="shared" ref="Y10" si="82">Y9/(SQRT(6))</f>
        <v>0.67069615574664898</v>
      </c>
      <c r="Z10" s="15">
        <f t="shared" ref="Z10" si="83">Z9/(SQRT(6))</f>
        <v>0.55702583223561342</v>
      </c>
      <c r="AA10" s="15"/>
      <c r="AC10" s="15" t="s">
        <v>41</v>
      </c>
      <c r="AD10" s="15">
        <f>AD9/(SQRT(6))</f>
        <v>0.58637303257681761</v>
      </c>
      <c r="AE10" s="15">
        <f t="shared" ref="AE10:AG10" si="84">AE9/(SQRT(6))</f>
        <v>0.90394198437239948</v>
      </c>
      <c r="AF10" s="15">
        <f t="shared" si="84"/>
        <v>0.70663521942607233</v>
      </c>
      <c r="AG10" s="15">
        <f t="shared" si="84"/>
        <v>0.744610263456289</v>
      </c>
      <c r="AH10" s="15"/>
      <c r="AJ10" s="15" t="s">
        <v>41</v>
      </c>
      <c r="AK10" s="15">
        <f>AK9/(SQRT(6))</f>
        <v>0.46957427527495593</v>
      </c>
      <c r="AL10" s="15">
        <f t="shared" ref="AL10:AN10" si="85">AL9/(SQRT(6))</f>
        <v>0.91615137031679039</v>
      </c>
      <c r="AM10" s="15">
        <f t="shared" si="85"/>
        <v>0.71071169338284501</v>
      </c>
      <c r="AN10" s="15">
        <f t="shared" si="85"/>
        <v>0.6026331111602371</v>
      </c>
      <c r="AO10" s="15"/>
      <c r="AQ10" s="15" t="s">
        <v>41</v>
      </c>
      <c r="AR10" s="15">
        <f>AR9/(SQRT(6))</f>
        <v>0.48304589153964789</v>
      </c>
      <c r="AS10" s="15">
        <f t="shared" ref="AS10:AU10" si="86">AS9/(SQRT(6))</f>
        <v>0.83163159578692747</v>
      </c>
      <c r="AT10" s="15">
        <f t="shared" si="86"/>
        <v>0.72499042139266334</v>
      </c>
      <c r="AU10" s="15">
        <f t="shared" si="86"/>
        <v>0.56666666666666687</v>
      </c>
      <c r="AV10" s="15"/>
      <c r="AX10" s="15" t="s">
        <v>41</v>
      </c>
      <c r="AY10" s="15">
        <f>AY9/(SQRT(6))</f>
        <v>0.47357974806549519</v>
      </c>
      <c r="AZ10" s="15">
        <f t="shared" ref="AZ10:BB10" si="87">AZ9/(SQRT(6))</f>
        <v>0.83413294970153151</v>
      </c>
      <c r="BA10" s="15">
        <f t="shared" si="87"/>
        <v>0.71164910204710041</v>
      </c>
      <c r="BB10" s="15">
        <f t="shared" si="87"/>
        <v>0.56534158799004974</v>
      </c>
      <c r="BC10" s="15"/>
      <c r="BE10" s="15" t="s">
        <v>41</v>
      </c>
      <c r="BF10" s="15">
        <f>BF9/(SQRT(6))</f>
        <v>0.49961095975880215</v>
      </c>
      <c r="BG10" s="15">
        <f t="shared" ref="BG10:BI10" si="88">BG9/(SQRT(6))</f>
        <v>0.87435690653188047</v>
      </c>
      <c r="BH10" s="15">
        <f t="shared" si="88"/>
        <v>0.68137932003971013</v>
      </c>
      <c r="BI10" s="15">
        <f t="shared" si="88"/>
        <v>0.47234638890448949</v>
      </c>
      <c r="BJ10" s="15"/>
      <c r="BL10" s="15" t="s">
        <v>41</v>
      </c>
      <c r="BM10" s="15">
        <f>BM9/(SQRT(6))</f>
        <v>0.61300715964642538</v>
      </c>
      <c r="BN10" s="15">
        <f t="shared" ref="BN10:BP10" si="89">BN9/(SQRT(6))</f>
        <v>0.8651268372004447</v>
      </c>
      <c r="BO10" s="15">
        <f t="shared" si="89"/>
        <v>0.70316743699096618</v>
      </c>
      <c r="BP10" s="15">
        <f t="shared" si="89"/>
        <v>0.56297819180181785</v>
      </c>
      <c r="BQ10" s="15"/>
      <c r="BS10" s="15" t="s">
        <v>41</v>
      </c>
      <c r="BT10" s="15">
        <f>BT9/(SQRT(6))</f>
        <v>0.5631261946589865</v>
      </c>
      <c r="BU10" s="15">
        <f t="shared" ref="BU10:BW10" si="90">BU9/(SQRT(6))</f>
        <v>1.1091788754649894</v>
      </c>
      <c r="BV10" s="15">
        <f t="shared" si="90"/>
        <v>0.6772493386240156</v>
      </c>
      <c r="BW10" s="15">
        <f t="shared" si="90"/>
        <v>0.47848139404207174</v>
      </c>
      <c r="BX10" s="15"/>
      <c r="BZ10" s="15" t="s">
        <v>41</v>
      </c>
      <c r="CA10" s="15">
        <f>CA9/(SQRT(6))</f>
        <v>0.87203465782298184</v>
      </c>
      <c r="CB10" s="15">
        <f t="shared" ref="CB10:CD10" si="91">CB9/(SQRT(6))</f>
        <v>0.90615181460454586</v>
      </c>
      <c r="CC10" s="15">
        <f t="shared" si="91"/>
        <v>0.68831517328748271</v>
      </c>
      <c r="CD10" s="15">
        <f t="shared" si="91"/>
        <v>0.34544657088084307</v>
      </c>
      <c r="CE10" s="15"/>
      <c r="CG10" s="15" t="s">
        <v>41</v>
      </c>
      <c r="CH10" s="15">
        <f>CH9/(SQRT(6))</f>
        <v>0.65675972267895133</v>
      </c>
      <c r="CI10" s="15">
        <f t="shared" ref="CI10:CK10" si="92">CI9/(SQRT(6))</f>
        <v>0.93654210322393461</v>
      </c>
      <c r="CJ10" s="15">
        <f t="shared" si="92"/>
        <v>0.83146457130375251</v>
      </c>
      <c r="CK10" s="15">
        <f t="shared" si="92"/>
        <v>0.43620841094341306</v>
      </c>
      <c r="CL10" s="15"/>
      <c r="CN10" s="15" t="s">
        <v>41</v>
      </c>
      <c r="CO10" s="15">
        <f>CO9/(SQRT(6))</f>
        <v>0.76887363504458084</v>
      </c>
      <c r="CP10" s="15">
        <f t="shared" ref="CP10:CR10" si="93">CP9/(SQRT(6))</f>
        <v>0.8754681287428141</v>
      </c>
      <c r="CQ10" s="15">
        <f>CQ9/(SQRT(5))</f>
        <v>0.34583232931581159</v>
      </c>
      <c r="CR10" s="15">
        <f t="shared" si="93"/>
        <v>0.33208098075285469</v>
      </c>
      <c r="CS10" s="15"/>
      <c r="CU10" s="15" t="s">
        <v>41</v>
      </c>
      <c r="CV10" s="15">
        <f>CV9/(SQRT(6))</f>
        <v>0.78800028200784566</v>
      </c>
      <c r="CW10" s="15">
        <f t="shared" ref="CW10" si="94">CW9/(SQRT(6))</f>
        <v>0.95067227674828991</v>
      </c>
      <c r="CX10" s="15">
        <f>CX9/(SQRT(5))</f>
        <v>0.31559467676118991</v>
      </c>
      <c r="CY10" s="15">
        <f t="shared" ref="CY10" si="95">CY9/(SQRT(6))</f>
        <v>0.36968455021364732</v>
      </c>
      <c r="CZ10" s="15"/>
      <c r="DB10" s="15" t="s">
        <v>41</v>
      </c>
      <c r="DC10" s="15">
        <f>DC9/(SQRT(6))</f>
        <v>0.9742518497116992</v>
      </c>
      <c r="DD10" s="15">
        <f t="shared" ref="DD10" si="96">DD9/(SQRT(6))</f>
        <v>0.82731157639939068</v>
      </c>
      <c r="DE10" s="15">
        <f>DE9/(SQRT(5))</f>
        <v>0.33015148038438363</v>
      </c>
      <c r="DF10" s="15">
        <f t="shared" ref="DF10" si="97">DF9/(SQRT(6))</f>
        <v>0.14925742118158727</v>
      </c>
      <c r="DG10" s="15"/>
      <c r="DI10" s="15" t="s">
        <v>41</v>
      </c>
      <c r="DJ10" s="15">
        <f>DJ9/(SQRT(6))</f>
        <v>0.99356261335995699</v>
      </c>
      <c r="DK10" s="15">
        <f t="shared" ref="DK10" si="98">DK9/(SQRT(6))</f>
        <v>0.84445906420093042</v>
      </c>
      <c r="DL10" s="15">
        <f>DL9/(SQRT(5))</f>
        <v>0.38678159211627444</v>
      </c>
      <c r="DM10" s="15">
        <f t="shared" ref="DM10" si="99">DM9/(SQRT(6))</f>
        <v>0.26666666666666661</v>
      </c>
      <c r="DN10" s="15"/>
      <c r="DP10" s="15" t="s">
        <v>41</v>
      </c>
      <c r="DQ10" s="15">
        <f>DQ9/(SQRT(6))</f>
        <v>1.055672508140874</v>
      </c>
      <c r="DR10" s="15">
        <f t="shared" ref="DR10" si="100">DR9/(SQRT(6))</f>
        <v>0.79487944578617287</v>
      </c>
      <c r="DS10" s="15">
        <f>DS9/(SQRT(5))</f>
        <v>0.36000000000000021</v>
      </c>
      <c r="DT10" s="15">
        <f t="shared" ref="DT10" si="101">DT9/(SQRT(6))</f>
        <v>0.24048561980570335</v>
      </c>
      <c r="DU10" s="15"/>
      <c r="DW10" s="15" t="s">
        <v>41</v>
      </c>
      <c r="DX10" s="15">
        <f>DX9/(SQRT(6))</f>
        <v>1.1522200792865536</v>
      </c>
      <c r="DY10" s="15">
        <f t="shared" ref="DY10" si="102">DY9/(SQRT(6))</f>
        <v>0.91238393477989554</v>
      </c>
      <c r="DZ10" s="15">
        <f>DZ9/(SQRT(5))</f>
        <v>0.48846698967279201</v>
      </c>
      <c r="EA10" s="15">
        <f t="shared" ref="EA10" si="103">EA9/(SQRT(6))</f>
        <v>0.29599174162653813</v>
      </c>
      <c r="EB10" s="15"/>
      <c r="ED10" s="15" t="s">
        <v>41</v>
      </c>
      <c r="EE10" s="15">
        <f>EE9/(SQRT(5))</f>
        <v>1.5529327094243335</v>
      </c>
      <c r="EF10" s="15">
        <f>EF9/(SQRT(5))</f>
        <v>0.79031639233916984</v>
      </c>
      <c r="EG10" s="15">
        <f>EG9/(SQRT(4))</f>
        <v>0.33911649915626318</v>
      </c>
      <c r="EH10" s="15">
        <f>EH9/(SQRT(5))</f>
        <v>0.64451532177288062</v>
      </c>
      <c r="EI10" s="15"/>
      <c r="EK10" s="15" t="s">
        <v>41</v>
      </c>
      <c r="EL10" s="15" t="e">
        <f>EL9/(SQRT(5))</f>
        <v>#DIV/0!</v>
      </c>
      <c r="EM10" s="15" t="e">
        <f>EM9/(SQRT(5))</f>
        <v>#DIV/0!</v>
      </c>
      <c r="EN10" s="15" t="e">
        <f>EN9/(SQRT(4))</f>
        <v>#DIV/0!</v>
      </c>
      <c r="EO10" s="15" t="e">
        <f>EO9/(SQRT(5))</f>
        <v>#DIV/0!</v>
      </c>
      <c r="EP10" s="15"/>
      <c r="ER10" s="15" t="s">
        <v>41</v>
      </c>
      <c r="ES10" s="15">
        <f>ES9/(SQRT(5))</f>
        <v>0.62503333244449244</v>
      </c>
      <c r="ET10" s="15">
        <f>ET9/(SQRT(5))</f>
        <v>0.97005154502222168</v>
      </c>
      <c r="EU10" s="15">
        <f>EU9/(SQRT(4))</f>
        <v>0.39024564913226961</v>
      </c>
      <c r="EV10" s="15">
        <f>EV9/(SQRT(4))</f>
        <v>0.48733971724044828</v>
      </c>
      <c r="EW10" s="15"/>
      <c r="EY10" s="15" t="s">
        <v>41</v>
      </c>
      <c r="EZ10" s="15">
        <f>EZ9/(SQRT(5))</f>
        <v>0.76974021591703234</v>
      </c>
      <c r="FA10" s="15">
        <f>FA9/(SQRT(5))</f>
        <v>0.87726848797845247</v>
      </c>
      <c r="FB10" s="15">
        <f>FB9/(SQRT(4))</f>
        <v>0.52974050251042804</v>
      </c>
      <c r="FC10" s="15">
        <f>FC9/(SQRT(4))</f>
        <v>0.67206150512186491</v>
      </c>
      <c r="FD10" s="15"/>
      <c r="FF10" s="15" t="s">
        <v>41</v>
      </c>
      <c r="FG10" s="15" t="e">
        <f>FG9/(SQRT(5))</f>
        <v>#DIV/0!</v>
      </c>
      <c r="FH10" s="15" t="e">
        <f>FH9/(SQRT(4))</f>
        <v>#DIV/0!</v>
      </c>
      <c r="FI10" s="15" t="e">
        <f>FI9/(SQRT(4))</f>
        <v>#DIV/0!</v>
      </c>
      <c r="FJ10" s="15" t="e">
        <f>FJ9/(SQRT(4))</f>
        <v>#DIV/0!</v>
      </c>
      <c r="FK10" s="15"/>
      <c r="FM10" s="15" t="s">
        <v>41</v>
      </c>
      <c r="FN10" s="15">
        <f>FN9/(SQRT(5))</f>
        <v>2.406934426471421</v>
      </c>
      <c r="FO10" s="15">
        <f>FO9/(SQRT(4))</f>
        <v>1.6110943485718019</v>
      </c>
      <c r="FP10" s="15">
        <f>FP9/(SQRT(4))</f>
        <v>0.76308038021342584</v>
      </c>
      <c r="FQ10" s="15">
        <f>FQ9/(SQRT(3))</f>
        <v>1.250333288900737</v>
      </c>
      <c r="FR10" s="15"/>
    </row>
    <row r="11" spans="1:174">
      <c r="A11" s="23">
        <v>43325</v>
      </c>
      <c r="H11" s="23">
        <v>43329</v>
      </c>
      <c r="O11" s="23">
        <v>43332</v>
      </c>
      <c r="V11" s="23">
        <v>43339</v>
      </c>
      <c r="AC11" s="23">
        <v>43348</v>
      </c>
      <c r="AJ11" s="23">
        <v>43355</v>
      </c>
      <c r="AQ11" s="23">
        <v>43362</v>
      </c>
      <c r="AX11" s="23">
        <v>43369</v>
      </c>
      <c r="BE11" s="23">
        <v>43376</v>
      </c>
      <c r="BL11" s="23">
        <v>43385</v>
      </c>
      <c r="BS11" s="23">
        <v>43390</v>
      </c>
      <c r="BZ11" s="23">
        <v>43398</v>
      </c>
      <c r="CG11" s="23">
        <v>43404</v>
      </c>
      <c r="CN11" s="23">
        <v>43411</v>
      </c>
      <c r="CU11" s="23">
        <v>43418</v>
      </c>
      <c r="DB11" s="23">
        <v>43425</v>
      </c>
      <c r="DI11" s="23">
        <v>43432</v>
      </c>
      <c r="DP11" s="23">
        <v>43439</v>
      </c>
      <c r="DW11" s="23">
        <v>43446</v>
      </c>
      <c r="ED11" s="23">
        <v>43453</v>
      </c>
      <c r="EK11" s="23">
        <v>43462</v>
      </c>
      <c r="ER11" s="23">
        <v>43468</v>
      </c>
      <c r="EY11" s="23">
        <v>43474</v>
      </c>
      <c r="FF11" s="23">
        <v>43482</v>
      </c>
      <c r="FM11" s="23">
        <v>43487</v>
      </c>
    </row>
    <row r="12" spans="1:174" ht="17" thickBot="1"/>
    <row r="13" spans="1:174" ht="17" thickBot="1">
      <c r="A13" s="6" t="s">
        <v>42</v>
      </c>
      <c r="B13" s="7">
        <v>0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  <c r="M13" s="7">
        <v>11</v>
      </c>
      <c r="N13" s="7">
        <v>12</v>
      </c>
      <c r="O13" s="7">
        <v>13</v>
      </c>
      <c r="P13" s="7">
        <v>14</v>
      </c>
      <c r="Q13" s="7">
        <v>15</v>
      </c>
      <c r="R13" s="7">
        <v>16</v>
      </c>
      <c r="S13" s="7">
        <v>17</v>
      </c>
      <c r="T13" s="7">
        <v>18</v>
      </c>
      <c r="U13" s="7">
        <v>19</v>
      </c>
      <c r="V13" s="7">
        <v>20</v>
      </c>
      <c r="W13" s="7">
        <v>21</v>
      </c>
      <c r="X13" s="7">
        <v>22</v>
      </c>
      <c r="Y13" s="8">
        <v>23</v>
      </c>
    </row>
    <row r="14" spans="1:174">
      <c r="A14" s="9" t="s">
        <v>43</v>
      </c>
      <c r="B14">
        <v>25.299999999999997</v>
      </c>
      <c r="C14">
        <v>23.049999999999997</v>
      </c>
      <c r="D14">
        <v>24.066666666666666</v>
      </c>
      <c r="E14">
        <v>24.950000000000003</v>
      </c>
      <c r="F14">
        <v>26.15</v>
      </c>
      <c r="G14" s="15">
        <v>27.3</v>
      </c>
      <c r="H14">
        <v>27.183333333333337</v>
      </c>
      <c r="I14">
        <v>27.783333333333335</v>
      </c>
      <c r="J14" s="15">
        <v>28.633333333333336</v>
      </c>
      <c r="K14">
        <v>29.166666666666668</v>
      </c>
      <c r="L14">
        <v>30.133333333333336</v>
      </c>
      <c r="M14">
        <v>30</v>
      </c>
      <c r="N14">
        <v>31.05</v>
      </c>
      <c r="O14">
        <v>31.216666666666665</v>
      </c>
      <c r="P14">
        <v>32.250000000000007</v>
      </c>
      <c r="Q14">
        <v>32.949999999999996</v>
      </c>
      <c r="R14">
        <v>33.56666666666667</v>
      </c>
      <c r="S14">
        <v>34.383333333333333</v>
      </c>
      <c r="T14">
        <v>34.260000000000005</v>
      </c>
      <c r="U14" t="s">
        <v>85</v>
      </c>
      <c r="V14">
        <v>34.760000000000005</v>
      </c>
      <c r="W14">
        <v>35.040000000000006</v>
      </c>
      <c r="X14" t="s">
        <v>85</v>
      </c>
      <c r="Y14">
        <v>32.08</v>
      </c>
    </row>
    <row r="15" spans="1:174">
      <c r="A15" s="18" t="s">
        <v>44</v>
      </c>
      <c r="B15" s="19">
        <v>0.48716869083853614</v>
      </c>
      <c r="C15" s="19">
        <v>0.45368858629387321</v>
      </c>
      <c r="D15" s="19">
        <v>0.28944391128123181</v>
      </c>
      <c r="E15" s="19">
        <v>0.58637303257681761</v>
      </c>
      <c r="F15" s="19">
        <v>0.46957428000000001</v>
      </c>
      <c r="G15" s="19">
        <v>0.48304589153964789</v>
      </c>
      <c r="H15" s="19">
        <v>0.47357974806549519</v>
      </c>
      <c r="I15" s="19">
        <v>0.49961095975880215</v>
      </c>
      <c r="J15" s="19">
        <v>0.61300715964642538</v>
      </c>
      <c r="K15" s="19">
        <v>0.5631261946589865</v>
      </c>
      <c r="L15" s="19">
        <v>0.87203465782298184</v>
      </c>
      <c r="M15" s="19">
        <v>0.65675972267895133</v>
      </c>
      <c r="N15" s="19">
        <v>0.76887363504458084</v>
      </c>
      <c r="O15" s="19">
        <v>0.78800028200784566</v>
      </c>
      <c r="P15" s="19">
        <v>0.9742518497116992</v>
      </c>
      <c r="Q15" s="19">
        <v>0.99356261335995699</v>
      </c>
      <c r="R15" s="19">
        <v>1.055672508140874</v>
      </c>
      <c r="S15" s="19">
        <v>1.1522200792865536</v>
      </c>
      <c r="T15" s="19">
        <v>1.5529327094243335</v>
      </c>
      <c r="U15" s="19"/>
      <c r="V15" s="19">
        <v>0.62503333244449244</v>
      </c>
      <c r="W15" s="19">
        <v>0.76974021591703234</v>
      </c>
      <c r="X15" s="19"/>
      <c r="Y15" s="19">
        <v>2.406934426471421</v>
      </c>
    </row>
    <row r="16" spans="1:174">
      <c r="A16" s="10" t="s">
        <v>45</v>
      </c>
      <c r="B16">
        <v>25.083333333333332</v>
      </c>
      <c r="C16">
        <v>23.033333333333335</v>
      </c>
      <c r="D16">
        <v>23.333333333333332</v>
      </c>
      <c r="E16">
        <v>25.166666666666668</v>
      </c>
      <c r="F16" s="15">
        <v>24.8</v>
      </c>
      <c r="G16" s="15">
        <v>25.016666699999998</v>
      </c>
      <c r="H16">
        <v>25.233333333333334</v>
      </c>
      <c r="I16">
        <v>25.650000000000002</v>
      </c>
      <c r="J16" s="15">
        <v>25.633333333333336</v>
      </c>
      <c r="K16">
        <v>26.283333333333335</v>
      </c>
      <c r="L16">
        <v>26.066666666666666</v>
      </c>
      <c r="M16">
        <v>25.866666666666671</v>
      </c>
      <c r="N16">
        <v>26.933333333333334</v>
      </c>
      <c r="O16">
        <v>27.433333333333337</v>
      </c>
      <c r="P16">
        <v>26.466666666666669</v>
      </c>
      <c r="Q16">
        <v>27.3333333333333</v>
      </c>
      <c r="R16">
        <v>27.45</v>
      </c>
      <c r="S16">
        <v>27.833333333333332</v>
      </c>
      <c r="T16">
        <v>27.259999999999998</v>
      </c>
      <c r="U16" t="s">
        <v>85</v>
      </c>
      <c r="V16">
        <v>28</v>
      </c>
      <c r="W16">
        <v>28.26</v>
      </c>
      <c r="X16" t="s">
        <v>85</v>
      </c>
      <c r="Y16">
        <v>29.074999999999996</v>
      </c>
    </row>
    <row r="17" spans="1:25">
      <c r="A17" s="20" t="s">
        <v>46</v>
      </c>
      <c r="B17" s="19">
        <v>0.75956859100705643</v>
      </c>
      <c r="C17" s="19">
        <v>0.80111034057598918</v>
      </c>
      <c r="D17" s="19">
        <v>0.83012716562651467</v>
      </c>
      <c r="E17" s="19">
        <v>0.90394198437239948</v>
      </c>
      <c r="F17" s="19">
        <v>0.91615137000000002</v>
      </c>
      <c r="G17" s="19">
        <v>0.83163159578692747</v>
      </c>
      <c r="H17" s="19">
        <v>0.83413294970153151</v>
      </c>
      <c r="I17" s="19">
        <v>0.87435690653188047</v>
      </c>
      <c r="J17" s="19">
        <v>0.8651268372004447</v>
      </c>
      <c r="K17" s="19">
        <v>1.1091788754649894</v>
      </c>
      <c r="L17" s="19">
        <v>0.90615181460454586</v>
      </c>
      <c r="M17" s="19">
        <v>0.93654210322393461</v>
      </c>
      <c r="N17" s="19">
        <v>0.8754681287428141</v>
      </c>
      <c r="O17" s="19">
        <v>0.95067227674828991</v>
      </c>
      <c r="P17" s="19">
        <v>0.82731157639939068</v>
      </c>
      <c r="Q17" s="19">
        <v>0.84445906000000004</v>
      </c>
      <c r="R17" s="19">
        <v>0.79487944578617287</v>
      </c>
      <c r="S17" s="19">
        <v>0.91238393477989554</v>
      </c>
      <c r="T17" s="19">
        <v>0.79031639233916984</v>
      </c>
      <c r="U17" s="19"/>
      <c r="V17" s="19">
        <v>0.97005154502222168</v>
      </c>
      <c r="W17" s="19">
        <v>0.87726848797845247</v>
      </c>
      <c r="X17" s="19"/>
      <c r="Y17" s="19">
        <v>1.6110943485718019</v>
      </c>
    </row>
    <row r="18" spans="1:25">
      <c r="A18" s="11" t="s">
        <v>47</v>
      </c>
      <c r="B18">
        <v>24.033333333333335</v>
      </c>
      <c r="C18">
        <v>22.716666666666669</v>
      </c>
      <c r="D18">
        <v>23.75</v>
      </c>
      <c r="E18">
        <v>24</v>
      </c>
      <c r="F18" s="15">
        <v>25.6333333</v>
      </c>
      <c r="G18" s="15">
        <v>26.283333299999999</v>
      </c>
      <c r="H18">
        <v>27.066666666666666</v>
      </c>
      <c r="I18">
        <v>27.383333333333329</v>
      </c>
      <c r="J18" s="15">
        <v>27.933333333333337</v>
      </c>
      <c r="K18">
        <v>28.5</v>
      </c>
      <c r="L18">
        <v>29.066666666666663</v>
      </c>
      <c r="M18">
        <v>29.2</v>
      </c>
      <c r="N18">
        <v>29.840000000000003</v>
      </c>
      <c r="O18">
        <v>30.639999999999997</v>
      </c>
      <c r="P18">
        <v>30.3</v>
      </c>
      <c r="Q18">
        <v>30.639999999999997</v>
      </c>
      <c r="R18">
        <v>30.540000000000003</v>
      </c>
      <c r="S18">
        <v>31.259999999999998</v>
      </c>
      <c r="T18">
        <v>30.6</v>
      </c>
      <c r="U18" t="s">
        <v>85</v>
      </c>
      <c r="V18">
        <v>30.975000000000001</v>
      </c>
      <c r="W18">
        <v>31.325000000000003</v>
      </c>
      <c r="X18" t="s">
        <v>85</v>
      </c>
      <c r="Y18">
        <v>30.724999999999998</v>
      </c>
    </row>
    <row r="19" spans="1:25">
      <c r="A19" s="21" t="s">
        <v>48</v>
      </c>
      <c r="B19" s="19">
        <v>0.7539525478731699</v>
      </c>
      <c r="C19" s="19">
        <v>0.6574783477634667</v>
      </c>
      <c r="D19" s="19">
        <v>0.67069615574664898</v>
      </c>
      <c r="E19" s="19">
        <v>0.70663521942607233</v>
      </c>
      <c r="F19" s="19">
        <v>0.71071169000000001</v>
      </c>
      <c r="G19" s="19">
        <v>0.72499042139266334</v>
      </c>
      <c r="H19" s="19">
        <v>0.71164910204710041</v>
      </c>
      <c r="I19" s="19">
        <v>0.68137932003971013</v>
      </c>
      <c r="J19" s="19">
        <v>0.70316743699096618</v>
      </c>
      <c r="K19" s="19">
        <v>0.6772493386240156</v>
      </c>
      <c r="L19" s="19">
        <v>0.68831517328748271</v>
      </c>
      <c r="M19" s="19">
        <v>0.83146457130375251</v>
      </c>
      <c r="N19" s="19">
        <v>0.34583232931581159</v>
      </c>
      <c r="O19" s="19">
        <v>0.31559467676118991</v>
      </c>
      <c r="P19" s="19">
        <v>0.33015148038438363</v>
      </c>
      <c r="Q19" s="19">
        <v>0.38678159211627444</v>
      </c>
      <c r="R19" s="19">
        <v>0.36000000000000021</v>
      </c>
      <c r="S19" s="19">
        <v>0.48846698967279201</v>
      </c>
      <c r="T19" s="19">
        <v>0.33911649915626318</v>
      </c>
      <c r="U19" s="19"/>
      <c r="V19" s="19">
        <v>0.39024564913226961</v>
      </c>
      <c r="W19" s="19">
        <v>0.52974050251042804</v>
      </c>
      <c r="X19" s="19"/>
      <c r="Y19" s="19">
        <v>0.76308038021342584</v>
      </c>
    </row>
    <row r="20" spans="1:25">
      <c r="A20" s="12" t="s">
        <v>49</v>
      </c>
      <c r="B20">
        <v>23.983333333333334</v>
      </c>
      <c r="C20">
        <v>23.316666666666666</v>
      </c>
      <c r="D20">
        <v>23.716666666666665</v>
      </c>
      <c r="E20">
        <v>24.666666666666668</v>
      </c>
      <c r="F20" s="15">
        <v>24.45</v>
      </c>
      <c r="G20" s="15">
        <v>25.466666700000001</v>
      </c>
      <c r="H20">
        <v>26.416666666666668</v>
      </c>
      <c r="I20">
        <v>26.166666666666668</v>
      </c>
      <c r="J20">
        <v>27.216666666666669</v>
      </c>
      <c r="K20">
        <v>26.716666666666669</v>
      </c>
      <c r="L20">
        <v>26.7</v>
      </c>
      <c r="M20">
        <v>27.616666666666671</v>
      </c>
      <c r="N20">
        <v>26.183333333333334</v>
      </c>
      <c r="O20">
        <v>26.400000000000002</v>
      </c>
      <c r="P20">
        <v>26.983333333333334</v>
      </c>
      <c r="Q20">
        <v>26.733333333333334</v>
      </c>
      <c r="R20">
        <v>26.650000000000002</v>
      </c>
      <c r="S20">
        <v>27.083333333333339</v>
      </c>
      <c r="T20">
        <v>25.580000000000002</v>
      </c>
      <c r="U20" t="s">
        <v>85</v>
      </c>
      <c r="V20">
        <v>27.05</v>
      </c>
      <c r="W20">
        <v>26.799999999999997</v>
      </c>
      <c r="X20" t="s">
        <v>85</v>
      </c>
      <c r="Y20">
        <v>25.5</v>
      </c>
    </row>
    <row r="21" spans="1:25">
      <c r="A21" s="22" t="s">
        <v>50</v>
      </c>
      <c r="B21" s="19">
        <v>0.44528392939536665</v>
      </c>
      <c r="C21" s="19">
        <v>0.66704156125720149</v>
      </c>
      <c r="D21" s="19">
        <v>0.55702583223561342</v>
      </c>
      <c r="E21" s="19">
        <v>0.744610263456289</v>
      </c>
      <c r="F21" s="19">
        <v>0.60263310999999997</v>
      </c>
      <c r="G21" s="19">
        <v>0.56666666666666687</v>
      </c>
      <c r="H21" s="19">
        <v>0.56534158799004974</v>
      </c>
      <c r="I21" s="19">
        <v>0.47234638890448949</v>
      </c>
      <c r="J21" s="19">
        <v>0.56297819180181785</v>
      </c>
      <c r="K21" s="19">
        <v>0.47848139404207174</v>
      </c>
      <c r="L21" s="19">
        <v>0.34544657088084307</v>
      </c>
      <c r="M21" s="19">
        <v>0.43620841094341306</v>
      </c>
      <c r="N21" s="19">
        <v>0.33208098075285469</v>
      </c>
      <c r="O21" s="19">
        <v>0.36968455021364732</v>
      </c>
      <c r="P21" s="19">
        <v>0.14925742118158727</v>
      </c>
      <c r="Q21" s="19">
        <v>0.26666666666666661</v>
      </c>
      <c r="R21" s="19">
        <v>0.24048561980570335</v>
      </c>
      <c r="S21" s="19">
        <v>0.29599174162653813</v>
      </c>
      <c r="T21" s="19">
        <v>0.64451532177288062</v>
      </c>
      <c r="U21" s="19"/>
      <c r="V21" s="19">
        <v>0.48733971724044828</v>
      </c>
      <c r="W21" s="19">
        <v>0.67206150512186491</v>
      </c>
      <c r="X21" s="19"/>
      <c r="Y21" s="19">
        <v>1.250333288900737</v>
      </c>
    </row>
    <row r="24" spans="1:25" ht="17" thickBot="1">
      <c r="J24" s="15"/>
    </row>
    <row r="25" spans="1:25" ht="17" thickBot="1">
      <c r="A25" s="6" t="s">
        <v>42</v>
      </c>
      <c r="B25" s="7">
        <v>0</v>
      </c>
      <c r="C25" s="7">
        <v>1</v>
      </c>
      <c r="D25" s="7">
        <v>2</v>
      </c>
      <c r="E25" s="7">
        <v>3</v>
      </c>
      <c r="F25" s="7">
        <v>4</v>
      </c>
      <c r="G25" s="7">
        <v>5</v>
      </c>
      <c r="H25" s="7">
        <v>6</v>
      </c>
      <c r="I25" s="7">
        <v>7</v>
      </c>
      <c r="J25" s="7">
        <v>8</v>
      </c>
      <c r="K25" s="7">
        <v>9</v>
      </c>
      <c r="L25" s="7">
        <v>10</v>
      </c>
      <c r="M25" s="7">
        <v>11</v>
      </c>
      <c r="N25" s="7">
        <v>12</v>
      </c>
      <c r="O25" s="7">
        <v>13</v>
      </c>
      <c r="P25" s="7">
        <v>14</v>
      </c>
      <c r="Q25" s="7">
        <v>15</v>
      </c>
      <c r="R25" s="7">
        <v>16</v>
      </c>
      <c r="S25" s="7">
        <v>17</v>
      </c>
      <c r="T25" s="7">
        <v>18</v>
      </c>
      <c r="U25" s="7">
        <v>19</v>
      </c>
      <c r="V25" s="7">
        <v>20</v>
      </c>
      <c r="W25" s="7">
        <v>21</v>
      </c>
      <c r="X25" s="7">
        <v>22</v>
      </c>
      <c r="Y25" s="8">
        <v>23</v>
      </c>
    </row>
    <row r="26" spans="1:25">
      <c r="A26" s="9" t="s">
        <v>43</v>
      </c>
      <c r="B26">
        <v>25.299999999999997</v>
      </c>
      <c r="C26">
        <v>23.049999999999997</v>
      </c>
      <c r="D26">
        <v>24.066666666666666</v>
      </c>
      <c r="E26">
        <v>24.950000000000003</v>
      </c>
      <c r="F26">
        <v>26.15</v>
      </c>
      <c r="G26" s="15">
        <v>27.3</v>
      </c>
      <c r="H26">
        <v>27.183333333333337</v>
      </c>
      <c r="I26">
        <v>27.783333333333335</v>
      </c>
      <c r="J26" s="15">
        <v>28.633333333333336</v>
      </c>
      <c r="K26">
        <v>29.166666666666668</v>
      </c>
      <c r="L26">
        <v>30.133333333333336</v>
      </c>
      <c r="M26">
        <v>30</v>
      </c>
      <c r="N26">
        <v>31.05</v>
      </c>
      <c r="O26">
        <v>31.216666666666665</v>
      </c>
      <c r="P26">
        <v>32.250000000000007</v>
      </c>
      <c r="Q26">
        <v>32.949999999999996</v>
      </c>
      <c r="R26">
        <v>33.56666666666667</v>
      </c>
      <c r="S26">
        <v>34.383333333333333</v>
      </c>
      <c r="T26">
        <v>34.260000000000005</v>
      </c>
      <c r="V26">
        <v>34.760000000000005</v>
      </c>
      <c r="W26">
        <v>35.040000000000006</v>
      </c>
      <c r="Y26">
        <v>32.08</v>
      </c>
    </row>
    <row r="27" spans="1:25">
      <c r="A27" s="10" t="s">
        <v>45</v>
      </c>
      <c r="B27">
        <v>25.083333333333332</v>
      </c>
      <c r="C27">
        <v>23.033333333333335</v>
      </c>
      <c r="D27">
        <v>23.333333333333332</v>
      </c>
      <c r="E27">
        <v>25.166666666666668</v>
      </c>
      <c r="F27" s="15">
        <v>24.8</v>
      </c>
      <c r="G27" s="15">
        <v>25.016666699999998</v>
      </c>
      <c r="H27">
        <v>25.233333333333334</v>
      </c>
      <c r="I27">
        <v>25.650000000000002</v>
      </c>
      <c r="J27" s="15">
        <v>25.633333333333336</v>
      </c>
      <c r="K27">
        <v>26.283333333333335</v>
      </c>
      <c r="L27">
        <v>26.066666666666666</v>
      </c>
      <c r="M27">
        <v>25.866666666666671</v>
      </c>
      <c r="N27">
        <v>26.933333333333334</v>
      </c>
      <c r="O27">
        <v>27.433333333333337</v>
      </c>
      <c r="P27">
        <v>26.466666666666669</v>
      </c>
      <c r="Q27">
        <v>27.3333333333333</v>
      </c>
      <c r="R27">
        <v>27.45</v>
      </c>
      <c r="S27">
        <v>27.833333333333332</v>
      </c>
      <c r="T27">
        <v>27.259999999999998</v>
      </c>
      <c r="V27">
        <v>28</v>
      </c>
      <c r="W27">
        <v>28.26</v>
      </c>
      <c r="Y27">
        <v>29.074999999999996</v>
      </c>
    </row>
    <row r="28" spans="1:25">
      <c r="A28" s="11" t="s">
        <v>47</v>
      </c>
      <c r="B28">
        <v>24.033333333333335</v>
      </c>
      <c r="C28">
        <v>22.716666666666669</v>
      </c>
      <c r="D28">
        <v>23.75</v>
      </c>
      <c r="E28">
        <v>24</v>
      </c>
      <c r="F28" s="15">
        <v>25.6333333</v>
      </c>
      <c r="G28" s="15">
        <v>26.283333299999999</v>
      </c>
      <c r="H28">
        <v>27.066666666666666</v>
      </c>
      <c r="I28">
        <v>27.383333333333329</v>
      </c>
      <c r="J28" s="15">
        <v>27.933333333333337</v>
      </c>
      <c r="K28">
        <v>28.5</v>
      </c>
      <c r="L28">
        <v>29.066666666666663</v>
      </c>
      <c r="M28">
        <v>29.2</v>
      </c>
      <c r="N28">
        <v>29.840000000000003</v>
      </c>
      <c r="O28">
        <v>30.639999999999997</v>
      </c>
      <c r="P28">
        <v>30.3</v>
      </c>
      <c r="Q28">
        <v>30.639999999999997</v>
      </c>
      <c r="R28">
        <v>30.540000000000003</v>
      </c>
      <c r="S28">
        <v>31.259999999999998</v>
      </c>
      <c r="T28">
        <v>30.6</v>
      </c>
      <c r="V28">
        <v>30.975000000000001</v>
      </c>
      <c r="W28">
        <v>31.325000000000003</v>
      </c>
      <c r="Y28">
        <v>30.724999999999998</v>
      </c>
    </row>
    <row r="29" spans="1:25">
      <c r="A29" s="12" t="s">
        <v>49</v>
      </c>
      <c r="B29">
        <v>23.983333333333334</v>
      </c>
      <c r="C29">
        <v>23.316666666666666</v>
      </c>
      <c r="D29">
        <v>23.716666666666665</v>
      </c>
      <c r="E29">
        <v>24.666666666666668</v>
      </c>
      <c r="F29" s="15">
        <v>24.45</v>
      </c>
      <c r="G29" s="15">
        <v>25.466666700000001</v>
      </c>
      <c r="H29">
        <v>26.416666666666668</v>
      </c>
      <c r="I29">
        <v>26.166666666666668</v>
      </c>
      <c r="J29">
        <v>27.216666666666669</v>
      </c>
      <c r="K29">
        <v>26.716666666666669</v>
      </c>
      <c r="L29">
        <v>26.7</v>
      </c>
      <c r="M29">
        <v>27.616666666666671</v>
      </c>
      <c r="N29">
        <v>26.183333333333334</v>
      </c>
      <c r="O29">
        <v>26.400000000000002</v>
      </c>
      <c r="P29">
        <v>26.983333333333334</v>
      </c>
      <c r="Q29">
        <v>26.733333333333334</v>
      </c>
      <c r="R29">
        <v>26.650000000000002</v>
      </c>
      <c r="S29">
        <v>27.083333333333339</v>
      </c>
      <c r="T29">
        <v>25.580000000000002</v>
      </c>
      <c r="V29">
        <v>27.05</v>
      </c>
      <c r="W29">
        <v>26.799999999999997</v>
      </c>
      <c r="Y29">
        <v>25.5</v>
      </c>
    </row>
    <row r="38" spans="8:11">
      <c r="H38" s="15"/>
      <c r="I38" s="15"/>
      <c r="J38" s="15"/>
      <c r="K38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DBB-86C3-3243-9521-5907A126B36E}">
  <dimension ref="A1:BH173"/>
  <sheetViews>
    <sheetView topLeftCell="AG35" zoomScale="75" zoomScaleNormal="75" workbookViewId="0">
      <selection activeCell="G74" sqref="G74"/>
    </sheetView>
  </sheetViews>
  <sheetFormatPr baseColWidth="10" defaultRowHeight="16"/>
  <cols>
    <col min="14" max="14" width="16.83203125" customWidth="1"/>
  </cols>
  <sheetData>
    <row r="1" spans="1:60">
      <c r="A1" s="33" t="s">
        <v>0</v>
      </c>
      <c r="B1" s="29" t="s">
        <v>90</v>
      </c>
      <c r="C1" s="29" t="s">
        <v>87</v>
      </c>
      <c r="D1" s="30" t="s">
        <v>89</v>
      </c>
      <c r="E1" s="34" t="s">
        <v>91</v>
      </c>
      <c r="F1" s="29" t="s">
        <v>86</v>
      </c>
      <c r="G1" s="30" t="s">
        <v>88</v>
      </c>
      <c r="H1" s="34" t="s">
        <v>93</v>
      </c>
      <c r="I1" s="29" t="s">
        <v>94</v>
      </c>
      <c r="J1" s="30" t="s">
        <v>92</v>
      </c>
      <c r="K1" s="34" t="s">
        <v>95</v>
      </c>
      <c r="L1" s="29" t="s">
        <v>96</v>
      </c>
      <c r="M1" s="30" t="s">
        <v>97</v>
      </c>
      <c r="N1" s="36" t="s">
        <v>102</v>
      </c>
      <c r="Q1" s="28" t="s">
        <v>42</v>
      </c>
      <c r="R1" s="28">
        <v>1</v>
      </c>
      <c r="S1" s="28">
        <v>2</v>
      </c>
      <c r="T1" s="28">
        <v>3</v>
      </c>
      <c r="U1" s="44">
        <v>4</v>
      </c>
      <c r="V1" s="44">
        <v>5</v>
      </c>
      <c r="W1" s="44">
        <v>6</v>
      </c>
      <c r="X1" s="44">
        <v>7</v>
      </c>
      <c r="Y1" s="28">
        <v>8</v>
      </c>
      <c r="Z1" s="44">
        <v>9</v>
      </c>
      <c r="AA1" s="28">
        <v>10</v>
      </c>
      <c r="AB1" s="28">
        <v>11</v>
      </c>
      <c r="AC1" s="28">
        <v>12</v>
      </c>
      <c r="AD1" s="28">
        <v>13</v>
      </c>
      <c r="AE1" s="28">
        <v>14</v>
      </c>
      <c r="AF1" s="47">
        <v>15</v>
      </c>
      <c r="AG1" s="28">
        <v>16</v>
      </c>
      <c r="AH1" s="28">
        <v>17</v>
      </c>
      <c r="AI1" s="28">
        <v>18</v>
      </c>
      <c r="AJ1" s="28">
        <v>19</v>
      </c>
      <c r="AK1" s="28">
        <v>20</v>
      </c>
      <c r="AL1" s="28">
        <v>21</v>
      </c>
      <c r="AM1" s="44">
        <v>22</v>
      </c>
      <c r="AN1" s="28">
        <v>23</v>
      </c>
      <c r="AQ1" s="28" t="s">
        <v>42</v>
      </c>
      <c r="AR1" s="28">
        <v>1</v>
      </c>
      <c r="AS1" s="28">
        <v>2</v>
      </c>
      <c r="AT1" s="28">
        <v>3</v>
      </c>
      <c r="AU1" s="28">
        <v>8</v>
      </c>
      <c r="AV1" s="28">
        <v>10</v>
      </c>
      <c r="AW1" s="28">
        <v>11</v>
      </c>
      <c r="AX1" s="28">
        <v>12</v>
      </c>
      <c r="AY1" s="28">
        <v>13</v>
      </c>
      <c r="AZ1" s="28">
        <v>14</v>
      </c>
      <c r="BA1" s="47">
        <v>15</v>
      </c>
      <c r="BB1" s="28">
        <v>16</v>
      </c>
      <c r="BC1" s="28">
        <v>17</v>
      </c>
      <c r="BD1" s="28">
        <v>18</v>
      </c>
      <c r="BE1" s="28">
        <v>19</v>
      </c>
      <c r="BF1" s="28">
        <v>20</v>
      </c>
      <c r="BG1" s="28">
        <v>21</v>
      </c>
      <c r="BH1" s="28">
        <v>23</v>
      </c>
    </row>
    <row r="2" spans="1:60">
      <c r="A2" s="32">
        <v>1</v>
      </c>
      <c r="B2" s="31">
        <v>353.6</v>
      </c>
      <c r="C2" s="31">
        <v>312.89999999999998</v>
      </c>
      <c r="D2" s="32">
        <f>((B2-C2)/4)/3</f>
        <v>3.3916666666666706</v>
      </c>
      <c r="E2" s="35">
        <v>408</v>
      </c>
      <c r="F2" s="31">
        <v>392.3</v>
      </c>
      <c r="G2" s="32">
        <f>((E2-F2)/4)/3</f>
        <v>1.3083333333333325</v>
      </c>
      <c r="H2" s="35">
        <v>409.4</v>
      </c>
      <c r="I2" s="31">
        <v>390.4</v>
      </c>
      <c r="J2" s="32">
        <f>((H2-I2)/3)/3</f>
        <v>2.1111111111111112</v>
      </c>
      <c r="K2" s="35">
        <v>387</v>
      </c>
      <c r="L2" s="31">
        <v>371.7</v>
      </c>
      <c r="M2" s="32">
        <f>((K2-L2)/3)/3</f>
        <v>1.7000000000000013</v>
      </c>
      <c r="N2" t="s">
        <v>54</v>
      </c>
      <c r="Q2" t="s">
        <v>43</v>
      </c>
      <c r="R2">
        <v>2.7708333333333335</v>
      </c>
      <c r="S2">
        <v>2.0107142857142852</v>
      </c>
      <c r="T2">
        <v>2.6930555555555569</v>
      </c>
      <c r="U2" s="46">
        <v>4.8892857142857133</v>
      </c>
      <c r="V2">
        <v>2.4875000000000016</v>
      </c>
      <c r="W2">
        <v>2.4214285714285699</v>
      </c>
      <c r="X2">
        <v>2.4303571428571433</v>
      </c>
      <c r="Y2">
        <v>2.4236111111111107</v>
      </c>
      <c r="Z2">
        <v>2.1700000000000008</v>
      </c>
      <c r="AA2">
        <v>2.4937500000000004</v>
      </c>
      <c r="AB2">
        <v>2.3374999999999995</v>
      </c>
      <c r="AC2">
        <v>3.0142857142857142</v>
      </c>
      <c r="AD2">
        <v>2.9535714285714296</v>
      </c>
      <c r="AE2">
        <v>2.5071428571428562</v>
      </c>
      <c r="AF2">
        <v>2.7964285714285713</v>
      </c>
      <c r="AG2">
        <v>2.941071428571429</v>
      </c>
      <c r="AH2">
        <v>2.9089285714285715</v>
      </c>
      <c r="AI2">
        <v>3.4464285714285712</v>
      </c>
      <c r="AJ2">
        <v>3.7546296296296298</v>
      </c>
      <c r="AK2">
        <v>2.781944444444445</v>
      </c>
      <c r="AL2">
        <v>2.9194444444444438</v>
      </c>
      <c r="AM2" s="45" t="s">
        <v>140</v>
      </c>
      <c r="AN2">
        <v>3.6083333333333334</v>
      </c>
      <c r="AQ2" t="s">
        <v>43</v>
      </c>
      <c r="AR2">
        <v>2.7708333333333335</v>
      </c>
      <c r="AS2">
        <v>2.0107142857142852</v>
      </c>
      <c r="AT2">
        <v>2.6930555555555569</v>
      </c>
      <c r="AU2">
        <v>2.4236111111111107</v>
      </c>
      <c r="AV2">
        <v>2.4937500000000004</v>
      </c>
      <c r="AW2">
        <v>2.3374999999999995</v>
      </c>
      <c r="AX2">
        <v>3.0142857142857142</v>
      </c>
      <c r="AY2">
        <v>2.9535714285714296</v>
      </c>
      <c r="AZ2">
        <v>2.5071428571428562</v>
      </c>
      <c r="BA2">
        <v>2.7964285714285713</v>
      </c>
      <c r="BB2">
        <v>2.941071428571429</v>
      </c>
      <c r="BC2">
        <v>2.9089285714285715</v>
      </c>
      <c r="BD2">
        <v>3.4464285714285712</v>
      </c>
      <c r="BE2">
        <v>3.7546296296296298</v>
      </c>
      <c r="BF2">
        <v>2.781944444444445</v>
      </c>
      <c r="BG2">
        <v>2.9194444444444438</v>
      </c>
      <c r="BH2">
        <v>3.6083333333333334</v>
      </c>
    </row>
    <row r="3" spans="1:60">
      <c r="A3" s="32">
        <v>2</v>
      </c>
      <c r="B3" s="31">
        <v>334.2</v>
      </c>
      <c r="C3" s="31">
        <v>321.3</v>
      </c>
      <c r="D3" s="32">
        <f>((B3-C3)/2)/3</f>
        <v>2.1499999999999964</v>
      </c>
      <c r="E3" s="35">
        <v>388</v>
      </c>
      <c r="F3" s="31">
        <v>379.9</v>
      </c>
      <c r="G3" s="32">
        <f>((E3-F3)/2)/3</f>
        <v>1.3500000000000039</v>
      </c>
      <c r="H3" s="35">
        <v>376.4</v>
      </c>
      <c r="I3" s="31">
        <v>358.2</v>
      </c>
      <c r="J3" s="32">
        <f>((H3-I3)/3)/3</f>
        <v>2.0222222222222208</v>
      </c>
      <c r="K3" s="35">
        <v>363.4</v>
      </c>
      <c r="L3" s="31">
        <v>349.4</v>
      </c>
      <c r="M3" s="32">
        <f>((K3-L3)/3)/3</f>
        <v>1.5555555555555556</v>
      </c>
      <c r="Q3" s="19" t="s">
        <v>44</v>
      </c>
      <c r="R3" s="19">
        <v>0.62083333333333734</v>
      </c>
      <c r="S3" s="19">
        <v>0.21071428571428469</v>
      </c>
      <c r="T3" s="19">
        <v>0.1819444444444431</v>
      </c>
      <c r="U3" s="46">
        <v>3.1107142857142867</v>
      </c>
      <c r="V3" s="19">
        <v>0.23035714285714248</v>
      </c>
      <c r="W3" s="19">
        <v>0.15000000000000169</v>
      </c>
      <c r="X3" s="19">
        <v>7.6785714285715553E-2</v>
      </c>
      <c r="Y3" s="19">
        <v>4.1666666666664298E-3</v>
      </c>
      <c r="Z3" s="19">
        <v>0.84000000000000186</v>
      </c>
      <c r="AA3" s="19">
        <v>8.7500000000000119E-2</v>
      </c>
      <c r="AB3" s="19">
        <v>2.9166666666665675E-2</v>
      </c>
      <c r="AC3" s="19">
        <v>0.12857142857142878</v>
      </c>
      <c r="AD3" s="19">
        <v>0.16071428571428512</v>
      </c>
      <c r="AE3" s="19">
        <v>0.12857142857142922</v>
      </c>
      <c r="AF3" s="19">
        <v>6.0714285714285936E-2</v>
      </c>
      <c r="AG3" s="19">
        <v>0.1124999999999996</v>
      </c>
      <c r="AH3" s="19">
        <v>4.1071428571428197E-2</v>
      </c>
      <c r="AI3" s="19">
        <v>0.40357142857143014</v>
      </c>
      <c r="AJ3" s="19">
        <v>0.28425925925925899</v>
      </c>
      <c r="AK3" s="19">
        <v>4.027777777777785E-2</v>
      </c>
      <c r="AL3" s="19">
        <v>2.777777777778212E-3</v>
      </c>
      <c r="AM3" s="45" t="s">
        <v>140</v>
      </c>
      <c r="AN3" s="19">
        <v>0.34166666666666612</v>
      </c>
      <c r="AQ3" s="19" t="s">
        <v>44</v>
      </c>
      <c r="AR3" s="19">
        <v>0.62083333333333734</v>
      </c>
      <c r="AS3" s="19">
        <v>0.21071428571428469</v>
      </c>
      <c r="AT3" s="19">
        <v>0.1819444444444431</v>
      </c>
      <c r="AU3" s="19">
        <v>4.1666666666664298E-3</v>
      </c>
      <c r="AV3" s="19">
        <v>8.7500000000000119E-2</v>
      </c>
      <c r="AW3" s="19">
        <v>2.9166666666665675E-2</v>
      </c>
      <c r="AX3" s="19">
        <v>0.12857142857142878</v>
      </c>
      <c r="AY3" s="19">
        <v>0.16071428571428512</v>
      </c>
      <c r="AZ3" s="19">
        <v>0.12857142857142922</v>
      </c>
      <c r="BA3" s="19">
        <v>6.0714285714285936E-2</v>
      </c>
      <c r="BB3" s="19">
        <v>0.1124999999999996</v>
      </c>
      <c r="BC3" s="19">
        <v>4.1071428571428197E-2</v>
      </c>
      <c r="BD3" s="19">
        <v>0.40357142857143014</v>
      </c>
      <c r="BE3" s="19">
        <v>0.28425925925925899</v>
      </c>
      <c r="BF3" s="19">
        <v>4.027777777777785E-2</v>
      </c>
      <c r="BG3" s="19">
        <v>2.777777777778212E-3</v>
      </c>
      <c r="BH3" s="19">
        <v>0.34166666666666612</v>
      </c>
    </row>
    <row r="4" spans="1:60">
      <c r="A4" t="s">
        <v>98</v>
      </c>
      <c r="D4">
        <f>AVERAGE(D2:D3)</f>
        <v>2.7708333333333335</v>
      </c>
      <c r="G4">
        <f>AVERAGE(G2:G3)</f>
        <v>1.3291666666666682</v>
      </c>
      <c r="J4">
        <f>AVERAGE(J2:J3)</f>
        <v>2.066666666666666</v>
      </c>
      <c r="M4">
        <f>AVERAGE(M2:M3)</f>
        <v>1.6277777777777784</v>
      </c>
      <c r="Q4" t="s">
        <v>45</v>
      </c>
      <c r="R4">
        <v>1.3291666666666682</v>
      </c>
      <c r="S4">
        <v>3.4892857142857148</v>
      </c>
      <c r="T4">
        <v>2.1791666666666663</v>
      </c>
      <c r="U4" s="46">
        <v>6.3267857142857133</v>
      </c>
      <c r="V4" s="46">
        <v>4.8785714285714281</v>
      </c>
      <c r="W4" s="46">
        <v>6.0392857142857155</v>
      </c>
      <c r="X4" s="46">
        <v>-3.5732142857142857</v>
      </c>
      <c r="Y4">
        <v>2.2888888888888888</v>
      </c>
      <c r="Z4" s="46">
        <v>0.91999999999999882</v>
      </c>
      <c r="AA4">
        <v>2.2328124999999996</v>
      </c>
      <c r="AB4">
        <v>2.0861111111111117</v>
      </c>
      <c r="AC4">
        <v>2.6214285714285714</v>
      </c>
      <c r="AD4">
        <v>3.4714285714285715</v>
      </c>
      <c r="AE4">
        <v>2.592857142857143</v>
      </c>
      <c r="AF4">
        <v>2.5095238095238095</v>
      </c>
      <c r="AG4">
        <v>3.195238095238095</v>
      </c>
      <c r="AH4">
        <v>2.426190476190476</v>
      </c>
      <c r="AI4">
        <v>3.4999999999999987</v>
      </c>
      <c r="AJ4">
        <v>3.3407407407407415</v>
      </c>
      <c r="AK4">
        <v>3.013888888888888</v>
      </c>
      <c r="AL4">
        <v>3.1500000000000008</v>
      </c>
      <c r="AM4" s="45" t="s">
        <v>140</v>
      </c>
      <c r="AN4">
        <v>4.4400000000000013</v>
      </c>
      <c r="AQ4" t="s">
        <v>45</v>
      </c>
      <c r="AR4">
        <v>1.3291666666666682</v>
      </c>
      <c r="AS4">
        <v>3.4892857142857148</v>
      </c>
      <c r="AT4">
        <v>2.1791666666666663</v>
      </c>
      <c r="AU4">
        <v>2.2888888888888888</v>
      </c>
      <c r="AV4">
        <v>2.2328124999999996</v>
      </c>
      <c r="AW4">
        <v>2.0861111111111117</v>
      </c>
      <c r="AX4">
        <v>2.6214285714285714</v>
      </c>
      <c r="AY4">
        <v>3.4714285714285715</v>
      </c>
      <c r="AZ4">
        <v>2.592857142857143</v>
      </c>
      <c r="BA4">
        <v>2.5095238095238095</v>
      </c>
      <c r="BB4">
        <v>3.195238095238095</v>
      </c>
      <c r="BC4">
        <v>2.426190476190476</v>
      </c>
      <c r="BD4">
        <v>3.4999999999999987</v>
      </c>
      <c r="BE4">
        <v>3.3407407407407415</v>
      </c>
      <c r="BF4">
        <v>3.013888888888888</v>
      </c>
      <c r="BG4">
        <v>3.1500000000000008</v>
      </c>
      <c r="BH4">
        <v>4.4400000000000013</v>
      </c>
    </row>
    <row r="5" spans="1:60">
      <c r="A5" t="s">
        <v>99</v>
      </c>
      <c r="D5">
        <f>STDEV(D2:D3)</f>
        <v>0.87799091997330225</v>
      </c>
      <c r="G5">
        <f>STDEV(G2:G3)</f>
        <v>2.9462782549442831E-2</v>
      </c>
      <c r="J5">
        <f>STDEV(J2:J3)</f>
        <v>6.2853936105471922E-2</v>
      </c>
      <c r="M5">
        <f>STDEV(M2:M3)</f>
        <v>0.10213764617139109</v>
      </c>
      <c r="Q5" s="19" t="s">
        <v>46</v>
      </c>
      <c r="R5" s="19">
        <v>2.0833333333335702E-2</v>
      </c>
      <c r="S5" s="19">
        <v>0.91785714285714359</v>
      </c>
      <c r="T5" s="19">
        <v>0.60972222222222272</v>
      </c>
      <c r="U5" s="46">
        <v>2.976785714285715</v>
      </c>
      <c r="V5" s="46">
        <v>2.4714285714285711</v>
      </c>
      <c r="W5" s="46">
        <v>10.639285714285714</v>
      </c>
      <c r="X5" s="46">
        <v>8.7196428571428566</v>
      </c>
      <c r="Y5" s="19">
        <v>5.5555555555556017E-2</v>
      </c>
      <c r="Z5" s="46">
        <v>1.9499999999999997</v>
      </c>
      <c r="AA5" s="19">
        <v>0.15781250000000055</v>
      </c>
      <c r="AB5" s="19">
        <v>0.11630234119699059</v>
      </c>
      <c r="AC5" s="19">
        <v>0.20999676058401931</v>
      </c>
      <c r="AD5" s="19">
        <v>0.35573532161934596</v>
      </c>
      <c r="AE5" s="19">
        <v>0.30664411333808189</v>
      </c>
      <c r="AF5" s="19">
        <v>0.25981853077530892</v>
      </c>
      <c r="AG5" s="19">
        <v>0.26394229081338566</v>
      </c>
      <c r="AH5" s="19">
        <v>4.1307979935470453E-2</v>
      </c>
      <c r="AI5" s="19">
        <v>0.64611607811178728</v>
      </c>
      <c r="AJ5" s="19">
        <v>0.23518518518518566</v>
      </c>
      <c r="AK5" s="19">
        <v>0.27639935770234986</v>
      </c>
      <c r="AL5" s="19">
        <v>0.26943012562182445</v>
      </c>
      <c r="AM5" s="45" t="s">
        <v>140</v>
      </c>
      <c r="AN5" s="19">
        <v>0.18000000000000105</v>
      </c>
      <c r="AQ5" s="19" t="s">
        <v>46</v>
      </c>
      <c r="AR5" s="19">
        <v>2.0833333333335702E-2</v>
      </c>
      <c r="AS5" s="19">
        <v>0.91785714285714359</v>
      </c>
      <c r="AT5" s="19">
        <v>0.60972222222222272</v>
      </c>
      <c r="AU5" s="19">
        <v>5.5555555555556017E-2</v>
      </c>
      <c r="AV5" s="19">
        <v>0.15781250000000055</v>
      </c>
      <c r="AW5" s="19">
        <v>0.11630234119699059</v>
      </c>
      <c r="AX5" s="19">
        <v>0.20999676058401931</v>
      </c>
      <c r="AY5" s="19">
        <v>0.35573532161934596</v>
      </c>
      <c r="AZ5" s="19">
        <v>0.30664411333808189</v>
      </c>
      <c r="BA5" s="19">
        <v>0.25981853077530892</v>
      </c>
      <c r="BB5" s="19">
        <v>0.26394229081338566</v>
      </c>
      <c r="BC5" s="19">
        <v>4.1307979935470453E-2</v>
      </c>
      <c r="BD5" s="19">
        <v>0.64611607811178728</v>
      </c>
      <c r="BE5" s="19">
        <v>0.23518518518518566</v>
      </c>
      <c r="BF5" s="19">
        <v>0.27639935770234986</v>
      </c>
      <c r="BG5" s="19">
        <v>0.26943012562182445</v>
      </c>
      <c r="BH5" s="19">
        <v>0.18000000000000105</v>
      </c>
    </row>
    <row r="6" spans="1:60">
      <c r="A6" t="s">
        <v>41</v>
      </c>
      <c r="D6">
        <f>D5/(SQRT(2))</f>
        <v>0.62083333333333734</v>
      </c>
      <c r="G6">
        <f>G5/(SQRT(2))</f>
        <v>2.0833333333335702E-2</v>
      </c>
      <c r="J6">
        <f>J5/(SQRT(2))</f>
        <v>4.4444444444445168E-2</v>
      </c>
      <c r="M6">
        <f>M5/(SQRT(2))</f>
        <v>7.2222222222222854E-2</v>
      </c>
      <c r="Q6" t="s">
        <v>47</v>
      </c>
      <c r="R6">
        <v>2.066666666666666</v>
      </c>
      <c r="S6">
        <v>4.9888888888888889</v>
      </c>
      <c r="T6">
        <v>2.2777777777777768</v>
      </c>
      <c r="U6">
        <v>2.2714285714285705</v>
      </c>
      <c r="V6">
        <v>2.4023809523809532</v>
      </c>
      <c r="W6">
        <v>2.4976190476190472</v>
      </c>
      <c r="X6">
        <v>2.6380952380952385</v>
      </c>
      <c r="Y6">
        <v>3.0055555555555555</v>
      </c>
      <c r="Z6" s="46">
        <v>1.2099999999999995</v>
      </c>
      <c r="AA6">
        <v>2.8666666666666671</v>
      </c>
      <c r="AB6">
        <v>2.3833333333333337</v>
      </c>
      <c r="AC6">
        <v>3.2059523809523798</v>
      </c>
      <c r="AD6">
        <v>3.1928571428571431</v>
      </c>
      <c r="AE6">
        <v>2.60952380952381</v>
      </c>
      <c r="AF6" s="48">
        <v>1.467857142857143</v>
      </c>
      <c r="AG6">
        <v>2.9214285714285708</v>
      </c>
      <c r="AH6">
        <v>2.8761904761904766</v>
      </c>
      <c r="AI6">
        <v>3.1178571428571429</v>
      </c>
      <c r="AJ6">
        <v>3.5111111111111111</v>
      </c>
      <c r="AK6">
        <v>2.8124999999999996</v>
      </c>
      <c r="AL6">
        <v>2.979166666666667</v>
      </c>
      <c r="AM6" s="45" t="s">
        <v>140</v>
      </c>
      <c r="AN6">
        <v>3.8900000000000006</v>
      </c>
      <c r="AQ6" t="s">
        <v>47</v>
      </c>
      <c r="AR6">
        <v>2.066666666666666</v>
      </c>
      <c r="AS6">
        <v>4.9888888888888889</v>
      </c>
      <c r="AT6">
        <v>2.2777777777777768</v>
      </c>
      <c r="AU6">
        <v>3.0055555555555555</v>
      </c>
      <c r="AV6">
        <v>2.8666666666666671</v>
      </c>
      <c r="AW6">
        <v>2.3833333333333337</v>
      </c>
      <c r="AX6">
        <v>3.2059523809523798</v>
      </c>
      <c r="AY6">
        <v>3.1928571428571431</v>
      </c>
      <c r="AZ6">
        <v>2.60952380952381</v>
      </c>
      <c r="BA6" s="48">
        <v>1.467857142857143</v>
      </c>
      <c r="BB6">
        <v>2.9214285714285708</v>
      </c>
      <c r="BC6">
        <v>2.8761904761904766</v>
      </c>
      <c r="BD6">
        <v>3.1178571428571429</v>
      </c>
      <c r="BE6">
        <v>3.5111111111111111</v>
      </c>
      <c r="BF6">
        <v>2.8124999999999996</v>
      </c>
      <c r="BG6">
        <v>2.979166666666667</v>
      </c>
      <c r="BH6">
        <v>3.8900000000000006</v>
      </c>
    </row>
    <row r="7" spans="1:60">
      <c r="Q7" s="19" t="s">
        <v>48</v>
      </c>
      <c r="R7" s="19">
        <v>4.4444444444445168E-2</v>
      </c>
      <c r="S7" s="19">
        <v>0.48888888888888937</v>
      </c>
      <c r="T7" s="19">
        <v>0.21481481481481435</v>
      </c>
      <c r="U7" s="19">
        <v>5.2380952380953305E-2</v>
      </c>
      <c r="V7" s="19">
        <v>3.571428571428692E-2</v>
      </c>
      <c r="W7" s="19">
        <v>4.5238095238094633E-2</v>
      </c>
      <c r="X7" s="19">
        <v>2.8571428571428466E-2</v>
      </c>
      <c r="Y7" s="19">
        <v>9.2592592592588546E-3</v>
      </c>
      <c r="Z7" s="46">
        <v>2.0033333333333325</v>
      </c>
      <c r="AA7" s="19">
        <v>0.15416666666666679</v>
      </c>
      <c r="AB7" s="19">
        <v>8.3333333333333467E-2</v>
      </c>
      <c r="AC7" s="19">
        <v>0.17261904761904723</v>
      </c>
      <c r="AD7" s="19">
        <v>0.33571428571428624</v>
      </c>
      <c r="AE7" s="19">
        <v>0.12380952380952359</v>
      </c>
      <c r="AF7" s="48">
        <v>1.1464285714285711</v>
      </c>
      <c r="AG7" s="19">
        <v>0.13571428571428523</v>
      </c>
      <c r="AH7" s="19">
        <v>0.2238095238095241</v>
      </c>
      <c r="AI7" s="19">
        <v>6.071428571428527E-2</v>
      </c>
      <c r="AJ7" s="19">
        <v>4.4444444444444287E-2</v>
      </c>
      <c r="AK7" s="19">
        <v>8.7500000000000355E-2</v>
      </c>
      <c r="AL7" s="19">
        <v>0.1375000000000004</v>
      </c>
      <c r="AM7" s="45" t="s">
        <v>140</v>
      </c>
      <c r="AN7" s="19">
        <v>0.28000000000000108</v>
      </c>
      <c r="AQ7" s="19" t="s">
        <v>48</v>
      </c>
      <c r="AR7" s="19">
        <v>4.4444444444445168E-2</v>
      </c>
      <c r="AS7" s="19">
        <v>0.48888888888888937</v>
      </c>
      <c r="AT7" s="19">
        <v>0.21481481481481435</v>
      </c>
      <c r="AU7" s="19">
        <v>9.2592592592588546E-3</v>
      </c>
      <c r="AV7" s="19">
        <v>0.15416666666666679</v>
      </c>
      <c r="AW7" s="19">
        <v>8.3333333333333467E-2</v>
      </c>
      <c r="AX7" s="19">
        <v>0.17261904761904723</v>
      </c>
      <c r="AY7" s="19">
        <v>0.33571428571428624</v>
      </c>
      <c r="AZ7" s="19">
        <v>0.12380952380952359</v>
      </c>
      <c r="BA7" s="48">
        <v>1.1464285714285711</v>
      </c>
      <c r="BB7" s="19">
        <v>0.13571428571428523</v>
      </c>
      <c r="BC7" s="19">
        <v>0.2238095238095241</v>
      </c>
      <c r="BD7" s="19">
        <v>6.071428571428527E-2</v>
      </c>
      <c r="BE7" s="19">
        <v>4.4444444444444287E-2</v>
      </c>
      <c r="BF7" s="19">
        <v>8.7500000000000355E-2</v>
      </c>
      <c r="BG7" s="19">
        <v>0.1375000000000004</v>
      </c>
      <c r="BH7" s="19">
        <v>0.28000000000000108</v>
      </c>
    </row>
    <row r="8" spans="1:60">
      <c r="A8" s="33" t="s">
        <v>52</v>
      </c>
      <c r="B8" s="29" t="s">
        <v>90</v>
      </c>
      <c r="C8" s="29" t="s">
        <v>87</v>
      </c>
      <c r="D8" s="30" t="s">
        <v>89</v>
      </c>
      <c r="E8" s="34" t="s">
        <v>91</v>
      </c>
      <c r="F8" s="29" t="s">
        <v>86</v>
      </c>
      <c r="G8" s="30" t="s">
        <v>88</v>
      </c>
      <c r="H8" s="34" t="s">
        <v>93</v>
      </c>
      <c r="I8" s="29" t="s">
        <v>94</v>
      </c>
      <c r="J8" s="30" t="s">
        <v>92</v>
      </c>
      <c r="K8" s="34" t="s">
        <v>95</v>
      </c>
      <c r="L8" s="29" t="s">
        <v>96</v>
      </c>
      <c r="M8" s="30" t="s">
        <v>97</v>
      </c>
      <c r="N8" s="36" t="s">
        <v>104</v>
      </c>
      <c r="Q8" t="s">
        <v>49</v>
      </c>
      <c r="R8">
        <v>1.6277777777777784</v>
      </c>
      <c r="S8">
        <v>4.5444444444444416</v>
      </c>
      <c r="T8">
        <v>2.9370370370370358</v>
      </c>
      <c r="U8">
        <v>2.295238095238096</v>
      </c>
      <c r="V8">
        <v>3.0857142857142854</v>
      </c>
      <c r="W8">
        <v>3.519047619047619</v>
      </c>
      <c r="X8">
        <v>2.6142857142857139</v>
      </c>
      <c r="Y8">
        <v>2.42962962962963</v>
      </c>
      <c r="Z8" s="46">
        <v>-2.9433333333333338</v>
      </c>
      <c r="AA8">
        <v>2.645833333333333</v>
      </c>
      <c r="AB8">
        <v>2.1694444444444452</v>
      </c>
      <c r="AC8">
        <v>3.009523809523809</v>
      </c>
      <c r="AD8">
        <v>2.7619047619047619</v>
      </c>
      <c r="AE8">
        <v>2.2928571428571427</v>
      </c>
      <c r="AF8">
        <v>2.6833333333333336</v>
      </c>
      <c r="AG8">
        <v>2.4547619047619045</v>
      </c>
      <c r="AH8">
        <v>2.0238095238095237</v>
      </c>
      <c r="AI8">
        <v>2.4785714285714286</v>
      </c>
      <c r="AJ8">
        <v>2.8481481481481472</v>
      </c>
      <c r="AK8">
        <v>2.4583333333333339</v>
      </c>
      <c r="AL8">
        <v>2.4111111111111097</v>
      </c>
      <c r="AM8" s="45" t="s">
        <v>140</v>
      </c>
      <c r="AN8">
        <v>3.816250000000001</v>
      </c>
      <c r="AQ8" t="s">
        <v>49</v>
      </c>
      <c r="AR8">
        <v>1.6277777777777784</v>
      </c>
      <c r="AS8">
        <v>4.5444444444444416</v>
      </c>
      <c r="AT8">
        <v>2.9370370370370358</v>
      </c>
      <c r="AU8">
        <v>2.42962962962963</v>
      </c>
      <c r="AV8">
        <v>2.645833333333333</v>
      </c>
      <c r="AW8">
        <v>2.1694444444444452</v>
      </c>
      <c r="AX8">
        <v>3.009523809523809</v>
      </c>
      <c r="AY8">
        <v>2.7619047619047619</v>
      </c>
      <c r="AZ8">
        <v>2.2928571428571427</v>
      </c>
      <c r="BA8">
        <v>2.6833333333333336</v>
      </c>
      <c r="BB8">
        <v>2.4547619047619045</v>
      </c>
      <c r="BC8">
        <v>2.0238095238095237</v>
      </c>
      <c r="BD8">
        <v>2.4785714285714286</v>
      </c>
      <c r="BE8">
        <v>2.8481481481481472</v>
      </c>
      <c r="BF8">
        <v>2.4583333333333339</v>
      </c>
      <c r="BG8">
        <v>2.4111111111111097</v>
      </c>
      <c r="BH8">
        <v>3.816250000000001</v>
      </c>
    </row>
    <row r="9" spans="1:60">
      <c r="A9" s="32">
        <v>1</v>
      </c>
      <c r="B9" s="31">
        <v>312.89999999999998</v>
      </c>
      <c r="C9" s="31">
        <v>250.7</v>
      </c>
      <c r="D9" s="32">
        <f>((B9-C9)/4)/7</f>
        <v>2.2214285714285711</v>
      </c>
      <c r="E9" s="31">
        <v>392.3</v>
      </c>
      <c r="F9" s="31">
        <v>268.89999999999998</v>
      </c>
      <c r="G9" s="32">
        <f>((E9-F9)/4)/7</f>
        <v>4.4071428571428584</v>
      </c>
      <c r="H9" s="31">
        <v>390.4</v>
      </c>
      <c r="I9" s="31">
        <v>349.9</v>
      </c>
      <c r="J9" s="32">
        <f>((H9-I9)/3)/3</f>
        <v>4.5</v>
      </c>
      <c r="K9" s="31">
        <v>371.7</v>
      </c>
      <c r="L9" s="31">
        <v>324.2</v>
      </c>
      <c r="M9" s="32">
        <f>((K9-L9)/3)/3</f>
        <v>5.2777777777777777</v>
      </c>
      <c r="N9" t="s">
        <v>60</v>
      </c>
      <c r="Q9" s="19" t="s">
        <v>50</v>
      </c>
      <c r="R9" s="19">
        <v>7.2222222222222854E-2</v>
      </c>
      <c r="S9" s="19">
        <v>0.73333333333333728</v>
      </c>
      <c r="T9" s="19">
        <v>0.56296296296296211</v>
      </c>
      <c r="U9" s="19">
        <v>0.56666666666666787</v>
      </c>
      <c r="V9" s="19">
        <v>0.94761904761904736</v>
      </c>
      <c r="W9" s="19">
        <v>1.0523809523809526</v>
      </c>
      <c r="X9" s="19">
        <v>0.41904761904761895</v>
      </c>
      <c r="Y9" s="19">
        <v>0.22962962962962985</v>
      </c>
      <c r="Z9" s="46">
        <v>1.5633333333333348</v>
      </c>
      <c r="AA9" s="19">
        <v>0.21666666666666612</v>
      </c>
      <c r="AB9" s="19">
        <v>0.15277777777777787</v>
      </c>
      <c r="AC9" s="19">
        <v>0.29523809523809463</v>
      </c>
      <c r="AD9" s="19">
        <v>0.22380952380952457</v>
      </c>
      <c r="AE9" s="19">
        <v>4.047619047619011E-2</v>
      </c>
      <c r="AF9" s="19">
        <v>0.62142857142857111</v>
      </c>
      <c r="AG9" s="19">
        <v>4.5238095238095515E-2</v>
      </c>
      <c r="AH9" s="19">
        <v>1.9047619047619202E-2</v>
      </c>
      <c r="AI9" s="19">
        <v>0.19285714285714303</v>
      </c>
      <c r="AJ9" s="19">
        <v>0.56296296296296378</v>
      </c>
      <c r="AK9" s="19">
        <v>0.10833333333333361</v>
      </c>
      <c r="AL9" s="19">
        <v>0.12222222222222155</v>
      </c>
      <c r="AM9" s="45" t="s">
        <v>140</v>
      </c>
      <c r="AN9" s="15">
        <v>0.49625000000000002</v>
      </c>
      <c r="AQ9" s="19" t="s">
        <v>50</v>
      </c>
      <c r="AR9" s="19">
        <v>7.2222222222222854E-2</v>
      </c>
      <c r="AS9" s="19">
        <v>0.73333333333333728</v>
      </c>
      <c r="AT9" s="19">
        <v>0.56296296296296211</v>
      </c>
      <c r="AU9" s="19">
        <v>0.22962962962962985</v>
      </c>
      <c r="AV9" s="19">
        <v>0.21666666666666612</v>
      </c>
      <c r="AW9" s="19">
        <v>0.15277777777777787</v>
      </c>
      <c r="AX9" s="19">
        <v>0.29523809523809463</v>
      </c>
      <c r="AY9" s="19">
        <v>0.22380952380952457</v>
      </c>
      <c r="AZ9" s="19">
        <v>4.047619047619011E-2</v>
      </c>
      <c r="BA9" s="19">
        <v>0.62142857142857111</v>
      </c>
      <c r="BB9" s="19">
        <v>4.5238095238095515E-2</v>
      </c>
      <c r="BC9" s="19">
        <v>1.9047619047619202E-2</v>
      </c>
      <c r="BD9" s="19">
        <v>0.19285714285714303</v>
      </c>
      <c r="BE9" s="19">
        <v>0.56296296296296378</v>
      </c>
      <c r="BF9" s="19">
        <v>0.10833333333333361</v>
      </c>
      <c r="BG9" s="19">
        <v>0.12222222222222155</v>
      </c>
      <c r="BH9" s="49">
        <v>0.49625000000000002</v>
      </c>
    </row>
    <row r="10" spans="1:60">
      <c r="A10" s="32">
        <v>2</v>
      </c>
      <c r="B10" s="31">
        <v>321.3</v>
      </c>
      <c r="C10" s="31">
        <v>296.10000000000002</v>
      </c>
      <c r="D10" s="32">
        <f>((B10-C10)/2)/7</f>
        <v>1.7999999999999992</v>
      </c>
      <c r="E10" s="31">
        <v>379.9</v>
      </c>
      <c r="F10" s="31">
        <v>343.9</v>
      </c>
      <c r="G10" s="32">
        <f>((E10-F10)/2)/7</f>
        <v>2.5714285714285716</v>
      </c>
      <c r="H10" s="31">
        <v>358.2</v>
      </c>
      <c r="I10" s="31">
        <v>308.89999999999998</v>
      </c>
      <c r="J10" s="32">
        <f>((H10-I10)/3)/3</f>
        <v>5.4777777777777787</v>
      </c>
      <c r="K10" s="31">
        <v>349.4</v>
      </c>
      <c r="L10" s="31">
        <v>315.10000000000002</v>
      </c>
      <c r="M10" s="32">
        <f>((K10-L10)/3)/3</f>
        <v>3.811111111111106</v>
      </c>
    </row>
    <row r="11" spans="1:60">
      <c r="A11" t="s">
        <v>98</v>
      </c>
      <c r="D11">
        <f>AVERAGE(D9:D10)</f>
        <v>2.0107142857142852</v>
      </c>
      <c r="G11">
        <f>AVERAGE(G9:G10)</f>
        <v>3.4892857142857148</v>
      </c>
      <c r="J11">
        <f>AVERAGE(J9:J10)</f>
        <v>4.9888888888888889</v>
      </c>
      <c r="M11">
        <f>AVERAGE(M9:M10)</f>
        <v>4.5444444444444416</v>
      </c>
    </row>
    <row r="12" spans="1:60">
      <c r="A12" t="s">
        <v>99</v>
      </c>
      <c r="D12">
        <f>STDEV(D9:D10)</f>
        <v>0.29799500064290074</v>
      </c>
      <c r="G12">
        <f>STDEV(G9:G10)</f>
        <v>1.298046019749592</v>
      </c>
      <c r="J12">
        <f>STDEV(J9:J10)</f>
        <v>0.6913932971601805</v>
      </c>
      <c r="M12">
        <f>STDEV(M9:M10)</f>
        <v>1.0370899457402754</v>
      </c>
    </row>
    <row r="13" spans="1:60">
      <c r="A13" t="s">
        <v>41</v>
      </c>
      <c r="D13">
        <f>D12/(SQRT(2))</f>
        <v>0.21071428571428469</v>
      </c>
      <c r="G13">
        <f>G12/(SQRT(2))</f>
        <v>0.91785714285714359</v>
      </c>
      <c r="J13">
        <f>J12/(SQRT(2))</f>
        <v>0.48888888888888937</v>
      </c>
      <c r="M13">
        <f>M12/(SQRT(2))</f>
        <v>0.73333333333333728</v>
      </c>
    </row>
    <row r="15" spans="1:60">
      <c r="A15" s="33" t="s">
        <v>55</v>
      </c>
      <c r="B15" s="29" t="s">
        <v>90</v>
      </c>
      <c r="C15" s="29" t="s">
        <v>87</v>
      </c>
      <c r="D15" s="30" t="s">
        <v>89</v>
      </c>
      <c r="E15" s="34" t="s">
        <v>91</v>
      </c>
      <c r="F15" s="29" t="s">
        <v>86</v>
      </c>
      <c r="G15" s="30" t="s">
        <v>88</v>
      </c>
      <c r="H15" s="34" t="s">
        <v>93</v>
      </c>
      <c r="I15" s="29" t="s">
        <v>94</v>
      </c>
      <c r="J15" s="30" t="s">
        <v>92</v>
      </c>
      <c r="K15" s="34" t="s">
        <v>95</v>
      </c>
      <c r="L15" s="29" t="s">
        <v>96</v>
      </c>
      <c r="M15" s="30" t="s">
        <v>97</v>
      </c>
      <c r="N15" s="36" t="s">
        <v>105</v>
      </c>
    </row>
    <row r="16" spans="1:60">
      <c r="A16" s="32">
        <v>1</v>
      </c>
      <c r="B16" s="31">
        <v>562</v>
      </c>
      <c r="C16" s="24">
        <v>458.5</v>
      </c>
      <c r="D16" s="32">
        <f>((B16-C16)/4)/9</f>
        <v>2.875</v>
      </c>
      <c r="E16">
        <v>504.5</v>
      </c>
      <c r="F16" s="31">
        <v>448</v>
      </c>
      <c r="G16" s="32">
        <f>((E16-F16)/4)/9</f>
        <v>1.5694444444444444</v>
      </c>
      <c r="H16">
        <v>515.29999999999995</v>
      </c>
      <c r="I16" s="31">
        <v>448</v>
      </c>
      <c r="J16" s="32">
        <f>((H16-I16)/3)/9</f>
        <v>2.4925925925925911</v>
      </c>
      <c r="K16" s="31">
        <v>539.79999999999995</v>
      </c>
      <c r="L16" s="31">
        <v>445.3</v>
      </c>
      <c r="M16" s="32">
        <f>((K16-L16)/3)/9</f>
        <v>3.4999999999999982</v>
      </c>
      <c r="N16" t="s">
        <v>58</v>
      </c>
    </row>
    <row r="17" spans="1:14">
      <c r="A17" s="32">
        <v>2</v>
      </c>
      <c r="B17" s="31">
        <v>520.6</v>
      </c>
      <c r="C17" s="24">
        <v>475.4</v>
      </c>
      <c r="D17" s="32">
        <f>((B17-C17)/2)/9</f>
        <v>2.5111111111111137</v>
      </c>
      <c r="E17">
        <v>556.9</v>
      </c>
      <c r="F17" s="31">
        <v>506.7</v>
      </c>
      <c r="G17" s="32">
        <f>((E17-F17)/2)/9</f>
        <v>2.7888888888888883</v>
      </c>
      <c r="H17">
        <v>562.4</v>
      </c>
      <c r="I17" s="31">
        <v>506.7</v>
      </c>
      <c r="J17" s="32">
        <f>((H17-I17)/3)/9</f>
        <v>2.0629629629629624</v>
      </c>
      <c r="K17" s="31">
        <v>522.79999999999995</v>
      </c>
      <c r="L17" s="31">
        <v>458.7</v>
      </c>
      <c r="M17" s="32">
        <f>((K17-L17)/3)/9</f>
        <v>2.3740740740740729</v>
      </c>
    </row>
    <row r="18" spans="1:14">
      <c r="A18" t="s">
        <v>98</v>
      </c>
      <c r="D18">
        <f>AVERAGE(D16:D17)</f>
        <v>2.6930555555555569</v>
      </c>
      <c r="G18">
        <f>AVERAGE(G16:G17)</f>
        <v>2.1791666666666663</v>
      </c>
      <c r="J18">
        <f>AVERAGE(J16:J17)</f>
        <v>2.2777777777777768</v>
      </c>
      <c r="M18">
        <f>AVERAGE(M16:M17)</f>
        <v>2.9370370370370358</v>
      </c>
    </row>
    <row r="19" spans="1:14">
      <c r="A19" t="s">
        <v>99</v>
      </c>
      <c r="D19">
        <f>STDEV(D16:D17)</f>
        <v>0.2573083009317696</v>
      </c>
      <c r="G19">
        <f>STDEV(G16:G17)</f>
        <v>0.86227743594692963</v>
      </c>
      <c r="J19">
        <f>STDEV(J16:J17)</f>
        <v>0.30379402450977533</v>
      </c>
      <c r="M19">
        <f>STDEV(M16:M17)</f>
        <v>0.79614985733596344</v>
      </c>
    </row>
    <row r="20" spans="1:14">
      <c r="A20" t="s">
        <v>41</v>
      </c>
      <c r="D20">
        <f>D19/(SQRT(2))</f>
        <v>0.1819444444444431</v>
      </c>
      <c r="G20">
        <f>G19/(SQRT(2))</f>
        <v>0.60972222222222272</v>
      </c>
      <c r="J20">
        <f>J19/(SQRT(2))</f>
        <v>0.21481481481481435</v>
      </c>
      <c r="M20">
        <f>M19/(SQRT(2))</f>
        <v>0.56296296296296211</v>
      </c>
    </row>
    <row r="22" spans="1:14">
      <c r="A22" s="33" t="s">
        <v>57</v>
      </c>
      <c r="B22" s="29" t="s">
        <v>90</v>
      </c>
      <c r="C22" s="29" t="s">
        <v>87</v>
      </c>
      <c r="D22" s="30" t="s">
        <v>89</v>
      </c>
      <c r="E22" s="34" t="s">
        <v>91</v>
      </c>
      <c r="F22" s="29" t="s">
        <v>86</v>
      </c>
      <c r="G22" s="30" t="s">
        <v>88</v>
      </c>
      <c r="H22" s="34" t="s">
        <v>93</v>
      </c>
      <c r="I22" s="29" t="s">
        <v>94</v>
      </c>
      <c r="J22" s="30" t="s">
        <v>92</v>
      </c>
      <c r="K22" s="34" t="s">
        <v>95</v>
      </c>
      <c r="L22" s="29" t="s">
        <v>96</v>
      </c>
      <c r="M22" s="30" t="s">
        <v>97</v>
      </c>
      <c r="N22" s="36" t="s">
        <v>106</v>
      </c>
    </row>
    <row r="23" spans="1:14">
      <c r="A23" s="32">
        <v>1</v>
      </c>
      <c r="B23" s="24">
        <v>458.5</v>
      </c>
      <c r="C23" s="24">
        <v>234.5</v>
      </c>
      <c r="D23" s="32">
        <f>((B23-C23)/4)/7</f>
        <v>8</v>
      </c>
      <c r="E23" s="31">
        <v>448</v>
      </c>
      <c r="F23" s="31">
        <v>187.5</v>
      </c>
      <c r="G23" s="32">
        <f>((E23-F23)/4)/7</f>
        <v>9.3035714285714288</v>
      </c>
      <c r="H23" s="31">
        <v>448</v>
      </c>
      <c r="I23" s="31">
        <v>399.2</v>
      </c>
      <c r="J23" s="32">
        <f>((H23-I23)/3)/7</f>
        <v>2.323809523809524</v>
      </c>
      <c r="K23" s="31">
        <v>445.3</v>
      </c>
      <c r="L23" s="31">
        <v>385.2</v>
      </c>
      <c r="M23" s="32">
        <f>((K23-L23)/3)/7</f>
        <v>2.8619047619047633</v>
      </c>
      <c r="N23" t="s">
        <v>60</v>
      </c>
    </row>
    <row r="24" spans="1:14">
      <c r="A24" s="32">
        <v>2</v>
      </c>
      <c r="B24" s="24">
        <v>475.4</v>
      </c>
      <c r="C24" s="24">
        <v>450.5</v>
      </c>
      <c r="D24" s="32">
        <f>((B24-C24)/2)/7</f>
        <v>1.7785714285714269</v>
      </c>
      <c r="E24" s="31">
        <v>506.7</v>
      </c>
      <c r="F24" s="31">
        <v>459.8</v>
      </c>
      <c r="G24" s="32">
        <f>((E24-F24)/2)/7</f>
        <v>3.3499999999999983</v>
      </c>
      <c r="H24" s="31">
        <v>506.7</v>
      </c>
      <c r="I24" s="31">
        <v>460.1</v>
      </c>
      <c r="J24" s="32">
        <f>((H24-I24)/3)/7</f>
        <v>2.2190476190476174</v>
      </c>
      <c r="K24" s="31">
        <v>458.7</v>
      </c>
      <c r="L24" s="31">
        <v>422.4</v>
      </c>
      <c r="M24" s="32">
        <f>((K24-L24)/3)/7</f>
        <v>1.7285714285714291</v>
      </c>
      <c r="N24" s="40" t="s">
        <v>107</v>
      </c>
    </row>
    <row r="25" spans="1:14">
      <c r="A25" t="s">
        <v>98</v>
      </c>
      <c r="D25">
        <f>AVERAGE(D23:D24)</f>
        <v>4.8892857142857133</v>
      </c>
      <c r="G25">
        <f>AVERAGE(G23:G24)</f>
        <v>6.3267857142857133</v>
      </c>
      <c r="J25">
        <f>AVERAGE(J23:J24)</f>
        <v>2.2714285714285705</v>
      </c>
      <c r="M25">
        <f>AVERAGE(M23:M24)</f>
        <v>2.295238095238096</v>
      </c>
      <c r="N25" t="s">
        <v>108</v>
      </c>
    </row>
    <row r="26" spans="1:14">
      <c r="A26" t="s">
        <v>99</v>
      </c>
      <c r="D26">
        <f>STDEV(D23:D24)</f>
        <v>4.3992143315248793</v>
      </c>
      <c r="G26">
        <f>STDEV(G23:G24)</f>
        <v>4.2098107294213394</v>
      </c>
      <c r="J26">
        <f>STDEV(J23:J24)</f>
        <v>7.4077853267163429E-2</v>
      </c>
      <c r="M26">
        <f>STDEV(M23:M24)</f>
        <v>0.80138768534475557</v>
      </c>
    </row>
    <row r="27" spans="1:14">
      <c r="A27" t="s">
        <v>41</v>
      </c>
      <c r="D27">
        <f>D26/(SQRT(2))</f>
        <v>3.1107142857142867</v>
      </c>
      <c r="G27">
        <f>G26/(SQRT(2))</f>
        <v>2.976785714285715</v>
      </c>
      <c r="J27">
        <f>J26/(SQRT(2))</f>
        <v>5.2380952380953305E-2</v>
      </c>
      <c r="M27">
        <f>M26/(SQRT(2))</f>
        <v>0.56666666666666787</v>
      </c>
    </row>
    <row r="28" spans="1:14">
      <c r="A28" s="25"/>
      <c r="B28" s="25"/>
      <c r="C28" s="25"/>
      <c r="D28" s="25"/>
    </row>
    <row r="29" spans="1:14">
      <c r="A29" s="33" t="s">
        <v>59</v>
      </c>
      <c r="B29" s="29" t="s">
        <v>90</v>
      </c>
      <c r="C29" s="29" t="s">
        <v>87</v>
      </c>
      <c r="D29" s="30" t="s">
        <v>89</v>
      </c>
      <c r="E29" s="34" t="s">
        <v>91</v>
      </c>
      <c r="F29" s="29" t="s">
        <v>86</v>
      </c>
      <c r="G29" s="30" t="s">
        <v>88</v>
      </c>
      <c r="H29" s="34" t="s">
        <v>93</v>
      </c>
      <c r="I29" s="29" t="s">
        <v>94</v>
      </c>
      <c r="J29" s="30" t="s">
        <v>92</v>
      </c>
      <c r="K29" s="34" t="s">
        <v>95</v>
      </c>
      <c r="L29" s="29" t="s">
        <v>96</v>
      </c>
      <c r="M29" s="30" t="s">
        <v>97</v>
      </c>
      <c r="N29" s="36" t="s">
        <v>109</v>
      </c>
    </row>
    <row r="30" spans="1:14">
      <c r="A30" s="32">
        <v>1</v>
      </c>
      <c r="B30" s="24">
        <v>484</v>
      </c>
      <c r="C30" s="31">
        <v>407.9</v>
      </c>
      <c r="D30" s="32">
        <f>((B30-C30)/4)/7</f>
        <v>2.7178571428571439</v>
      </c>
      <c r="E30" s="31">
        <v>448.7</v>
      </c>
      <c r="F30" s="31">
        <v>242.9</v>
      </c>
      <c r="G30" s="32">
        <f>((E30-F30)/4)/7</f>
        <v>7.35</v>
      </c>
      <c r="H30" s="31">
        <v>399.2</v>
      </c>
      <c r="I30" s="31">
        <v>349.5</v>
      </c>
      <c r="J30" s="32">
        <f>((H30-I30)/3)/7</f>
        <v>2.3666666666666663</v>
      </c>
      <c r="K30" s="31">
        <v>385.2</v>
      </c>
      <c r="L30" s="24">
        <v>300.5</v>
      </c>
      <c r="M30" s="32">
        <f>((K30-L30)/3)/7</f>
        <v>4.0333333333333332</v>
      </c>
      <c r="N30" t="s">
        <v>60</v>
      </c>
    </row>
    <row r="31" spans="1:14">
      <c r="A31" s="32">
        <v>2</v>
      </c>
      <c r="B31" s="24">
        <v>450.5</v>
      </c>
      <c r="C31" s="31">
        <v>418.9</v>
      </c>
      <c r="D31" s="32">
        <f>((B31-C31)/2)/7</f>
        <v>2.2571428571428589</v>
      </c>
      <c r="E31" s="31">
        <v>459.8</v>
      </c>
      <c r="F31" s="31">
        <v>426.1</v>
      </c>
      <c r="G31" s="32">
        <f>((E31-F31)/2)/7</f>
        <v>2.4071428571428561</v>
      </c>
      <c r="H31" s="31">
        <v>460.1</v>
      </c>
      <c r="I31" s="31">
        <v>408.9</v>
      </c>
      <c r="J31" s="32">
        <f>((H31-I31)/3)/7</f>
        <v>2.4380952380952401</v>
      </c>
      <c r="K31" s="31">
        <v>422.4</v>
      </c>
      <c r="L31" s="24">
        <v>377.5</v>
      </c>
      <c r="M31" s="32">
        <f>((K31-L31)/3)/7</f>
        <v>2.1380952380952372</v>
      </c>
      <c r="N31" s="40" t="s">
        <v>110</v>
      </c>
    </row>
    <row r="32" spans="1:14">
      <c r="A32" t="s">
        <v>98</v>
      </c>
      <c r="D32">
        <f>AVERAGE(D30:D31)</f>
        <v>2.4875000000000016</v>
      </c>
      <c r="G32">
        <f>AVERAGE(G30:G31)</f>
        <v>4.8785714285714281</v>
      </c>
      <c r="J32">
        <f>AVERAGE(J30:J31)</f>
        <v>2.4023809523809532</v>
      </c>
      <c r="M32">
        <f>AVERAGE(M30:M31)</f>
        <v>3.0857142857142854</v>
      </c>
      <c r="N32" t="s">
        <v>108</v>
      </c>
    </row>
    <row r="33" spans="1:14">
      <c r="A33" t="s">
        <v>99</v>
      </c>
      <c r="D33">
        <f>STDEV(D30:D31)</f>
        <v>0.32577419561808746</v>
      </c>
      <c r="G33">
        <f>STDEV(G30:G31)</f>
        <v>3.4951278041506488</v>
      </c>
      <c r="J33">
        <f>STDEV(J30:J31)</f>
        <v>5.0507627227612241E-2</v>
      </c>
      <c r="M33">
        <f>STDEV(M30:M31)</f>
        <v>1.3401357091059327</v>
      </c>
    </row>
    <row r="34" spans="1:14">
      <c r="A34" t="s">
        <v>41</v>
      </c>
      <c r="D34">
        <f>D33/(SQRT(2))</f>
        <v>0.23035714285714248</v>
      </c>
      <c r="G34">
        <f>G33/(SQRT(2))</f>
        <v>2.4714285714285711</v>
      </c>
      <c r="J34">
        <f>J33/(SQRT(2))</f>
        <v>3.571428571428692E-2</v>
      </c>
      <c r="M34">
        <f>M33/(SQRT(2))</f>
        <v>0.94761904761904736</v>
      </c>
    </row>
    <row r="35" spans="1:14">
      <c r="A35" s="25"/>
      <c r="B35" s="25"/>
      <c r="C35" s="25"/>
      <c r="D35" s="25"/>
    </row>
    <row r="36" spans="1:14">
      <c r="A36" s="33" t="s">
        <v>61</v>
      </c>
      <c r="B36" s="29" t="s">
        <v>90</v>
      </c>
      <c r="C36" s="29" t="s">
        <v>87</v>
      </c>
      <c r="D36" s="30" t="s">
        <v>89</v>
      </c>
      <c r="E36" s="34" t="s">
        <v>91</v>
      </c>
      <c r="F36" s="29" t="s">
        <v>86</v>
      </c>
      <c r="G36" s="30" t="s">
        <v>88</v>
      </c>
      <c r="H36" s="34" t="s">
        <v>93</v>
      </c>
      <c r="I36" s="29" t="s">
        <v>94</v>
      </c>
      <c r="J36" s="30" t="s">
        <v>92</v>
      </c>
      <c r="K36" s="34" t="s">
        <v>95</v>
      </c>
      <c r="L36" s="29" t="s">
        <v>96</v>
      </c>
      <c r="M36" s="30" t="s">
        <v>97</v>
      </c>
      <c r="N36" s="36" t="s">
        <v>111</v>
      </c>
    </row>
    <row r="37" spans="1:14">
      <c r="A37" s="32">
        <v>1</v>
      </c>
      <c r="B37" s="31">
        <v>407.9</v>
      </c>
      <c r="C37" s="31">
        <v>335.9</v>
      </c>
      <c r="D37" s="32">
        <f>((B37-C37)/4)/7</f>
        <v>2.5714285714285716</v>
      </c>
      <c r="E37" s="31">
        <v>242.9</v>
      </c>
      <c r="F37" s="31">
        <v>371.7</v>
      </c>
      <c r="G37" s="32">
        <f>((E37-F37)/4)/7</f>
        <v>-4.5999999999999996</v>
      </c>
      <c r="H37" s="31">
        <v>349.5</v>
      </c>
      <c r="I37" s="31">
        <v>296.10000000000002</v>
      </c>
      <c r="J37" s="32">
        <f>((H37-I37)/3)/7</f>
        <v>2.5428571428571418</v>
      </c>
      <c r="K37" s="24">
        <v>300.5</v>
      </c>
      <c r="L37" s="24">
        <v>248.7</v>
      </c>
      <c r="M37" s="32">
        <f>((K37-L37)/3)/7</f>
        <v>2.4666666666666672</v>
      </c>
      <c r="N37" t="s">
        <v>60</v>
      </c>
    </row>
    <row r="38" spans="1:14">
      <c r="A38" s="32">
        <v>2</v>
      </c>
      <c r="B38" s="31">
        <v>418.9</v>
      </c>
      <c r="C38" s="31">
        <v>387.1</v>
      </c>
      <c r="D38" s="32">
        <f>((B38-C38)/2)/7</f>
        <v>2.2714285714285682</v>
      </c>
      <c r="E38" s="31">
        <v>426.1</v>
      </c>
      <c r="F38" s="31">
        <v>192.6</v>
      </c>
      <c r="G38" s="32">
        <f>((E38-F38)/2)/7</f>
        <v>16.678571428571431</v>
      </c>
      <c r="H38" s="31">
        <v>408.9</v>
      </c>
      <c r="I38" s="31">
        <v>357.4</v>
      </c>
      <c r="J38" s="32">
        <f>((H38-I38)/3)/7</f>
        <v>2.4523809523809526</v>
      </c>
      <c r="K38" s="24">
        <v>377.5</v>
      </c>
      <c r="L38" s="24">
        <v>281.5</v>
      </c>
      <c r="M38" s="32">
        <f>((K38-L38)/3)/7</f>
        <v>4.5714285714285712</v>
      </c>
      <c r="N38" s="40" t="s">
        <v>110</v>
      </c>
    </row>
    <row r="39" spans="1:14">
      <c r="A39" t="s">
        <v>98</v>
      </c>
      <c r="D39">
        <f>AVERAGE(D37:D38)</f>
        <v>2.4214285714285699</v>
      </c>
      <c r="G39">
        <f>AVERAGE(G37:G38)</f>
        <v>6.0392857142857155</v>
      </c>
      <c r="J39">
        <f>AVERAGE(J37:J38)</f>
        <v>2.4976190476190472</v>
      </c>
      <c r="M39">
        <f>AVERAGE(M37:M38)</f>
        <v>3.519047619047619</v>
      </c>
      <c r="N39" t="s">
        <v>108</v>
      </c>
    </row>
    <row r="40" spans="1:14">
      <c r="A40" t="s">
        <v>99</v>
      </c>
      <c r="D40">
        <f>STDEV(D37:D38)</f>
        <v>0.21213203435596664</v>
      </c>
      <c r="G40">
        <f>STDEV(G37:G38)</f>
        <v>15.04622215110518</v>
      </c>
      <c r="J40">
        <f>STDEV(J37:J38)</f>
        <v>6.3976327821639159E-2</v>
      </c>
      <c r="M40">
        <f>STDEV(M37:M38)</f>
        <v>1.4882914156402576</v>
      </c>
      <c r="N40" t="s">
        <v>112</v>
      </c>
    </row>
    <row r="41" spans="1:14">
      <c r="A41" t="s">
        <v>41</v>
      </c>
      <c r="D41">
        <f>D40/(SQRT(2))</f>
        <v>0.15000000000000169</v>
      </c>
      <c r="G41">
        <f>G40/(SQRT(2))</f>
        <v>10.639285714285714</v>
      </c>
      <c r="J41">
        <f>J40/(SQRT(2))</f>
        <v>4.5238095238094633E-2</v>
      </c>
      <c r="M41">
        <f>M40/(SQRT(2))</f>
        <v>1.0523809523809526</v>
      </c>
    </row>
    <row r="43" spans="1:14">
      <c r="A43" s="33" t="s">
        <v>62</v>
      </c>
      <c r="B43" s="29" t="s">
        <v>90</v>
      </c>
      <c r="C43" s="29" t="s">
        <v>87</v>
      </c>
      <c r="D43" s="30" t="s">
        <v>89</v>
      </c>
      <c r="E43" s="34" t="s">
        <v>91</v>
      </c>
      <c r="F43" s="29" t="s">
        <v>86</v>
      </c>
      <c r="G43" s="30" t="s">
        <v>88</v>
      </c>
      <c r="H43" s="34" t="s">
        <v>93</v>
      </c>
      <c r="I43" s="29" t="s">
        <v>94</v>
      </c>
      <c r="J43" s="30" t="s">
        <v>92</v>
      </c>
      <c r="K43" s="34" t="s">
        <v>95</v>
      </c>
      <c r="L43" s="29" t="s">
        <v>96</v>
      </c>
      <c r="M43" s="30" t="s">
        <v>97</v>
      </c>
      <c r="N43" s="36" t="s">
        <v>113</v>
      </c>
    </row>
    <row r="44" spans="1:14">
      <c r="A44" s="32">
        <v>1</v>
      </c>
      <c r="B44" s="31">
        <v>335.9</v>
      </c>
      <c r="C44" s="31">
        <v>270</v>
      </c>
      <c r="D44" s="32">
        <f>((B44-C44)/4)/7</f>
        <v>2.3535714285714278</v>
      </c>
      <c r="E44" s="31">
        <v>371.7</v>
      </c>
      <c r="F44" s="31">
        <v>227.6</v>
      </c>
      <c r="G44" s="32">
        <f>((E44-F44)/4)/7</f>
        <v>5.1464285714285714</v>
      </c>
      <c r="H44" s="31">
        <v>296.10000000000002</v>
      </c>
      <c r="I44" s="31">
        <v>241.3</v>
      </c>
      <c r="J44" s="32">
        <f>((H44-I44)/3)/7</f>
        <v>2.60952380952381</v>
      </c>
      <c r="K44" s="24">
        <v>248.7</v>
      </c>
      <c r="L44" s="24">
        <v>202.6</v>
      </c>
      <c r="M44" s="32">
        <f>((K44-L44)/3)/7</f>
        <v>2.195238095238095</v>
      </c>
      <c r="N44" t="s">
        <v>60</v>
      </c>
    </row>
    <row r="45" spans="1:14">
      <c r="A45" s="32">
        <v>2</v>
      </c>
      <c r="B45" s="31">
        <v>387.1</v>
      </c>
      <c r="C45" s="31">
        <v>352</v>
      </c>
      <c r="D45" s="32">
        <f>((B45-C45)/2)/7</f>
        <v>2.5071428571428589</v>
      </c>
      <c r="E45" s="31">
        <v>192.6</v>
      </c>
      <c r="F45" s="31">
        <v>364.7</v>
      </c>
      <c r="G45" s="32">
        <f>((E45-F45)/2)/7</f>
        <v>-12.292857142857143</v>
      </c>
      <c r="H45" s="31">
        <v>357.4</v>
      </c>
      <c r="I45" s="31">
        <v>301.39999999999998</v>
      </c>
      <c r="J45" s="32">
        <f>((H45-I45)/3)/7</f>
        <v>2.666666666666667</v>
      </c>
      <c r="K45" s="24">
        <v>281.5</v>
      </c>
      <c r="L45" s="24">
        <v>217.8</v>
      </c>
      <c r="M45" s="32">
        <f>((K45-L45)/3)/7</f>
        <v>3.0333333333333328</v>
      </c>
      <c r="N45" s="40" t="s">
        <v>114</v>
      </c>
    </row>
    <row r="46" spans="1:14">
      <c r="A46" t="s">
        <v>98</v>
      </c>
      <c r="D46">
        <f>AVERAGE(D44:D45)</f>
        <v>2.4303571428571433</v>
      </c>
      <c r="G46">
        <f>AVERAGE(G44:G45)</f>
        <v>-3.5732142857142857</v>
      </c>
      <c r="J46">
        <f>AVERAGE(J44:J45)</f>
        <v>2.6380952380952385</v>
      </c>
      <c r="M46">
        <f>AVERAGE(M44:M45)</f>
        <v>2.6142857142857139</v>
      </c>
      <c r="N46" t="s">
        <v>112</v>
      </c>
    </row>
    <row r="47" spans="1:14">
      <c r="A47" t="s">
        <v>99</v>
      </c>
      <c r="D47">
        <f>STDEV(D44:D45)</f>
        <v>0.10859139853936446</v>
      </c>
      <c r="G47">
        <f>STDEV(G44:G45)</f>
        <v>12.331437187621113</v>
      </c>
      <c r="J47">
        <f>STDEV(J44:J45)</f>
        <v>4.0406101782088283E-2</v>
      </c>
      <c r="M47">
        <f>STDEV(M44:M45)</f>
        <v>0.59262282613729689</v>
      </c>
    </row>
    <row r="48" spans="1:14">
      <c r="A48" t="s">
        <v>41</v>
      </c>
      <c r="D48">
        <f>D47/(SQRT(2))</f>
        <v>7.6785714285715553E-2</v>
      </c>
      <c r="G48">
        <f>G47/(SQRT(2))</f>
        <v>8.7196428571428566</v>
      </c>
      <c r="J48">
        <f>J47/(SQRT(2))</f>
        <v>2.8571428571428466E-2</v>
      </c>
      <c r="M48">
        <f>M47/(SQRT(2))</f>
        <v>0.41904761904761895</v>
      </c>
    </row>
    <row r="50" spans="1:14">
      <c r="A50" s="33" t="s">
        <v>63</v>
      </c>
      <c r="B50" s="29" t="s">
        <v>90</v>
      </c>
      <c r="C50" s="29" t="s">
        <v>87</v>
      </c>
      <c r="D50" s="30" t="s">
        <v>89</v>
      </c>
      <c r="E50" s="34" t="s">
        <v>91</v>
      </c>
      <c r="F50" s="29" t="s">
        <v>86</v>
      </c>
      <c r="G50" s="30" t="s">
        <v>88</v>
      </c>
      <c r="H50" s="34" t="s">
        <v>93</v>
      </c>
      <c r="I50" s="29" t="s">
        <v>94</v>
      </c>
      <c r="J50" s="30" t="s">
        <v>92</v>
      </c>
      <c r="K50" s="34" t="s">
        <v>95</v>
      </c>
      <c r="L50" s="29" t="s">
        <v>96</v>
      </c>
      <c r="M50" s="30" t="s">
        <v>97</v>
      </c>
      <c r="N50" s="36" t="s">
        <v>115</v>
      </c>
    </row>
    <row r="51" spans="1:14">
      <c r="A51" s="32">
        <v>1</v>
      </c>
      <c r="B51" s="31">
        <v>270</v>
      </c>
      <c r="C51" s="31">
        <v>182.9</v>
      </c>
      <c r="D51" s="32">
        <f>((B51-C51)/4)/9</f>
        <v>2.4194444444444443</v>
      </c>
      <c r="E51" s="31">
        <v>227.6</v>
      </c>
      <c r="F51" s="31">
        <v>143.19999999999999</v>
      </c>
      <c r="G51" s="32">
        <f>((E51-F51)/4)/9</f>
        <v>2.3444444444444446</v>
      </c>
      <c r="H51" s="31">
        <v>241.3</v>
      </c>
      <c r="I51" s="31">
        <v>160.4</v>
      </c>
      <c r="J51" s="32">
        <f>((H51-I51)/3)/9</f>
        <v>2.9962962962962965</v>
      </c>
      <c r="K51" s="24">
        <v>202.6</v>
      </c>
      <c r="L51" s="24">
        <v>143.19999999999999</v>
      </c>
      <c r="M51" s="32">
        <f>((K51-L51)/3)/9</f>
        <v>2.2000000000000002</v>
      </c>
      <c r="N51" t="s">
        <v>58</v>
      </c>
    </row>
    <row r="52" spans="1:14">
      <c r="A52" s="32">
        <v>2</v>
      </c>
      <c r="B52" s="31">
        <v>352</v>
      </c>
      <c r="C52" s="31">
        <v>308.3</v>
      </c>
      <c r="D52" s="32">
        <f>((B52-C52)/2)/9</f>
        <v>2.4277777777777771</v>
      </c>
      <c r="E52" s="31">
        <v>364.7</v>
      </c>
      <c r="F52" s="31">
        <v>324.5</v>
      </c>
      <c r="G52" s="32">
        <f>((E52-F52)/2)/9</f>
        <v>2.2333333333333325</v>
      </c>
      <c r="H52" s="31">
        <v>301.39999999999998</v>
      </c>
      <c r="I52" s="31">
        <v>220</v>
      </c>
      <c r="J52" s="32">
        <f>((H52-I52)/3)/9</f>
        <v>3.0148148148148142</v>
      </c>
      <c r="K52" s="24">
        <v>217.8</v>
      </c>
      <c r="L52" s="24">
        <v>146</v>
      </c>
      <c r="M52" s="32">
        <f>((K52-L52)/3)/9</f>
        <v>2.6592592592592599</v>
      </c>
      <c r="N52" s="40"/>
    </row>
    <row r="53" spans="1:14">
      <c r="A53" t="s">
        <v>98</v>
      </c>
      <c r="D53">
        <f>AVERAGE(D51:D52)</f>
        <v>2.4236111111111107</v>
      </c>
      <c r="G53">
        <f>AVERAGE(G51:G52)</f>
        <v>2.2888888888888888</v>
      </c>
      <c r="J53">
        <f>AVERAGE(J51:J52)</f>
        <v>3.0055555555555555</v>
      </c>
      <c r="M53">
        <f>AVERAGE(M51:M52)</f>
        <v>2.42962962962963</v>
      </c>
    </row>
    <row r="54" spans="1:14">
      <c r="A54" t="s">
        <v>99</v>
      </c>
      <c r="D54">
        <f>STDEV(D51:D52)</f>
        <v>5.8925565098875612E-3</v>
      </c>
      <c r="G54">
        <f>STDEV(G51:G52)</f>
        <v>7.8567420131839275E-2</v>
      </c>
      <c r="J54">
        <f>STDEV(J51:J52)</f>
        <v>1.3094570021972531E-2</v>
      </c>
      <c r="M54">
        <f>STDEV(M51:M52)</f>
        <v>0.32474533654493326</v>
      </c>
    </row>
    <row r="55" spans="1:14">
      <c r="A55" t="s">
        <v>41</v>
      </c>
      <c r="D55">
        <f>D54/(SQRT(2))</f>
        <v>4.1666666666664298E-3</v>
      </c>
      <c r="G55">
        <f>G54/(SQRT(2))</f>
        <v>5.5555555555556017E-2</v>
      </c>
      <c r="J55">
        <f>J54/(SQRT(2))</f>
        <v>9.2592592592588546E-3</v>
      </c>
      <c r="M55">
        <f>M54/(SQRT(2))</f>
        <v>0.22962962962962985</v>
      </c>
    </row>
    <row r="57" spans="1:14">
      <c r="A57" s="33" t="s">
        <v>64</v>
      </c>
      <c r="B57" s="29" t="s">
        <v>90</v>
      </c>
      <c r="C57" s="29" t="s">
        <v>87</v>
      </c>
      <c r="D57" s="30" t="s">
        <v>89</v>
      </c>
      <c r="E57" s="34" t="s">
        <v>91</v>
      </c>
      <c r="F57" s="29" t="s">
        <v>86</v>
      </c>
      <c r="G57" s="30" t="s">
        <v>88</v>
      </c>
      <c r="H57" s="34" t="s">
        <v>93</v>
      </c>
      <c r="I57" s="29" t="s">
        <v>94</v>
      </c>
      <c r="J57" s="30" t="s">
        <v>92</v>
      </c>
      <c r="K57" s="34" t="s">
        <v>95</v>
      </c>
      <c r="L57" s="29" t="s">
        <v>96</v>
      </c>
      <c r="M57" s="30" t="s">
        <v>97</v>
      </c>
      <c r="N57" s="36" t="s">
        <v>116</v>
      </c>
    </row>
    <row r="58" spans="1:14">
      <c r="A58" s="32">
        <v>1</v>
      </c>
      <c r="B58" s="31">
        <v>182.9</v>
      </c>
      <c r="C58" s="31">
        <v>156.30000000000001</v>
      </c>
      <c r="D58" s="32">
        <f>((B58-C58)/4)/5</f>
        <v>1.3299999999999996</v>
      </c>
      <c r="E58" s="31">
        <v>143.19999999999999</v>
      </c>
      <c r="F58" s="31">
        <v>163.80000000000001</v>
      </c>
      <c r="G58" s="32">
        <f>((E58-F58)/4)/5</f>
        <v>-1.0300000000000011</v>
      </c>
      <c r="H58" s="31">
        <v>160.4</v>
      </c>
      <c r="I58" s="31">
        <v>172.3</v>
      </c>
      <c r="J58" s="32">
        <f>((H58-I58)/3)/5</f>
        <v>-0.79333333333333367</v>
      </c>
      <c r="K58" s="24">
        <v>143.19999999999999</v>
      </c>
      <c r="L58" s="24">
        <v>210.8</v>
      </c>
      <c r="M58" s="32">
        <f>((K58-L58)/3)/5</f>
        <v>-4.5066666666666686</v>
      </c>
      <c r="N58" t="s">
        <v>66</v>
      </c>
    </row>
    <row r="59" spans="1:14">
      <c r="A59" s="32">
        <v>2</v>
      </c>
      <c r="B59" s="31">
        <v>308.3</v>
      </c>
      <c r="C59" s="31">
        <v>278.2</v>
      </c>
      <c r="D59" s="32">
        <f>((B59-C59)/2)/5</f>
        <v>3.0100000000000025</v>
      </c>
      <c r="E59" s="31">
        <v>324.5</v>
      </c>
      <c r="F59" s="31">
        <v>295.8</v>
      </c>
      <c r="G59" s="32">
        <f>((E59-F59)/2)/5</f>
        <v>2.8699999999999988</v>
      </c>
      <c r="H59" s="31">
        <v>220</v>
      </c>
      <c r="I59" s="31">
        <v>171.8</v>
      </c>
      <c r="J59" s="32">
        <f>((H59-I59)/3)/5</f>
        <v>3.2133333333333325</v>
      </c>
      <c r="K59" s="24">
        <v>146</v>
      </c>
      <c r="L59" s="24">
        <v>166.7</v>
      </c>
      <c r="M59" s="32">
        <f>((K59-L59)/3)/5</f>
        <v>-1.3799999999999992</v>
      </c>
      <c r="N59" s="40" t="s">
        <v>119</v>
      </c>
    </row>
    <row r="60" spans="1:14">
      <c r="A60" t="s">
        <v>98</v>
      </c>
      <c r="D60">
        <f>AVERAGE(D58:D59)</f>
        <v>2.1700000000000008</v>
      </c>
      <c r="G60">
        <f>AVERAGE(G58:G59)</f>
        <v>0.91999999999999882</v>
      </c>
      <c r="J60">
        <f>AVERAGE(J58:J59)</f>
        <v>1.2099999999999995</v>
      </c>
      <c r="M60">
        <f>AVERAGE(M58:M59)</f>
        <v>-2.9433333333333338</v>
      </c>
      <c r="N60" t="s">
        <v>117</v>
      </c>
    </row>
    <row r="61" spans="1:14">
      <c r="A61" t="s">
        <v>99</v>
      </c>
      <c r="D61">
        <f>STDEV(D58:D59)</f>
        <v>1.1879393923934025</v>
      </c>
      <c r="G61">
        <f>STDEV(G58:G59)</f>
        <v>2.7577164466275352</v>
      </c>
      <c r="J61">
        <f>STDEV(J58:J59)</f>
        <v>2.8331411699540996</v>
      </c>
      <c r="M61">
        <f>STDEV(M58:M59)</f>
        <v>2.2108872025099409</v>
      </c>
    </row>
    <row r="62" spans="1:14">
      <c r="A62" t="s">
        <v>41</v>
      </c>
      <c r="D62">
        <f>D61/(SQRT(2))</f>
        <v>0.84000000000000186</v>
      </c>
      <c r="G62">
        <f>G61/(SQRT(2))</f>
        <v>1.9499999999999997</v>
      </c>
      <c r="J62">
        <f>J61/(SQRT(2))</f>
        <v>2.0033333333333325</v>
      </c>
      <c r="M62">
        <f>M61/(SQRT(2))</f>
        <v>1.5633333333333348</v>
      </c>
    </row>
    <row r="64" spans="1:14">
      <c r="A64" s="33" t="s">
        <v>65</v>
      </c>
      <c r="B64" s="29" t="s">
        <v>90</v>
      </c>
      <c r="C64" s="29" t="s">
        <v>87</v>
      </c>
      <c r="D64" s="30" t="s">
        <v>89</v>
      </c>
      <c r="E64" s="34" t="s">
        <v>91</v>
      </c>
      <c r="F64" s="29" t="s">
        <v>86</v>
      </c>
      <c r="G64" s="30" t="s">
        <v>88</v>
      </c>
      <c r="H64" s="34" t="s">
        <v>93</v>
      </c>
      <c r="I64" s="29" t="s">
        <v>94</v>
      </c>
      <c r="J64" s="30" t="s">
        <v>92</v>
      </c>
      <c r="K64" s="34" t="s">
        <v>95</v>
      </c>
      <c r="L64" s="29" t="s">
        <v>96</v>
      </c>
      <c r="M64" s="30" t="s">
        <v>97</v>
      </c>
      <c r="N64" s="36" t="s">
        <v>118</v>
      </c>
    </row>
    <row r="65" spans="1:14">
      <c r="A65" s="32">
        <v>1</v>
      </c>
      <c r="B65" s="31">
        <v>156.30000000000001</v>
      </c>
      <c r="C65" s="31">
        <v>73.7</v>
      </c>
      <c r="D65" s="32">
        <f>((B65-C65)/4)/8</f>
        <v>2.5812500000000003</v>
      </c>
      <c r="E65" s="31">
        <v>163.80000000000001</v>
      </c>
      <c r="F65" s="31">
        <v>87.3</v>
      </c>
      <c r="G65" s="32">
        <f>((E65-F65)/4)/8</f>
        <v>2.3906250000000004</v>
      </c>
      <c r="H65" s="31">
        <v>172.3</v>
      </c>
      <c r="I65" s="31">
        <v>107.2</v>
      </c>
      <c r="J65" s="32">
        <f>((H65-I65)/3)/8</f>
        <v>2.7125000000000004</v>
      </c>
      <c r="K65" s="24">
        <v>210.8</v>
      </c>
      <c r="L65" s="24">
        <v>152.5</v>
      </c>
      <c r="M65" s="32">
        <f>((K65-L65)/3)/8</f>
        <v>2.4291666666666671</v>
      </c>
      <c r="N65" t="s">
        <v>68</v>
      </c>
    </row>
    <row r="66" spans="1:14">
      <c r="A66" s="32">
        <v>2</v>
      </c>
      <c r="B66" s="31">
        <v>278.2</v>
      </c>
      <c r="C66" s="31">
        <v>239.7</v>
      </c>
      <c r="D66" s="32">
        <f>((B66-C66)/2)/8</f>
        <v>2.40625</v>
      </c>
      <c r="E66" s="31">
        <v>295.8</v>
      </c>
      <c r="F66" s="31">
        <v>262.60000000000002</v>
      </c>
      <c r="G66" s="32">
        <f>((E66-F66)/2)/8</f>
        <v>2.0749999999999993</v>
      </c>
      <c r="H66" s="31">
        <v>171.8</v>
      </c>
      <c r="I66" s="31">
        <v>99.3</v>
      </c>
      <c r="J66" s="32">
        <f>((H66-I66)/3)/8</f>
        <v>3.0208333333333339</v>
      </c>
      <c r="K66" s="24">
        <v>166.7</v>
      </c>
      <c r="L66" s="24">
        <v>98</v>
      </c>
      <c r="M66" s="32">
        <f>((K66-L66)/3)/8</f>
        <v>2.8624999999999994</v>
      </c>
      <c r="N66" s="40"/>
    </row>
    <row r="67" spans="1:14">
      <c r="A67" t="s">
        <v>98</v>
      </c>
      <c r="D67">
        <f>AVERAGE(D65:D66)</f>
        <v>2.4937500000000004</v>
      </c>
      <c r="G67">
        <f>AVERAGE(G65:G66)</f>
        <v>2.2328124999999996</v>
      </c>
      <c r="J67">
        <f>AVERAGE(J65:J66)</f>
        <v>2.8666666666666671</v>
      </c>
      <c r="M67">
        <f>AVERAGE(M65:M66)</f>
        <v>2.645833333333333</v>
      </c>
    </row>
    <row r="68" spans="1:14">
      <c r="A68" t="s">
        <v>99</v>
      </c>
      <c r="D68">
        <f>STDEV(D65:D66)</f>
        <v>0.123743686707646</v>
      </c>
      <c r="G68">
        <f>STDEV(G65:G66)</f>
        <v>0.22318057781200487</v>
      </c>
      <c r="J68">
        <f>STDEV(J65:J66)</f>
        <v>0.21802459086585232</v>
      </c>
      <c r="M68">
        <f>STDEV(M65:M66)</f>
        <v>0.30641293851416984</v>
      </c>
    </row>
    <row r="69" spans="1:14">
      <c r="A69" t="s">
        <v>41</v>
      </c>
      <c r="D69">
        <f>D68/(SQRT(2))</f>
        <v>8.7500000000000119E-2</v>
      </c>
      <c r="G69">
        <f>G68/(SQRT(2))</f>
        <v>0.15781250000000055</v>
      </c>
      <c r="J69">
        <f>J68/(SQRT(2))</f>
        <v>0.15416666666666679</v>
      </c>
      <c r="M69">
        <f>M68/(SQRT(2))</f>
        <v>0.21666666666666612</v>
      </c>
    </row>
    <row r="71" spans="1:14">
      <c r="A71" s="33" t="s">
        <v>67</v>
      </c>
      <c r="B71" s="29" t="s">
        <v>90</v>
      </c>
      <c r="C71" s="29" t="s">
        <v>87</v>
      </c>
      <c r="D71" s="30" t="s">
        <v>89</v>
      </c>
      <c r="E71" s="34" t="s">
        <v>91</v>
      </c>
      <c r="F71" s="29" t="s">
        <v>86</v>
      </c>
      <c r="G71" s="30" t="s">
        <v>88</v>
      </c>
      <c r="H71" s="34" t="s">
        <v>93</v>
      </c>
      <c r="I71" s="29" t="s">
        <v>94</v>
      </c>
      <c r="J71" s="30" t="s">
        <v>92</v>
      </c>
      <c r="K71" s="34" t="s">
        <v>95</v>
      </c>
      <c r="L71" s="29" t="s">
        <v>96</v>
      </c>
      <c r="M71" s="30" t="s">
        <v>97</v>
      </c>
      <c r="N71" s="36" t="s">
        <v>120</v>
      </c>
    </row>
    <row r="72" spans="1:14">
      <c r="A72" s="32">
        <v>1</v>
      </c>
      <c r="B72" s="31">
        <v>220.6</v>
      </c>
      <c r="C72" s="31">
        <v>165.2</v>
      </c>
      <c r="D72" s="32">
        <f>((B72-C72)/4)/6</f>
        <v>2.3083333333333336</v>
      </c>
      <c r="E72" s="31">
        <v>158.5</v>
      </c>
      <c r="F72" s="39">
        <v>139.5</v>
      </c>
      <c r="G72" s="32">
        <f>((E72-F72)/2)/5</f>
        <v>1.9</v>
      </c>
      <c r="H72" s="31">
        <v>231.5</v>
      </c>
      <c r="I72" s="31">
        <v>190.1</v>
      </c>
      <c r="J72" s="32">
        <f>((H72-I72)/3)/6</f>
        <v>2.3000000000000003</v>
      </c>
      <c r="K72" s="24">
        <v>310.5</v>
      </c>
      <c r="L72" s="24">
        <v>274.2</v>
      </c>
      <c r="M72" s="32">
        <f>((K72-L72)/3)/6</f>
        <v>2.0166666666666671</v>
      </c>
      <c r="N72" t="s">
        <v>70</v>
      </c>
    </row>
    <row r="73" spans="1:14">
      <c r="A73" s="32">
        <v>2</v>
      </c>
      <c r="B73" s="31">
        <v>239.7</v>
      </c>
      <c r="C73" s="31">
        <v>211.3</v>
      </c>
      <c r="D73" s="32">
        <f>((B73-C73)/2)/6</f>
        <v>2.3666666666666649</v>
      </c>
      <c r="E73" s="31">
        <v>262.60000000000002</v>
      </c>
      <c r="F73" s="31">
        <v>237.9</v>
      </c>
      <c r="G73" s="32">
        <f>((E73-F73)/2)/6</f>
        <v>2.0583333333333349</v>
      </c>
      <c r="H73" s="31">
        <v>292.5</v>
      </c>
      <c r="I73" s="31">
        <v>248.1</v>
      </c>
      <c r="J73" s="32">
        <f>((H73-I73)/3)/6</f>
        <v>2.4666666666666672</v>
      </c>
      <c r="K73" s="24">
        <v>252.5</v>
      </c>
      <c r="L73" s="24">
        <v>210.7</v>
      </c>
      <c r="M73" s="32">
        <f>((K73-L73)/3)/6</f>
        <v>2.3222222222222229</v>
      </c>
      <c r="N73" s="42" t="s">
        <v>122</v>
      </c>
    </row>
    <row r="74" spans="1:14">
      <c r="A74" s="31">
        <v>3</v>
      </c>
      <c r="B74" s="31"/>
      <c r="C74" s="31"/>
      <c r="D74" s="31"/>
      <c r="E74" s="31">
        <v>104.3</v>
      </c>
      <c r="F74" s="31">
        <v>81.3</v>
      </c>
      <c r="G74" s="32">
        <f>((E74-F74)/2)/5</f>
        <v>2.2999999999999998</v>
      </c>
      <c r="H74" s="31"/>
      <c r="I74" s="31"/>
      <c r="J74" s="31"/>
      <c r="K74" s="24"/>
      <c r="L74" s="24"/>
      <c r="M74" s="31"/>
      <c r="N74" s="40"/>
    </row>
    <row r="75" spans="1:14">
      <c r="A75" t="s">
        <v>98</v>
      </c>
      <c r="D75">
        <f>AVERAGE(D72:D73)</f>
        <v>2.3374999999999995</v>
      </c>
      <c r="G75">
        <f>AVERAGE(G72:G74)</f>
        <v>2.0861111111111117</v>
      </c>
      <c r="J75">
        <f>AVERAGE(J72:J73)</f>
        <v>2.3833333333333337</v>
      </c>
      <c r="M75">
        <f>AVERAGE(M72:M73)</f>
        <v>2.1694444444444452</v>
      </c>
    </row>
    <row r="76" spans="1:14">
      <c r="A76" t="s">
        <v>99</v>
      </c>
      <c r="D76">
        <f>STDEV(D72:D73)</f>
        <v>4.124789556921387E-2</v>
      </c>
      <c r="G76">
        <f>STDEV(G72:G74)</f>
        <v>0.20144156399239865</v>
      </c>
      <c r="J76">
        <f>STDEV(J72:J73)</f>
        <v>0.11785113019775813</v>
      </c>
      <c r="M76">
        <f>STDEV(M72:M73)</f>
        <v>0.21606040536255636</v>
      </c>
    </row>
    <row r="77" spans="1:14">
      <c r="A77" t="s">
        <v>41</v>
      </c>
      <c r="D77">
        <f>D76/(SQRT(2))</f>
        <v>2.9166666666665675E-2</v>
      </c>
      <c r="G77">
        <f>G76/(SQRT(3))</f>
        <v>0.11630234119699059</v>
      </c>
      <c r="J77">
        <f>J76/(SQRT(2))</f>
        <v>8.3333333333333467E-2</v>
      </c>
      <c r="M77">
        <f>M76/(SQRT(2))</f>
        <v>0.15277777777777787</v>
      </c>
    </row>
    <row r="79" spans="1:14">
      <c r="A79" s="33" t="s">
        <v>69</v>
      </c>
      <c r="B79" s="29" t="s">
        <v>90</v>
      </c>
      <c r="C79" s="29" t="s">
        <v>87</v>
      </c>
      <c r="D79" s="30" t="s">
        <v>89</v>
      </c>
      <c r="E79" s="34" t="s">
        <v>91</v>
      </c>
      <c r="F79" s="29" t="s">
        <v>86</v>
      </c>
      <c r="G79" s="30" t="s">
        <v>88</v>
      </c>
      <c r="H79" s="34" t="s">
        <v>93</v>
      </c>
      <c r="I79" s="29" t="s">
        <v>94</v>
      </c>
      <c r="J79" s="30" t="s">
        <v>92</v>
      </c>
      <c r="K79" s="34" t="s">
        <v>95</v>
      </c>
      <c r="L79" s="29" t="s">
        <v>96</v>
      </c>
      <c r="M79" s="30" t="s">
        <v>97</v>
      </c>
      <c r="N79" s="36" t="s">
        <v>123</v>
      </c>
    </row>
    <row r="80" spans="1:14">
      <c r="A80" s="32">
        <v>1</v>
      </c>
      <c r="B80" s="31">
        <v>165.2</v>
      </c>
      <c r="C80" s="31">
        <v>84.4</v>
      </c>
      <c r="D80" s="32">
        <f>((B80-C80)/4)/7</f>
        <v>2.8857142857142852</v>
      </c>
      <c r="E80" s="39">
        <v>139.5</v>
      </c>
      <c r="F80" s="39">
        <v>97.1</v>
      </c>
      <c r="G80" s="32">
        <f>((E80-F80)/2)/7</f>
        <v>3.0285714285714289</v>
      </c>
      <c r="H80" s="31">
        <v>190.1</v>
      </c>
      <c r="I80" s="31">
        <v>126.4</v>
      </c>
      <c r="J80" s="32">
        <f>((H80-I80)/3)/7</f>
        <v>3.0333333333333328</v>
      </c>
      <c r="K80" s="24">
        <v>274.2</v>
      </c>
      <c r="L80" s="24">
        <v>217.2</v>
      </c>
      <c r="M80" s="32">
        <f>((K80-L80)/3)/7</f>
        <v>2.7142857142857144</v>
      </c>
      <c r="N80" t="s">
        <v>60</v>
      </c>
    </row>
    <row r="81" spans="1:14">
      <c r="A81" s="32">
        <v>2</v>
      </c>
      <c r="B81" s="31">
        <v>211.3</v>
      </c>
      <c r="C81" s="31">
        <v>167.3</v>
      </c>
      <c r="D81" s="32">
        <f>((B81-C81)/2)/7</f>
        <v>3.1428571428571428</v>
      </c>
      <c r="E81" s="31">
        <v>237.9</v>
      </c>
      <c r="F81" s="31">
        <v>202.8</v>
      </c>
      <c r="G81" s="32">
        <f>((E81-F81)/2)/7</f>
        <v>2.5071428571428567</v>
      </c>
      <c r="H81" s="31">
        <v>248.1</v>
      </c>
      <c r="I81" s="31">
        <v>200.8</v>
      </c>
      <c r="J81" s="32">
        <f>((H81-I81)/2)/7</f>
        <v>3.3785714285714272</v>
      </c>
      <c r="K81" s="24">
        <v>210.7</v>
      </c>
      <c r="L81" s="24">
        <v>141.30000000000001</v>
      </c>
      <c r="M81" s="32">
        <f>((K81-L81)/3)/7</f>
        <v>3.3047619047619037</v>
      </c>
      <c r="N81" s="42"/>
    </row>
    <row r="82" spans="1:14">
      <c r="A82" s="31">
        <v>3</v>
      </c>
      <c r="B82" s="31"/>
      <c r="C82" s="31"/>
      <c r="D82" s="31"/>
      <c r="E82" s="31">
        <v>81.3</v>
      </c>
      <c r="F82" s="31">
        <v>48.7</v>
      </c>
      <c r="G82" s="32">
        <f>((E82-F82)/2)/7</f>
        <v>2.3285714285714283</v>
      </c>
      <c r="H82" s="31"/>
      <c r="I82" s="31"/>
      <c r="J82" s="31"/>
      <c r="K82" s="24"/>
      <c r="L82" s="24"/>
      <c r="M82" s="31"/>
      <c r="N82" s="40"/>
    </row>
    <row r="83" spans="1:14">
      <c r="A83" t="s">
        <v>98</v>
      </c>
      <c r="D83">
        <f>AVERAGE(D80:D81)</f>
        <v>3.0142857142857142</v>
      </c>
      <c r="G83">
        <f>AVERAGE(G80:G82)</f>
        <v>2.6214285714285714</v>
      </c>
      <c r="J83">
        <f>AVERAGE(J80:J81)</f>
        <v>3.2059523809523798</v>
      </c>
      <c r="M83">
        <f>AVERAGE(M80:M81)</f>
        <v>3.009523809523809</v>
      </c>
    </row>
    <row r="84" spans="1:14">
      <c r="A84" t="s">
        <v>99</v>
      </c>
      <c r="D84">
        <f>STDEV(D80:D81)</f>
        <v>0.18182745801939823</v>
      </c>
      <c r="G84">
        <f>STDEV(G80:G82)</f>
        <v>0.36372505875639882</v>
      </c>
      <c r="J84">
        <f>STDEV(J80:J81)</f>
        <v>0.24412019826678372</v>
      </c>
      <c r="M84">
        <f>STDEV(M80:M81)</f>
        <v>0.41752971841491293</v>
      </c>
    </row>
    <row r="85" spans="1:14">
      <c r="A85" t="s">
        <v>41</v>
      </c>
      <c r="D85">
        <f>D84/(SQRT(2))</f>
        <v>0.12857142857142878</v>
      </c>
      <c r="G85">
        <f>G84/(SQRT(3))</f>
        <v>0.20999676058401931</v>
      </c>
      <c r="J85">
        <f>J84/(SQRT(2))</f>
        <v>0.17261904761904723</v>
      </c>
      <c r="M85">
        <f>M84/(SQRT(2))</f>
        <v>0.29523809523809463</v>
      </c>
    </row>
    <row r="87" spans="1:14">
      <c r="A87" s="33" t="s">
        <v>71</v>
      </c>
      <c r="B87" s="29" t="s">
        <v>90</v>
      </c>
      <c r="C87" s="29" t="s">
        <v>87</v>
      </c>
      <c r="D87" s="30" t="s">
        <v>89</v>
      </c>
      <c r="E87" s="34" t="s">
        <v>91</v>
      </c>
      <c r="F87" s="29" t="s">
        <v>86</v>
      </c>
      <c r="G87" s="30" t="s">
        <v>88</v>
      </c>
      <c r="H87" s="34" t="s">
        <v>93</v>
      </c>
      <c r="I87" s="29" t="s">
        <v>94</v>
      </c>
      <c r="J87" s="30" t="s">
        <v>92</v>
      </c>
      <c r="K87" s="34" t="s">
        <v>95</v>
      </c>
      <c r="L87" s="29" t="s">
        <v>96</v>
      </c>
      <c r="M87" s="30" t="s">
        <v>97</v>
      </c>
      <c r="N87" s="36" t="s">
        <v>125</v>
      </c>
    </row>
    <row r="88" spans="1:14">
      <c r="A88" s="32">
        <v>1</v>
      </c>
      <c r="B88" s="31">
        <v>187.3</v>
      </c>
      <c r="C88" s="31">
        <v>100.1</v>
      </c>
      <c r="D88" s="32">
        <f>((B88-C88)/4)/7</f>
        <v>3.1142857142857148</v>
      </c>
      <c r="E88" s="39">
        <v>203.3</v>
      </c>
      <c r="F88" s="39">
        <v>148.80000000000001</v>
      </c>
      <c r="G88" s="32">
        <f>((E88-F88)/2)/7</f>
        <v>3.8928571428571428</v>
      </c>
      <c r="H88" s="31">
        <v>191.4</v>
      </c>
      <c r="I88" s="31">
        <v>131.4</v>
      </c>
      <c r="J88" s="32">
        <f>((H88-I88)/3)/7</f>
        <v>2.8571428571428572</v>
      </c>
      <c r="K88" s="24">
        <v>217.2</v>
      </c>
      <c r="L88" s="24">
        <v>163.9</v>
      </c>
      <c r="M88" s="32">
        <f>((K88-L88)/3)/7</f>
        <v>2.5380952380952375</v>
      </c>
      <c r="N88" t="s">
        <v>60</v>
      </c>
    </row>
    <row r="89" spans="1:14">
      <c r="A89" s="32">
        <v>2</v>
      </c>
      <c r="B89" s="31">
        <v>167.3</v>
      </c>
      <c r="C89" s="31">
        <v>128.19999999999999</v>
      </c>
      <c r="D89" s="32">
        <f>((B89-C89)/2)/7</f>
        <v>2.7928571428571445</v>
      </c>
      <c r="E89" s="31">
        <v>202.8</v>
      </c>
      <c r="F89" s="31">
        <v>164.1</v>
      </c>
      <c r="G89" s="32">
        <f>((E89-F89)/2)/7</f>
        <v>2.7642857142857156</v>
      </c>
      <c r="H89" s="31">
        <v>200.8</v>
      </c>
      <c r="I89" s="31">
        <v>151.4</v>
      </c>
      <c r="J89" s="32">
        <f>((H89-I89)/2)/7</f>
        <v>3.5285714285714289</v>
      </c>
      <c r="K89" s="24">
        <v>141.30000000000001</v>
      </c>
      <c r="L89" s="24">
        <v>78.599999999999994</v>
      </c>
      <c r="M89" s="32">
        <f>((K89-L89)/3)/7</f>
        <v>2.9857142857142867</v>
      </c>
      <c r="N89" s="42"/>
    </row>
    <row r="90" spans="1:14">
      <c r="A90" s="31">
        <v>3</v>
      </c>
      <c r="B90" s="31"/>
      <c r="C90" s="31"/>
      <c r="D90" s="31"/>
      <c r="E90" s="31">
        <v>195.7</v>
      </c>
      <c r="F90" s="31">
        <v>143.1</v>
      </c>
      <c r="G90" s="32">
        <f>((E90-F90)/2)/7</f>
        <v>3.7571428571428567</v>
      </c>
      <c r="H90" s="31"/>
      <c r="I90" s="31"/>
      <c r="J90" s="31"/>
      <c r="K90" s="24"/>
      <c r="L90" s="24"/>
      <c r="M90" s="31"/>
      <c r="N90" s="40"/>
    </row>
    <row r="91" spans="1:14">
      <c r="A91" t="s">
        <v>98</v>
      </c>
      <c r="D91">
        <f>AVERAGE(D88:D89)</f>
        <v>2.9535714285714296</v>
      </c>
      <c r="G91">
        <f>AVERAGE(G88:G90)</f>
        <v>3.4714285714285715</v>
      </c>
      <c r="J91">
        <f>AVERAGE(J88:J89)</f>
        <v>3.1928571428571431</v>
      </c>
      <c r="M91">
        <f>AVERAGE(M88:M89)</f>
        <v>2.7619047619047619</v>
      </c>
    </row>
    <row r="92" spans="1:14">
      <c r="A92" t="s">
        <v>99</v>
      </c>
      <c r="D92">
        <f>STDEV(D88:D89)</f>
        <v>0.2272843225242466</v>
      </c>
      <c r="G92">
        <f>STDEV(G88:G90)</f>
        <v>0.61615165109156245</v>
      </c>
      <c r="J92">
        <f>STDEV(J88:J89)</f>
        <v>0.47477169593953983</v>
      </c>
      <c r="M92">
        <f>STDEV(M88:M89)</f>
        <v>0.31651446395969379</v>
      </c>
    </row>
    <row r="93" spans="1:14">
      <c r="A93" t="s">
        <v>41</v>
      </c>
      <c r="D93">
        <f>D92/(SQRT(2))</f>
        <v>0.16071428571428512</v>
      </c>
      <c r="G93">
        <f>G92/(SQRT(3))</f>
        <v>0.35573532161934596</v>
      </c>
      <c r="J93">
        <f>J92/(SQRT(2))</f>
        <v>0.33571428571428624</v>
      </c>
      <c r="M93">
        <f>M92/(SQRT(2))</f>
        <v>0.22380952380952457</v>
      </c>
    </row>
    <row r="95" spans="1:14">
      <c r="A95" s="33" t="s">
        <v>72</v>
      </c>
      <c r="B95" s="29" t="s">
        <v>90</v>
      </c>
      <c r="C95" s="29" t="s">
        <v>87</v>
      </c>
      <c r="D95" s="30" t="s">
        <v>89</v>
      </c>
      <c r="E95" s="34" t="s">
        <v>91</v>
      </c>
      <c r="F95" s="29" t="s">
        <v>86</v>
      </c>
      <c r="G95" s="30" t="s">
        <v>88</v>
      </c>
      <c r="H95" s="34" t="s">
        <v>93</v>
      </c>
      <c r="I95" s="29" t="s">
        <v>94</v>
      </c>
      <c r="J95" s="30" t="s">
        <v>92</v>
      </c>
      <c r="K95" s="34" t="s">
        <v>95</v>
      </c>
      <c r="L95" s="29" t="s">
        <v>96</v>
      </c>
      <c r="M95" s="30" t="s">
        <v>97</v>
      </c>
      <c r="N95" s="36" t="s">
        <v>126</v>
      </c>
    </row>
    <row r="96" spans="1:14">
      <c r="A96" s="32">
        <v>1</v>
      </c>
      <c r="B96" s="31">
        <v>100.1</v>
      </c>
      <c r="C96" s="31">
        <v>26.3</v>
      </c>
      <c r="D96" s="32">
        <f>((B96-C96)/4)/7</f>
        <v>2.6357142857142857</v>
      </c>
      <c r="E96" s="39">
        <v>148.80000000000001</v>
      </c>
      <c r="F96" s="39">
        <v>104.5</v>
      </c>
      <c r="G96" s="32">
        <f>((E96-F96)/2)/7</f>
        <v>3.164285714285715</v>
      </c>
      <c r="H96" s="31">
        <v>131.4</v>
      </c>
      <c r="I96" s="31">
        <v>74</v>
      </c>
      <c r="J96" s="32">
        <f>((H96-I96)/3)/7</f>
        <v>2.7333333333333338</v>
      </c>
      <c r="K96" s="24">
        <v>163.9</v>
      </c>
      <c r="L96" s="24">
        <v>116.6</v>
      </c>
      <c r="M96" s="32">
        <f>((K96-L96)/3)/7</f>
        <v>2.2523809523809528</v>
      </c>
      <c r="N96" t="s">
        <v>60</v>
      </c>
    </row>
    <row r="97" spans="1:14">
      <c r="A97" s="32">
        <v>2</v>
      </c>
      <c r="B97" s="31">
        <v>128.19999999999999</v>
      </c>
      <c r="C97" s="31">
        <v>94.9</v>
      </c>
      <c r="D97" s="32">
        <f>((B97-C97)/2)/7</f>
        <v>2.3785714285714272</v>
      </c>
      <c r="E97" s="31">
        <v>164.1</v>
      </c>
      <c r="F97" s="31">
        <v>134.5</v>
      </c>
      <c r="G97" s="32">
        <f>((E97-F97)/2)/7</f>
        <v>2.1142857142857139</v>
      </c>
      <c r="H97" s="31">
        <v>151.4</v>
      </c>
      <c r="I97" s="31">
        <v>116.6</v>
      </c>
      <c r="J97" s="32">
        <f>((H97-I97)/2)/7</f>
        <v>2.4857142857142867</v>
      </c>
      <c r="K97" s="24">
        <v>78.599999999999994</v>
      </c>
      <c r="L97" s="24">
        <v>29.6</v>
      </c>
      <c r="M97" s="32">
        <f>((K97-L97)/3)/7</f>
        <v>2.333333333333333</v>
      </c>
      <c r="N97" s="42"/>
    </row>
    <row r="98" spans="1:14">
      <c r="A98" s="31">
        <v>3</v>
      </c>
      <c r="B98" s="31"/>
      <c r="C98" s="31"/>
      <c r="D98" s="31"/>
      <c r="E98" s="31">
        <v>143.1</v>
      </c>
      <c r="F98" s="31">
        <v>108.1</v>
      </c>
      <c r="G98" s="32">
        <f>((E98-F98)/2)/7</f>
        <v>2.5</v>
      </c>
      <c r="H98" s="31"/>
      <c r="I98" s="31"/>
      <c r="J98" s="31"/>
      <c r="K98" s="24"/>
      <c r="L98" s="24"/>
      <c r="M98" s="31"/>
      <c r="N98" s="40"/>
    </row>
    <row r="99" spans="1:14">
      <c r="A99" t="s">
        <v>98</v>
      </c>
      <c r="D99">
        <f>AVERAGE(D96:D97)</f>
        <v>2.5071428571428562</v>
      </c>
      <c r="G99">
        <f>AVERAGE(G96:G98)</f>
        <v>2.592857142857143</v>
      </c>
      <c r="J99">
        <f>AVERAGE(J96:J97)</f>
        <v>2.60952380952381</v>
      </c>
      <c r="M99">
        <f>AVERAGE(M96:M97)</f>
        <v>2.2928571428571427</v>
      </c>
    </row>
    <row r="100" spans="1:14">
      <c r="A100" t="s">
        <v>99</v>
      </c>
      <c r="D100">
        <f>STDEV(D96:D97)</f>
        <v>0.18182745801939887</v>
      </c>
      <c r="G100">
        <f>STDEV(G96:G98)</f>
        <v>0.53112318414346704</v>
      </c>
      <c r="J100">
        <f>STDEV(J96:J97)</f>
        <v>0.1750931077223829</v>
      </c>
      <c r="M100">
        <f>STDEV(M96:M97)</f>
        <v>5.724197752462476E-2</v>
      </c>
    </row>
    <row r="101" spans="1:14">
      <c r="A101" t="s">
        <v>41</v>
      </c>
      <c r="D101">
        <f>D100/(SQRT(2))</f>
        <v>0.12857142857142922</v>
      </c>
      <c r="G101">
        <f>G100/(SQRT(3))</f>
        <v>0.30664411333808189</v>
      </c>
      <c r="J101">
        <f>J100/(SQRT(2))</f>
        <v>0.12380952380952359</v>
      </c>
      <c r="M101">
        <f>M100/(SQRT(2))</f>
        <v>4.047619047619011E-2</v>
      </c>
    </row>
    <row r="103" spans="1:14">
      <c r="A103" s="33" t="s">
        <v>73</v>
      </c>
      <c r="B103" s="29" t="s">
        <v>90</v>
      </c>
      <c r="C103" s="29" t="s">
        <v>87</v>
      </c>
      <c r="D103" s="30" t="s">
        <v>89</v>
      </c>
      <c r="E103" s="34" t="s">
        <v>91</v>
      </c>
      <c r="F103" s="29" t="s">
        <v>86</v>
      </c>
      <c r="G103" s="30" t="s">
        <v>88</v>
      </c>
      <c r="H103" s="34" t="s">
        <v>93</v>
      </c>
      <c r="I103" s="29" t="s">
        <v>94</v>
      </c>
      <c r="J103" s="30" t="s">
        <v>92</v>
      </c>
      <c r="K103" s="34" t="s">
        <v>95</v>
      </c>
      <c r="L103" s="29" t="s">
        <v>96</v>
      </c>
      <c r="M103" s="30" t="s">
        <v>97</v>
      </c>
      <c r="N103" s="36" t="s">
        <v>127</v>
      </c>
    </row>
    <row r="104" spans="1:14">
      <c r="A104" s="32">
        <v>1</v>
      </c>
      <c r="B104" s="31">
        <v>179.6</v>
      </c>
      <c r="C104" s="31">
        <v>103</v>
      </c>
      <c r="D104" s="32">
        <f>((B104-C104)/4)/7</f>
        <v>2.7357142857142853</v>
      </c>
      <c r="E104" s="39">
        <v>104.5</v>
      </c>
      <c r="F104" s="39">
        <v>62.1</v>
      </c>
      <c r="G104" s="32">
        <f>((E104-F104)/2)/7</f>
        <v>3.0285714285714285</v>
      </c>
      <c r="H104" s="31">
        <v>219</v>
      </c>
      <c r="I104" s="31">
        <v>164.1</v>
      </c>
      <c r="J104" s="32">
        <f>((H104-I104)/3)/7</f>
        <v>2.6142857142857143</v>
      </c>
      <c r="K104" s="24">
        <v>116.6</v>
      </c>
      <c r="L104" s="24">
        <v>73.3</v>
      </c>
      <c r="M104" s="32">
        <f>((K104-L104)/3)/7</f>
        <v>2.0619047619047617</v>
      </c>
      <c r="N104" t="s">
        <v>60</v>
      </c>
    </row>
    <row r="105" spans="1:14">
      <c r="A105" s="32">
        <v>2</v>
      </c>
      <c r="B105" s="31">
        <v>175.4</v>
      </c>
      <c r="C105" s="31">
        <v>135.4</v>
      </c>
      <c r="D105" s="32">
        <f>((B105-C105)/2)/7</f>
        <v>2.8571428571428572</v>
      </c>
      <c r="E105" s="31">
        <v>134.5</v>
      </c>
      <c r="F105" s="31">
        <v>103.3</v>
      </c>
      <c r="G105" s="32">
        <f>((E105-F105)/2)/7</f>
        <v>2.2285714285714286</v>
      </c>
      <c r="H105" s="31">
        <v>116.6</v>
      </c>
      <c r="I105" s="31">
        <v>112.1</v>
      </c>
      <c r="J105" s="32">
        <f>((H105-I105)/2)/7</f>
        <v>0.32142857142857145</v>
      </c>
      <c r="K105" s="24">
        <v>211.5</v>
      </c>
      <c r="L105" s="24">
        <v>142.1</v>
      </c>
      <c r="M105" s="32">
        <f>((K105-L105)/3)/7</f>
        <v>3.304761904761905</v>
      </c>
      <c r="N105" s="40" t="s">
        <v>128</v>
      </c>
    </row>
    <row r="106" spans="1:14">
      <c r="A106" s="31">
        <v>3</v>
      </c>
      <c r="B106" s="31"/>
      <c r="C106" s="31"/>
      <c r="D106" s="31"/>
      <c r="E106" s="31">
        <v>108.1</v>
      </c>
      <c r="F106" s="31">
        <v>76.3</v>
      </c>
      <c r="G106" s="32">
        <f>((E106-F106)/2)/7</f>
        <v>2.2714285714285714</v>
      </c>
      <c r="H106" s="31"/>
      <c r="I106" s="31"/>
      <c r="J106" s="31"/>
      <c r="K106" s="24"/>
      <c r="L106" s="24"/>
      <c r="M106" s="31"/>
      <c r="N106" s="40"/>
    </row>
    <row r="107" spans="1:14">
      <c r="A107" t="s">
        <v>98</v>
      </c>
      <c r="D107">
        <f>AVERAGE(D104:D105)</f>
        <v>2.7964285714285713</v>
      </c>
      <c r="G107">
        <f>AVERAGE(G104:G106)</f>
        <v>2.5095238095238095</v>
      </c>
      <c r="J107">
        <f>AVERAGE(J104:J105)</f>
        <v>1.467857142857143</v>
      </c>
      <c r="M107">
        <f>AVERAGE(M104:M105)</f>
        <v>2.6833333333333336</v>
      </c>
    </row>
    <row r="108" spans="1:14">
      <c r="A108" t="s">
        <v>99</v>
      </c>
      <c r="D108">
        <f>STDEV(D104:D105)</f>
        <v>8.5862966286938236E-2</v>
      </c>
      <c r="G108">
        <f>STDEV(G104:G106)</f>
        <v>0.45001889605073303</v>
      </c>
      <c r="J108">
        <f>STDEV(J104:J105)</f>
        <v>1.6212948340062978</v>
      </c>
      <c r="M108">
        <f>STDEV(M104:M105)</f>
        <v>0.87883271376042293</v>
      </c>
    </row>
    <row r="109" spans="1:14">
      <c r="A109" t="s">
        <v>41</v>
      </c>
      <c r="D109">
        <f>D108/(SQRT(2))</f>
        <v>6.0714285714285936E-2</v>
      </c>
      <c r="G109">
        <f>G108/(SQRT(3))</f>
        <v>0.25981853077530892</v>
      </c>
      <c r="J109">
        <f>J108/(SQRT(2))</f>
        <v>1.1464285714285711</v>
      </c>
      <c r="M109">
        <f>M108/(SQRT(2))</f>
        <v>0.62142857142857111</v>
      </c>
    </row>
    <row r="111" spans="1:14">
      <c r="A111" s="33" t="s">
        <v>74</v>
      </c>
      <c r="B111" s="29" t="s">
        <v>90</v>
      </c>
      <c r="C111" s="29" t="s">
        <v>87</v>
      </c>
      <c r="D111" s="30" t="s">
        <v>89</v>
      </c>
      <c r="E111" s="34" t="s">
        <v>91</v>
      </c>
      <c r="F111" s="29" t="s">
        <v>86</v>
      </c>
      <c r="G111" s="30" t="s">
        <v>88</v>
      </c>
      <c r="H111" s="34" t="s">
        <v>93</v>
      </c>
      <c r="I111" s="29" t="s">
        <v>94</v>
      </c>
      <c r="J111" s="30" t="s">
        <v>92</v>
      </c>
      <c r="K111" s="34" t="s">
        <v>95</v>
      </c>
      <c r="L111" s="29" t="s">
        <v>96</v>
      </c>
      <c r="M111" s="30" t="s">
        <v>97</v>
      </c>
      <c r="N111" s="36" t="s">
        <v>129</v>
      </c>
    </row>
    <row r="112" spans="1:14">
      <c r="A112" s="32">
        <v>1</v>
      </c>
      <c r="B112" s="31">
        <v>222.9</v>
      </c>
      <c r="C112" s="31">
        <v>137.4</v>
      </c>
      <c r="D112" s="32">
        <f>((B112-C112)/4)/7</f>
        <v>3.0535714285714284</v>
      </c>
      <c r="E112" s="39">
        <v>232.4</v>
      </c>
      <c r="F112" s="39">
        <v>181.3</v>
      </c>
      <c r="G112" s="32">
        <f>((E112-F112)/2)/7</f>
        <v>3.6499999999999995</v>
      </c>
      <c r="H112" s="31">
        <v>164.1</v>
      </c>
      <c r="I112" s="31">
        <v>105.6</v>
      </c>
      <c r="J112" s="32">
        <f>((H112-I112)/3)/7</f>
        <v>2.7857142857142856</v>
      </c>
      <c r="K112" s="24">
        <v>203.4</v>
      </c>
      <c r="L112" s="24">
        <v>150.9</v>
      </c>
      <c r="M112" s="32">
        <f>((K112-L112)/3)/7</f>
        <v>2.5</v>
      </c>
      <c r="N112" t="s">
        <v>60</v>
      </c>
    </row>
    <row r="113" spans="1:14">
      <c r="A113" s="32">
        <v>2</v>
      </c>
      <c r="B113" s="31">
        <v>135.4</v>
      </c>
      <c r="C113" s="31">
        <v>95.8</v>
      </c>
      <c r="D113" s="32">
        <f>((B113-C113)/2)/7</f>
        <v>2.8285714285714292</v>
      </c>
      <c r="E113" s="31">
        <v>201.5</v>
      </c>
      <c r="F113" s="31">
        <v>163.19999999999999</v>
      </c>
      <c r="G113" s="32">
        <f>((E113-F113)/2)/7</f>
        <v>2.7357142857142867</v>
      </c>
      <c r="H113" s="31">
        <v>221.1</v>
      </c>
      <c r="I113" s="31">
        <v>178.3</v>
      </c>
      <c r="J113" s="32">
        <f>((H113-I113)/2)/7</f>
        <v>3.0571428571428561</v>
      </c>
      <c r="K113" s="24">
        <v>142.1</v>
      </c>
      <c r="L113" s="24">
        <v>91.5</v>
      </c>
      <c r="M113" s="32">
        <f>((K113-L113)/3)/7</f>
        <v>2.409523809523809</v>
      </c>
      <c r="N113" s="40"/>
    </row>
    <row r="114" spans="1:14">
      <c r="A114" s="31">
        <v>3</v>
      </c>
      <c r="B114" s="31"/>
      <c r="C114" s="31"/>
      <c r="D114" s="31"/>
      <c r="E114" s="31">
        <v>175.6</v>
      </c>
      <c r="F114" s="31">
        <v>130.80000000000001</v>
      </c>
      <c r="G114" s="32">
        <f>((E114-F114)/2)/7</f>
        <v>3.1999999999999988</v>
      </c>
      <c r="H114" s="31"/>
      <c r="I114" s="31"/>
      <c r="J114" s="31"/>
      <c r="K114" s="24"/>
      <c r="L114" s="24"/>
      <c r="M114" s="31"/>
      <c r="N114" s="40"/>
    </row>
    <row r="115" spans="1:14">
      <c r="A115" t="s">
        <v>98</v>
      </c>
      <c r="D115">
        <f>AVERAGE(D112:D113)</f>
        <v>2.941071428571429</v>
      </c>
      <c r="G115">
        <f>AVERAGE(G112:G114)</f>
        <v>3.195238095238095</v>
      </c>
      <c r="J115">
        <f>AVERAGE(J112:J113)</f>
        <v>2.9214285714285708</v>
      </c>
      <c r="M115">
        <f>AVERAGE(M112:M113)</f>
        <v>2.4547619047619045</v>
      </c>
    </row>
    <row r="116" spans="1:14">
      <c r="A116" t="s">
        <v>99</v>
      </c>
      <c r="D116">
        <f>STDEV(D112:D113)</f>
        <v>0.15909902576697263</v>
      </c>
      <c r="G116">
        <f>STDEV(G112:G114)</f>
        <v>0.45716145795490409</v>
      </c>
      <c r="J116">
        <f>STDEV(J112:J113)</f>
        <v>0.19192898346491938</v>
      </c>
      <c r="M116">
        <f>STDEV(M112:M113)</f>
        <v>6.3976327821640408E-2</v>
      </c>
    </row>
    <row r="117" spans="1:14">
      <c r="A117" t="s">
        <v>41</v>
      </c>
      <c r="D117">
        <f>D116/(SQRT(2))</f>
        <v>0.1124999999999996</v>
      </c>
      <c r="G117">
        <f>G116/(SQRT(3))</f>
        <v>0.26394229081338566</v>
      </c>
      <c r="J117">
        <f>J116/(SQRT(2))</f>
        <v>0.13571428571428523</v>
      </c>
      <c r="M117">
        <f>M116/(SQRT(2))</f>
        <v>4.5238095238095515E-2</v>
      </c>
    </row>
    <row r="119" spans="1:14">
      <c r="A119" s="33" t="s">
        <v>75</v>
      </c>
      <c r="B119" s="29" t="s">
        <v>90</v>
      </c>
      <c r="C119" s="29" t="s">
        <v>87</v>
      </c>
      <c r="D119" s="30" t="s">
        <v>89</v>
      </c>
      <c r="E119" s="34" t="s">
        <v>91</v>
      </c>
      <c r="F119" s="29" t="s">
        <v>86</v>
      </c>
      <c r="G119" s="30" t="s">
        <v>88</v>
      </c>
      <c r="H119" s="34" t="s">
        <v>93</v>
      </c>
      <c r="I119" s="29" t="s">
        <v>94</v>
      </c>
      <c r="J119" s="30" t="s">
        <v>92</v>
      </c>
      <c r="K119" s="34" t="s">
        <v>95</v>
      </c>
      <c r="L119" s="29" t="s">
        <v>96</v>
      </c>
      <c r="M119" s="30" t="s">
        <v>97</v>
      </c>
      <c r="N119" s="36" t="s">
        <v>130</v>
      </c>
    </row>
    <row r="120" spans="1:14">
      <c r="A120" s="32">
        <v>1</v>
      </c>
      <c r="B120" s="31">
        <v>137.4</v>
      </c>
      <c r="C120" s="31">
        <v>57.1</v>
      </c>
      <c r="D120" s="32">
        <f>((B120-C120)/4)/7</f>
        <v>2.8678571428571433</v>
      </c>
      <c r="E120" s="39">
        <v>181.3</v>
      </c>
      <c r="F120" s="39">
        <v>148.30000000000001</v>
      </c>
      <c r="G120" s="32">
        <f>((E120-F120)/2)/7</f>
        <v>2.3571428571428572</v>
      </c>
      <c r="H120" s="31">
        <v>105.6</v>
      </c>
      <c r="I120" s="31">
        <v>49.9</v>
      </c>
      <c r="J120" s="32">
        <f>((H120-I120)/3)/7</f>
        <v>2.6523809523809523</v>
      </c>
      <c r="K120" s="24">
        <v>150.9</v>
      </c>
      <c r="L120" s="24">
        <v>108</v>
      </c>
      <c r="M120" s="32">
        <f>((K120-L120)/3)/7</f>
        <v>2.0428571428571431</v>
      </c>
      <c r="N120" t="s">
        <v>60</v>
      </c>
    </row>
    <row r="121" spans="1:14">
      <c r="A121" s="32">
        <v>2</v>
      </c>
      <c r="B121" s="31">
        <v>95.8</v>
      </c>
      <c r="C121" s="31">
        <v>54.5</v>
      </c>
      <c r="D121" s="32">
        <f>((B121-C121)/2)/7</f>
        <v>2.9499999999999997</v>
      </c>
      <c r="E121" s="31">
        <v>163.19999999999999</v>
      </c>
      <c r="F121" s="31">
        <v>129.30000000000001</v>
      </c>
      <c r="G121" s="32">
        <f>((E121-F121)/2)/7</f>
        <v>2.4214285714285699</v>
      </c>
      <c r="H121" s="31">
        <v>178.3</v>
      </c>
      <c r="I121" s="31">
        <v>134.9</v>
      </c>
      <c r="J121" s="32">
        <f>((H121-I121)/2)/7</f>
        <v>3.1000000000000005</v>
      </c>
      <c r="K121" s="24">
        <v>91.5</v>
      </c>
      <c r="L121" s="24">
        <v>49.4</v>
      </c>
      <c r="M121" s="32">
        <f>((K121-L121)/3)/7</f>
        <v>2.0047619047619047</v>
      </c>
      <c r="N121" s="40"/>
    </row>
    <row r="122" spans="1:14">
      <c r="A122" s="31">
        <v>3</v>
      </c>
      <c r="B122" s="31"/>
      <c r="C122" s="31"/>
      <c r="D122" s="31"/>
      <c r="E122" s="31">
        <v>130.80000000000001</v>
      </c>
      <c r="F122" s="31">
        <v>95.8</v>
      </c>
      <c r="G122" s="32">
        <f>((E122-F122)/2)/7</f>
        <v>2.5000000000000009</v>
      </c>
      <c r="H122" s="31"/>
      <c r="I122" s="31"/>
      <c r="J122" s="31"/>
      <c r="K122" s="24"/>
      <c r="L122" s="24"/>
      <c r="M122" s="31"/>
      <c r="N122" s="40"/>
    </row>
    <row r="123" spans="1:14">
      <c r="A123" t="s">
        <v>98</v>
      </c>
      <c r="D123">
        <f>AVERAGE(D120:D121)</f>
        <v>2.9089285714285715</v>
      </c>
      <c r="G123">
        <f>AVERAGE(G120:G122)</f>
        <v>2.426190476190476</v>
      </c>
      <c r="J123">
        <f>AVERAGE(J120:J121)</f>
        <v>2.8761904761904766</v>
      </c>
      <c r="M123">
        <f>AVERAGE(M120:M121)</f>
        <v>2.0238095238095237</v>
      </c>
    </row>
    <row r="124" spans="1:14">
      <c r="A124" t="s">
        <v>99</v>
      </c>
      <c r="D124">
        <f>STDEV(D120:D121)</f>
        <v>5.8083771311751596E-2</v>
      </c>
      <c r="G124">
        <f>STDEV(G120:G122)</f>
        <v>7.1547520006270571E-2</v>
      </c>
      <c r="J124">
        <f>STDEV(J120:J121)</f>
        <v>0.31651446395969313</v>
      </c>
      <c r="M124">
        <f>STDEV(M120:M121)</f>
        <v>2.6937401188059172E-2</v>
      </c>
    </row>
    <row r="125" spans="1:14">
      <c r="A125" t="s">
        <v>41</v>
      </c>
      <c r="D125">
        <f>D124/(SQRT(2))</f>
        <v>4.1071428571428197E-2</v>
      </c>
      <c r="G125">
        <f>G124/(SQRT(3))</f>
        <v>4.1307979935470453E-2</v>
      </c>
      <c r="J125">
        <f>J124/(SQRT(2))</f>
        <v>0.2238095238095241</v>
      </c>
      <c r="M125">
        <f>M124/(SQRT(2))</f>
        <v>1.9047619047619202E-2</v>
      </c>
    </row>
    <row r="127" spans="1:14">
      <c r="A127" s="33" t="s">
        <v>76</v>
      </c>
      <c r="B127" s="29" t="s">
        <v>90</v>
      </c>
      <c r="C127" s="29" t="s">
        <v>87</v>
      </c>
      <c r="D127" s="30" t="s">
        <v>89</v>
      </c>
      <c r="E127" s="34" t="s">
        <v>91</v>
      </c>
      <c r="F127" s="29" t="s">
        <v>86</v>
      </c>
      <c r="G127" s="30" t="s">
        <v>88</v>
      </c>
      <c r="H127" s="34" t="s">
        <v>93</v>
      </c>
      <c r="I127" s="29" t="s">
        <v>94</v>
      </c>
      <c r="J127" s="30" t="s">
        <v>92</v>
      </c>
      <c r="K127" s="34" t="s">
        <v>95</v>
      </c>
      <c r="L127" s="29" t="s">
        <v>96</v>
      </c>
      <c r="M127" s="30" t="s">
        <v>97</v>
      </c>
      <c r="N127" s="36" t="s">
        <v>131</v>
      </c>
    </row>
    <row r="128" spans="1:14">
      <c r="A128" s="32">
        <v>1</v>
      </c>
      <c r="B128" s="31">
        <v>153.1</v>
      </c>
      <c r="C128" s="31">
        <v>89.2</v>
      </c>
      <c r="D128" s="32">
        <f>((B128-C128)/3)/7</f>
        <v>3.0428571428571423</v>
      </c>
      <c r="E128" s="39">
        <v>148.30000000000001</v>
      </c>
      <c r="F128" s="39">
        <v>105.4</v>
      </c>
      <c r="G128" s="32">
        <f>((E128-F128)/2)/7</f>
        <v>3.0642857142857145</v>
      </c>
      <c r="H128" s="31">
        <v>192.1</v>
      </c>
      <c r="I128" s="31">
        <v>147.6</v>
      </c>
      <c r="J128" s="32">
        <f>((H128-I128)/2)/7</f>
        <v>3.1785714285714284</v>
      </c>
      <c r="K128" s="24">
        <v>192.1</v>
      </c>
      <c r="L128" s="24">
        <v>154.69999999999999</v>
      </c>
      <c r="M128" s="32">
        <f>((K128-L128)/2)/7</f>
        <v>2.6714285714285717</v>
      </c>
      <c r="N128" t="s">
        <v>60</v>
      </c>
    </row>
    <row r="129" spans="1:14">
      <c r="A129" s="32">
        <v>2</v>
      </c>
      <c r="B129" s="31">
        <v>163.80000000000001</v>
      </c>
      <c r="C129" s="31">
        <v>109.9</v>
      </c>
      <c r="D129" s="32">
        <f>((B129-C129)/2)/7</f>
        <v>3.8500000000000005</v>
      </c>
      <c r="E129" s="31">
        <v>129.30000000000001</v>
      </c>
      <c r="F129" s="31">
        <v>92</v>
      </c>
      <c r="G129" s="32">
        <f>((E129-F129)/2)/7</f>
        <v>2.664285714285715</v>
      </c>
      <c r="H129" s="31">
        <v>134.9</v>
      </c>
      <c r="I129" s="31">
        <v>92.1</v>
      </c>
      <c r="J129" s="32">
        <f>((H129-I129)/2)/7</f>
        <v>3.0571428571428578</v>
      </c>
      <c r="K129" s="24">
        <v>200</v>
      </c>
      <c r="L129" s="24">
        <v>152</v>
      </c>
      <c r="M129" s="32">
        <f>((K129-L129)/3)/7</f>
        <v>2.2857142857142856</v>
      </c>
      <c r="N129" s="40"/>
    </row>
    <row r="130" spans="1:14">
      <c r="A130" s="31">
        <v>3</v>
      </c>
      <c r="B130" s="31"/>
      <c r="C130" s="31"/>
      <c r="D130" s="31"/>
      <c r="E130" s="31">
        <v>181.2</v>
      </c>
      <c r="F130" s="31">
        <v>147.80000000000001</v>
      </c>
      <c r="G130" s="32">
        <f>((E130-F130)/1)/7</f>
        <v>4.7714285714285678</v>
      </c>
      <c r="H130" s="31"/>
      <c r="I130" s="31"/>
      <c r="J130" s="31"/>
      <c r="K130" s="24"/>
      <c r="L130" s="24"/>
      <c r="M130" s="31"/>
      <c r="N130" s="40"/>
    </row>
    <row r="131" spans="1:14">
      <c r="A131" t="s">
        <v>98</v>
      </c>
      <c r="D131">
        <f>AVERAGE(D128:D129)</f>
        <v>3.4464285714285712</v>
      </c>
      <c r="G131">
        <f>AVERAGE(G128:G130)</f>
        <v>3.4999999999999987</v>
      </c>
      <c r="J131">
        <f>AVERAGE(J128:J129)</f>
        <v>3.1178571428571429</v>
      </c>
      <c r="M131">
        <f>AVERAGE(M128:M129)</f>
        <v>2.4785714285714286</v>
      </c>
    </row>
    <row r="132" spans="1:14">
      <c r="A132" t="s">
        <v>99</v>
      </c>
      <c r="D132">
        <f>STDEV(D128:D129)</f>
        <v>0.57073618767200129</v>
      </c>
      <c r="G132">
        <f>STDEV(G128:G130)</f>
        <v>1.1191058748767568</v>
      </c>
      <c r="J132">
        <f>STDEV(J128:J129)</f>
        <v>8.5862966286937292E-2</v>
      </c>
      <c r="M132">
        <f>STDEV(M128:M129)</f>
        <v>0.27274118702909717</v>
      </c>
    </row>
    <row r="133" spans="1:14">
      <c r="A133" t="s">
        <v>41</v>
      </c>
      <c r="D133">
        <f>D132/(SQRT(2))</f>
        <v>0.40357142857143014</v>
      </c>
      <c r="G133">
        <f>G132/(SQRT(3))</f>
        <v>0.64611607811178728</v>
      </c>
      <c r="J133">
        <f>J132/(SQRT(2))</f>
        <v>6.071428571428527E-2</v>
      </c>
      <c r="M133">
        <f>M132/(SQRT(2))</f>
        <v>0.19285714285714303</v>
      </c>
    </row>
    <row r="135" spans="1:14">
      <c r="A135" s="33" t="s">
        <v>77</v>
      </c>
      <c r="B135" s="29" t="s">
        <v>90</v>
      </c>
      <c r="C135" s="29" t="s">
        <v>87</v>
      </c>
      <c r="D135" s="30" t="s">
        <v>89</v>
      </c>
      <c r="E135" s="34" t="s">
        <v>91</v>
      </c>
      <c r="F135" s="29" t="s">
        <v>86</v>
      </c>
      <c r="G135" s="30" t="s">
        <v>88</v>
      </c>
      <c r="H135" s="34" t="s">
        <v>93</v>
      </c>
      <c r="I135" s="29" t="s">
        <v>94</v>
      </c>
      <c r="J135" s="30" t="s">
        <v>92</v>
      </c>
      <c r="K135" s="34" t="s">
        <v>95</v>
      </c>
      <c r="L135" s="29" t="s">
        <v>96</v>
      </c>
      <c r="M135" s="30" t="s">
        <v>97</v>
      </c>
      <c r="N135" s="36" t="s">
        <v>133</v>
      </c>
    </row>
    <row r="136" spans="1:14">
      <c r="A136" s="32">
        <v>1</v>
      </c>
      <c r="B136" s="31">
        <v>181.8</v>
      </c>
      <c r="C136" s="31">
        <v>88.1</v>
      </c>
      <c r="D136" s="32">
        <f>((B136-C136)/3)/9</f>
        <v>3.4703703703703708</v>
      </c>
      <c r="E136" s="39">
        <v>105.4</v>
      </c>
      <c r="F136" s="39">
        <v>41.7</v>
      </c>
      <c r="G136" s="32">
        <f>((E136-F136)/2)/9</f>
        <v>3.5388888888888892</v>
      </c>
      <c r="H136" s="31">
        <v>147.6</v>
      </c>
      <c r="I136" s="31">
        <v>83.6</v>
      </c>
      <c r="J136" s="32">
        <f>((H136-I136)/2)/9</f>
        <v>3.5555555555555554</v>
      </c>
      <c r="K136" s="24">
        <v>154.69999999999999</v>
      </c>
      <c r="L136" s="24">
        <v>124</v>
      </c>
      <c r="M136" s="32">
        <f>((K136-L136)/1)/9</f>
        <v>3.4111111111111097</v>
      </c>
      <c r="N136" t="s">
        <v>58</v>
      </c>
    </row>
    <row r="137" spans="1:14">
      <c r="A137" s="32">
        <v>2</v>
      </c>
      <c r="B137" s="31">
        <v>109.9</v>
      </c>
      <c r="C137" s="31">
        <v>37.200000000000003</v>
      </c>
      <c r="D137" s="32">
        <f>((B137-C137)/2)/9</f>
        <v>4.0388888888888888</v>
      </c>
      <c r="E137" s="31">
        <v>148.69999999999999</v>
      </c>
      <c r="F137" s="31">
        <v>97</v>
      </c>
      <c r="G137" s="32">
        <f>((E137-F137)/2)/9</f>
        <v>2.8722222222222218</v>
      </c>
      <c r="H137" s="31">
        <v>178.8</v>
      </c>
      <c r="I137" s="31">
        <v>116.4</v>
      </c>
      <c r="J137" s="32">
        <f>((H137-I137)/2)/9</f>
        <v>3.4666666666666668</v>
      </c>
      <c r="K137" s="24">
        <v>152</v>
      </c>
      <c r="L137" s="24">
        <v>90.3</v>
      </c>
      <c r="M137" s="32">
        <f>((K137-L137)/3)/9</f>
        <v>2.2851851851851852</v>
      </c>
      <c r="N137" s="40"/>
    </row>
    <row r="138" spans="1:14">
      <c r="A138" s="31">
        <v>3</v>
      </c>
      <c r="B138" s="31"/>
      <c r="C138" s="31"/>
      <c r="D138" s="31"/>
      <c r="E138" s="31">
        <v>147.80000000000001</v>
      </c>
      <c r="F138" s="31">
        <v>115.3</v>
      </c>
      <c r="G138" s="32">
        <f>((E138-F138)/1)/9</f>
        <v>3.6111111111111125</v>
      </c>
      <c r="H138" s="31"/>
      <c r="I138" s="31"/>
      <c r="J138" s="31"/>
      <c r="K138" s="24"/>
      <c r="L138" s="24"/>
      <c r="M138" s="31"/>
      <c r="N138" s="40"/>
    </row>
    <row r="139" spans="1:14">
      <c r="A139" t="s">
        <v>98</v>
      </c>
      <c r="D139">
        <f>AVERAGE(D136:D137)</f>
        <v>3.7546296296296298</v>
      </c>
      <c r="G139">
        <f>AVERAGE(G136:G138)</f>
        <v>3.3407407407407415</v>
      </c>
      <c r="J139">
        <f>AVERAGE(J136:J137)</f>
        <v>3.5111111111111111</v>
      </c>
      <c r="M139">
        <f>AVERAGE(M136:M137)</f>
        <v>2.8481481481481472</v>
      </c>
    </row>
    <row r="140" spans="1:14">
      <c r="A140" t="s">
        <v>99</v>
      </c>
      <c r="D140">
        <f>STDEV(D136:D137)</f>
        <v>0.40200329967457388</v>
      </c>
      <c r="G140">
        <f>STDEV(G136:G138)</f>
        <v>0.40735268992823676</v>
      </c>
      <c r="J140">
        <f>STDEV(J136:J137)</f>
        <v>6.2853936105470673E-2</v>
      </c>
      <c r="M140">
        <f>STDEV(M136:M137)</f>
        <v>0.79614985733596577</v>
      </c>
    </row>
    <row r="141" spans="1:14">
      <c r="A141" t="s">
        <v>41</v>
      </c>
      <c r="D141">
        <f>D140/(SQRT(2))</f>
        <v>0.28425925925925899</v>
      </c>
      <c r="G141">
        <f>G140/(SQRT(3))</f>
        <v>0.23518518518518566</v>
      </c>
      <c r="J141">
        <f>J140/(SQRT(2))</f>
        <v>4.4444444444444287E-2</v>
      </c>
      <c r="M141">
        <f>M140/(SQRT(2))</f>
        <v>0.56296296296296378</v>
      </c>
    </row>
    <row r="143" spans="1:14">
      <c r="A143" s="33" t="s">
        <v>78</v>
      </c>
      <c r="B143" s="29" t="s">
        <v>90</v>
      </c>
      <c r="C143" s="29" t="s">
        <v>87</v>
      </c>
      <c r="D143" s="30" t="s">
        <v>89</v>
      </c>
      <c r="E143" s="34" t="s">
        <v>91</v>
      </c>
      <c r="F143" s="29" t="s">
        <v>86</v>
      </c>
      <c r="G143" s="30" t="s">
        <v>88</v>
      </c>
      <c r="H143" s="34" t="s">
        <v>93</v>
      </c>
      <c r="I143" s="29" t="s">
        <v>94</v>
      </c>
      <c r="J143" s="30" t="s">
        <v>92</v>
      </c>
      <c r="K143" s="34" t="s">
        <v>95</v>
      </c>
      <c r="L143" s="29" t="s">
        <v>96</v>
      </c>
      <c r="M143" s="30" t="s">
        <v>97</v>
      </c>
      <c r="N143" s="36" t="s">
        <v>134</v>
      </c>
    </row>
    <row r="144" spans="1:14">
      <c r="A144" s="32">
        <v>1</v>
      </c>
      <c r="B144" s="31">
        <v>155.4</v>
      </c>
      <c r="C144" s="31">
        <v>104.6</v>
      </c>
      <c r="D144" s="32">
        <f>((B144-C144)/3)/6</f>
        <v>2.8222222222222229</v>
      </c>
      <c r="E144" s="39">
        <v>125.7</v>
      </c>
      <c r="F144" s="39">
        <v>92.9</v>
      </c>
      <c r="G144" s="32">
        <f>((E144-F144)/2)/6</f>
        <v>2.7333333333333329</v>
      </c>
      <c r="H144" s="31">
        <v>162</v>
      </c>
      <c r="I144" s="31">
        <v>127.2</v>
      </c>
      <c r="J144" s="32">
        <f>((H144-I144)/2)/6</f>
        <v>2.9</v>
      </c>
      <c r="K144" s="24">
        <v>124</v>
      </c>
      <c r="L144" s="24">
        <v>108.6</v>
      </c>
      <c r="M144" s="32">
        <f>((K144-L144)/1)/6</f>
        <v>2.5666666666666678</v>
      </c>
      <c r="N144" t="s">
        <v>70</v>
      </c>
    </row>
    <row r="145" spans="1:14">
      <c r="A145" s="32">
        <v>2</v>
      </c>
      <c r="B145" s="31">
        <v>173.6</v>
      </c>
      <c r="C145" s="31">
        <v>140.69999999999999</v>
      </c>
      <c r="D145" s="32">
        <f>((B145-C145)/2)/6</f>
        <v>2.7416666666666671</v>
      </c>
      <c r="E145" s="31">
        <v>174.5</v>
      </c>
      <c r="F145" s="31">
        <v>141.6</v>
      </c>
      <c r="G145" s="32">
        <f>((E145-F145)/2)/6</f>
        <v>2.7416666666666671</v>
      </c>
      <c r="H145" s="31">
        <v>186.7</v>
      </c>
      <c r="I145" s="31">
        <v>154</v>
      </c>
      <c r="J145" s="32">
        <f>((H145-I145)/2)/6</f>
        <v>2.7249999999999992</v>
      </c>
      <c r="K145" s="24">
        <v>174.4</v>
      </c>
      <c r="L145" s="24">
        <v>132.1</v>
      </c>
      <c r="M145" s="32">
        <f>((K145-L145)/3)/6</f>
        <v>2.3500000000000005</v>
      </c>
      <c r="N145" s="40"/>
    </row>
    <row r="146" spans="1:14">
      <c r="A146" s="31">
        <v>3</v>
      </c>
      <c r="B146" s="31"/>
      <c r="C146" s="31"/>
      <c r="D146" s="31"/>
      <c r="E146" s="31">
        <v>115.3</v>
      </c>
      <c r="F146" s="31">
        <v>93.9</v>
      </c>
      <c r="G146" s="32">
        <f>((E146-F146)/1)/6</f>
        <v>3.5666666666666651</v>
      </c>
      <c r="H146" s="31"/>
      <c r="I146" s="31"/>
      <c r="J146" s="31"/>
      <c r="K146" s="24"/>
      <c r="L146" s="24"/>
      <c r="M146" s="31"/>
      <c r="N146" s="40"/>
    </row>
    <row r="147" spans="1:14">
      <c r="A147" t="s">
        <v>98</v>
      </c>
      <c r="D147">
        <f>AVERAGE(D144:D145)</f>
        <v>2.781944444444445</v>
      </c>
      <c r="G147">
        <f>AVERAGE(G144:G146)</f>
        <v>3.013888888888888</v>
      </c>
      <c r="J147">
        <f>AVERAGE(J144:J145)</f>
        <v>2.8124999999999996</v>
      </c>
      <c r="M147">
        <f>AVERAGE(M144:M145)</f>
        <v>2.4583333333333339</v>
      </c>
    </row>
    <row r="148" spans="1:14">
      <c r="A148" t="s">
        <v>99</v>
      </c>
      <c r="D148">
        <f>STDEV(D144:D145)</f>
        <v>5.6961379595583103E-2</v>
      </c>
      <c r="G148">
        <f>STDEV(G144:G146)</f>
        <v>0.47873773071987402</v>
      </c>
      <c r="J148">
        <f>STDEV(J144:J145)</f>
        <v>0.12374368670764632</v>
      </c>
      <c r="M148">
        <f>STDEV(M144:M145)</f>
        <v>0.1532064692570857</v>
      </c>
    </row>
    <row r="149" spans="1:14">
      <c r="A149" t="s">
        <v>41</v>
      </c>
      <c r="D149">
        <f>D148/(SQRT(2))</f>
        <v>4.027777777777785E-2</v>
      </c>
      <c r="G149">
        <f>G148/(SQRT(3))</f>
        <v>0.27639935770234986</v>
      </c>
      <c r="J149">
        <f>J148/(SQRT(2))</f>
        <v>8.7500000000000355E-2</v>
      </c>
      <c r="M149">
        <f>M148/(SQRT(2))</f>
        <v>0.10833333333333361</v>
      </c>
    </row>
    <row r="151" spans="1:14">
      <c r="A151" s="33" t="s">
        <v>80</v>
      </c>
      <c r="B151" s="29" t="s">
        <v>90</v>
      </c>
      <c r="C151" s="29" t="s">
        <v>87</v>
      </c>
      <c r="D151" s="30" t="s">
        <v>89</v>
      </c>
      <c r="E151" s="34" t="s">
        <v>91</v>
      </c>
      <c r="F151" s="29" t="s">
        <v>86</v>
      </c>
      <c r="G151" s="30" t="s">
        <v>88</v>
      </c>
      <c r="H151" s="34" t="s">
        <v>93</v>
      </c>
      <c r="I151" s="29" t="s">
        <v>94</v>
      </c>
      <c r="J151" s="30" t="s">
        <v>92</v>
      </c>
      <c r="K151" s="34" t="s">
        <v>95</v>
      </c>
      <c r="L151" s="29" t="s">
        <v>96</v>
      </c>
      <c r="M151" s="30" t="s">
        <v>97</v>
      </c>
      <c r="N151" s="36" t="s">
        <v>135</v>
      </c>
    </row>
    <row r="152" spans="1:14">
      <c r="A152" s="32">
        <v>1</v>
      </c>
      <c r="B152" s="31">
        <v>104.6</v>
      </c>
      <c r="C152" s="31">
        <v>52</v>
      </c>
      <c r="D152" s="32">
        <f>((B152-C152)/3)/6</f>
        <v>2.9222222222222221</v>
      </c>
      <c r="E152" s="39">
        <v>92.9</v>
      </c>
      <c r="F152" s="39">
        <v>57.5</v>
      </c>
      <c r="G152" s="32">
        <f>((E152-F152)/2)/6</f>
        <v>2.9500000000000006</v>
      </c>
      <c r="H152" s="31">
        <v>127.2</v>
      </c>
      <c r="I152" s="31">
        <v>89.8</v>
      </c>
      <c r="J152" s="32">
        <f>((H152-I152)/2)/6</f>
        <v>3.1166666666666671</v>
      </c>
      <c r="K152" s="24">
        <v>108.6</v>
      </c>
      <c r="L152" s="24">
        <v>93.4</v>
      </c>
      <c r="M152" s="32">
        <f>((K152-L152)/1)/6</f>
        <v>2.5333333333333314</v>
      </c>
      <c r="N152" t="s">
        <v>70</v>
      </c>
    </row>
    <row r="153" spans="1:14">
      <c r="A153" s="32">
        <v>2</v>
      </c>
      <c r="B153" s="31">
        <v>140.69999999999999</v>
      </c>
      <c r="C153" s="31">
        <v>105.7</v>
      </c>
      <c r="D153" s="32">
        <f>((B153-C153)/2)/6</f>
        <v>2.9166666666666656</v>
      </c>
      <c r="E153" s="31">
        <v>141.6</v>
      </c>
      <c r="F153" s="31">
        <v>107.8</v>
      </c>
      <c r="G153" s="32">
        <f>((E153-F153)/2)/6</f>
        <v>2.8166666666666664</v>
      </c>
      <c r="H153" s="31">
        <v>154</v>
      </c>
      <c r="I153" s="31">
        <v>119.9</v>
      </c>
      <c r="J153" s="32">
        <f>((H153-I153)/2)/6</f>
        <v>2.8416666666666663</v>
      </c>
      <c r="K153" s="24">
        <v>132.1</v>
      </c>
      <c r="L153" s="24">
        <v>90.9</v>
      </c>
      <c r="M153" s="32">
        <f>((K153-L153)/3)/6</f>
        <v>2.2888888888888883</v>
      </c>
      <c r="N153" s="40"/>
    </row>
    <row r="154" spans="1:14">
      <c r="A154" s="31">
        <v>3</v>
      </c>
      <c r="B154" s="31"/>
      <c r="C154" s="31"/>
      <c r="D154" s="31"/>
      <c r="E154" s="31">
        <v>93.9</v>
      </c>
      <c r="F154" s="31">
        <v>71.8</v>
      </c>
      <c r="G154" s="32">
        <f>((E154-F154)/1)/6</f>
        <v>3.6833333333333349</v>
      </c>
      <c r="H154" s="31"/>
      <c r="I154" s="31"/>
      <c r="J154" s="31"/>
      <c r="K154" s="24"/>
      <c r="L154" s="24"/>
      <c r="M154" s="31"/>
      <c r="N154" s="40"/>
    </row>
    <row r="155" spans="1:14">
      <c r="A155" t="s">
        <v>98</v>
      </c>
      <c r="D155">
        <f>AVERAGE(D152:D153)</f>
        <v>2.9194444444444438</v>
      </c>
      <c r="G155">
        <f>AVERAGE(G152:G154)</f>
        <v>3.1500000000000008</v>
      </c>
      <c r="J155">
        <f>AVERAGE(J152:J153)</f>
        <v>2.979166666666667</v>
      </c>
      <c r="M155">
        <f>AVERAGE(M152:M153)</f>
        <v>2.4111111111111097</v>
      </c>
    </row>
    <row r="156" spans="1:14">
      <c r="A156" t="s">
        <v>99</v>
      </c>
      <c r="D156">
        <f>STDEV(D152:D153)</f>
        <v>3.928371006592545E-3</v>
      </c>
      <c r="G156">
        <f>STDEV(G152:G154)</f>
        <v>0.46666666666666506</v>
      </c>
      <c r="J156">
        <f>STDEV(J152:J153)</f>
        <v>0.19445436482630113</v>
      </c>
      <c r="M156">
        <f>STDEV(M152:M153)</f>
        <v>0.17284832429004401</v>
      </c>
    </row>
    <row r="157" spans="1:14">
      <c r="A157" t="s">
        <v>41</v>
      </c>
      <c r="D157">
        <f>D156/(SQRT(2))</f>
        <v>2.777777777778212E-3</v>
      </c>
      <c r="G157">
        <f>G156/(SQRT(3))</f>
        <v>0.26943012562182445</v>
      </c>
      <c r="J157">
        <f>J156/(SQRT(2))</f>
        <v>0.1375000000000004</v>
      </c>
      <c r="M157">
        <f>M156/(SQRT(2))</f>
        <v>0.12222222222222155</v>
      </c>
    </row>
    <row r="159" spans="1:14">
      <c r="A159" s="33" t="s">
        <v>81</v>
      </c>
      <c r="B159" s="29" t="s">
        <v>90</v>
      </c>
      <c r="C159" s="29" t="s">
        <v>87</v>
      </c>
      <c r="D159" s="30" t="s">
        <v>89</v>
      </c>
      <c r="E159" s="34" t="s">
        <v>91</v>
      </c>
      <c r="F159" s="29" t="s">
        <v>86</v>
      </c>
      <c r="G159" s="30" t="s">
        <v>88</v>
      </c>
      <c r="H159" s="34" t="s">
        <v>93</v>
      </c>
      <c r="I159" s="29" t="s">
        <v>94</v>
      </c>
      <c r="J159" s="30" t="s">
        <v>92</v>
      </c>
      <c r="K159" s="34" t="s">
        <v>95</v>
      </c>
      <c r="L159" s="29" t="s">
        <v>96</v>
      </c>
      <c r="M159" s="30" t="s">
        <v>97</v>
      </c>
      <c r="N159" s="36" t="s">
        <v>136</v>
      </c>
    </row>
    <row r="160" spans="1:14">
      <c r="A160" s="32">
        <v>1</v>
      </c>
      <c r="B160" s="31">
        <v>73.8</v>
      </c>
      <c r="C160" s="31"/>
      <c r="D160" s="32">
        <f>((B160-C160)/3)/6</f>
        <v>4.0999999999999996</v>
      </c>
      <c r="E160" s="39">
        <v>78.400000000000006</v>
      </c>
      <c r="F160" s="39"/>
      <c r="G160" s="32">
        <f>((E160-F160)/2)/6</f>
        <v>6.5333333333333341</v>
      </c>
      <c r="H160" s="31">
        <v>89.8</v>
      </c>
      <c r="I160" s="31"/>
      <c r="J160" s="32">
        <f>((H160-I160)/2)/6</f>
        <v>7.4833333333333334</v>
      </c>
      <c r="K160" s="24">
        <v>93.4</v>
      </c>
      <c r="L160" s="24"/>
      <c r="M160" s="32">
        <f>((K160-L160)/1)/6</f>
        <v>15.566666666666668</v>
      </c>
      <c r="N160" t="s">
        <v>70</v>
      </c>
    </row>
    <row r="161" spans="1:14">
      <c r="A161" s="32">
        <v>2</v>
      </c>
      <c r="B161" s="31">
        <v>105.7</v>
      </c>
      <c r="C161" s="31"/>
      <c r="D161" s="32">
        <f>((B161-C161)/2)/6</f>
        <v>8.8083333333333336</v>
      </c>
      <c r="E161" s="31">
        <v>107.8</v>
      </c>
      <c r="F161" s="31"/>
      <c r="G161" s="32">
        <f>((E161-F161)/2)/6</f>
        <v>8.9833333333333325</v>
      </c>
      <c r="H161" s="31">
        <v>119.9</v>
      </c>
      <c r="I161" s="31"/>
      <c r="J161" s="32">
        <f>((H161-I161)/2)/6</f>
        <v>9.9916666666666671</v>
      </c>
      <c r="K161" s="24">
        <v>90.9</v>
      </c>
      <c r="L161" s="24"/>
      <c r="M161" s="32">
        <f>((K161-L161)/3)/6</f>
        <v>5.05</v>
      </c>
      <c r="N161" s="40" t="s">
        <v>137</v>
      </c>
    </row>
    <row r="162" spans="1:14">
      <c r="A162" s="31">
        <v>3</v>
      </c>
      <c r="B162" s="31"/>
      <c r="C162" s="31"/>
      <c r="D162" s="31"/>
      <c r="E162" s="31">
        <v>71.8</v>
      </c>
      <c r="F162" s="31"/>
      <c r="G162" s="32">
        <f>((E162-F162)/1)/6</f>
        <v>11.966666666666667</v>
      </c>
      <c r="H162" s="31"/>
      <c r="I162" s="31"/>
      <c r="J162" s="31"/>
      <c r="K162" s="24"/>
      <c r="L162" s="24"/>
      <c r="M162" s="31"/>
      <c r="N162" s="40"/>
    </row>
    <row r="163" spans="1:14">
      <c r="A163" t="s">
        <v>98</v>
      </c>
      <c r="D163">
        <f>AVERAGE(D160:D161)</f>
        <v>6.4541666666666666</v>
      </c>
      <c r="G163">
        <f>AVERAGE(G160:G162)</f>
        <v>9.1611111111111114</v>
      </c>
      <c r="J163">
        <f>AVERAGE(J160:J161)</f>
        <v>8.7375000000000007</v>
      </c>
      <c r="M163">
        <f>AVERAGE(M160:M161)</f>
        <v>10.308333333333334</v>
      </c>
    </row>
    <row r="164" spans="1:14">
      <c r="A164" t="s">
        <v>99</v>
      </c>
      <c r="D164">
        <f>STDEV(D160:D161)</f>
        <v>3.329294428086663</v>
      </c>
      <c r="G164">
        <f>STDEV(G160:G162)</f>
        <v>2.7210258141887347</v>
      </c>
      <c r="J164">
        <f>STDEV(J160:J161)</f>
        <v>1.773659509476248</v>
      </c>
      <c r="M164">
        <f>STDEV(M160:M161)</f>
        <v>7.4364063154785285</v>
      </c>
    </row>
    <row r="165" spans="1:14">
      <c r="A165" t="s">
        <v>41</v>
      </c>
      <c r="D165">
        <f>D164/(SQRT(2))</f>
        <v>2.3541666666666679</v>
      </c>
      <c r="G165">
        <f>G164/(SQRT(3))</f>
        <v>1.5709849862937866</v>
      </c>
      <c r="J165">
        <f>J164/(SQRT(2))</f>
        <v>1.2541666666666604</v>
      </c>
      <c r="M165">
        <f>M164/(SQRT(2))</f>
        <v>5.2583333333333355</v>
      </c>
    </row>
    <row r="167" spans="1:14">
      <c r="A167" s="33" t="s">
        <v>82</v>
      </c>
      <c r="B167" s="29" t="s">
        <v>90</v>
      </c>
      <c r="C167" s="29" t="s">
        <v>87</v>
      </c>
      <c r="D167" s="30" t="s">
        <v>89</v>
      </c>
      <c r="E167" s="34" t="s">
        <v>91</v>
      </c>
      <c r="F167" s="29" t="s">
        <v>86</v>
      </c>
      <c r="G167" s="30" t="s">
        <v>88</v>
      </c>
      <c r="H167" s="34" t="s">
        <v>93</v>
      </c>
      <c r="I167" s="29" t="s">
        <v>94</v>
      </c>
      <c r="J167" s="30" t="s">
        <v>92</v>
      </c>
      <c r="K167" s="34" t="s">
        <v>95</v>
      </c>
      <c r="L167" s="29" t="s">
        <v>96</v>
      </c>
      <c r="M167" s="30" t="s">
        <v>97</v>
      </c>
      <c r="N167" s="36" t="s">
        <v>138</v>
      </c>
    </row>
    <row r="168" spans="1:14">
      <c r="A168" s="32">
        <v>1</v>
      </c>
      <c r="B168" s="31">
        <v>154</v>
      </c>
      <c r="C168" s="31">
        <v>114.8</v>
      </c>
      <c r="D168" s="32">
        <f>((B168-C168)/3)/4</f>
        <v>3.2666666666666671</v>
      </c>
      <c r="E168" s="39">
        <v>125.3</v>
      </c>
      <c r="F168" s="39">
        <v>82.7</v>
      </c>
      <c r="G168" s="32">
        <f>((E168-F168)/2)/5</f>
        <v>4.26</v>
      </c>
      <c r="H168" s="31">
        <v>162.80000000000001</v>
      </c>
      <c r="I168" s="31">
        <v>121.1</v>
      </c>
      <c r="J168" s="32">
        <f>((H168-I168)/2)/5</f>
        <v>4.1700000000000017</v>
      </c>
      <c r="K168" s="24">
        <v>128.4</v>
      </c>
      <c r="L168" s="24">
        <v>111.8</v>
      </c>
      <c r="M168" s="32">
        <f>((K168-L168)/1)/5</f>
        <v>3.3200000000000016</v>
      </c>
      <c r="N168" t="s">
        <v>139</v>
      </c>
    </row>
    <row r="169" spans="1:14">
      <c r="A169" s="32">
        <v>2</v>
      </c>
      <c r="B169" s="31">
        <v>178.9</v>
      </c>
      <c r="C169" s="31">
        <v>147.30000000000001</v>
      </c>
      <c r="D169" s="32">
        <f>((B169-C169)/2)/4</f>
        <v>3.9499999999999993</v>
      </c>
      <c r="E169" s="31">
        <v>177.9</v>
      </c>
      <c r="F169" s="39">
        <v>131.69999999999999</v>
      </c>
      <c r="G169" s="32">
        <f>((E169-F169)/2)/5</f>
        <v>4.6200000000000019</v>
      </c>
      <c r="H169" s="31">
        <v>200.4</v>
      </c>
      <c r="I169" s="31">
        <v>164.3</v>
      </c>
      <c r="J169" s="32">
        <f>((H169-I169)/2)/5</f>
        <v>3.6099999999999994</v>
      </c>
      <c r="K169" s="24">
        <v>197.4</v>
      </c>
      <c r="L169" s="24">
        <v>162.9</v>
      </c>
      <c r="M169" s="32">
        <f>((K169-L169)/2)/4</f>
        <v>4.3125</v>
      </c>
      <c r="N169" s="40"/>
    </row>
    <row r="170" spans="1:14">
      <c r="A170" s="31"/>
      <c r="B170" s="31"/>
      <c r="C170" s="31"/>
      <c r="D170" s="31"/>
      <c r="E170" s="31"/>
      <c r="F170" s="31"/>
      <c r="G170" s="32"/>
      <c r="H170" s="31"/>
      <c r="I170" s="31"/>
      <c r="J170" s="31"/>
      <c r="K170" s="24"/>
      <c r="L170" s="24"/>
      <c r="M170" s="31"/>
      <c r="N170" s="40"/>
    </row>
    <row r="171" spans="1:14">
      <c r="A171" t="s">
        <v>98</v>
      </c>
      <c r="D171">
        <f>AVERAGE(D168:D169)</f>
        <v>3.6083333333333334</v>
      </c>
      <c r="G171">
        <f>AVERAGE(G168:G169)</f>
        <v>4.4400000000000013</v>
      </c>
      <c r="J171">
        <f>AVERAGE(J168:J169)</f>
        <v>3.8900000000000006</v>
      </c>
      <c r="M171">
        <f>AVERAGE(M168:M169)</f>
        <v>3.816250000000001</v>
      </c>
    </row>
    <row r="172" spans="1:14">
      <c r="A172" t="s">
        <v>99</v>
      </c>
      <c r="D172">
        <f>STDEV(D168:D169)</f>
        <v>0.48318963381080671</v>
      </c>
      <c r="G172">
        <f>STDEV(G168:G169)</f>
        <v>0.25455844122715859</v>
      </c>
      <c r="J172">
        <f>STDEV(J168:J169)</f>
        <v>0.39597979746446821</v>
      </c>
      <c r="M172">
        <f>STDEV(M168:M169)</f>
        <v>0.70180348032764572</v>
      </c>
    </row>
    <row r="173" spans="1:14">
      <c r="A173" t="s">
        <v>41</v>
      </c>
      <c r="D173">
        <f>D172/(SQRT(2))</f>
        <v>0.34166666666666612</v>
      </c>
      <c r="G173">
        <f>G172/(SQRT(2))</f>
        <v>0.18000000000000105</v>
      </c>
      <c r="J173">
        <f>J172/(SQRT(2))</f>
        <v>0.28000000000000108</v>
      </c>
      <c r="M173">
        <f>M172/(SQRT(2))</f>
        <v>0.49624999999999808</v>
      </c>
    </row>
  </sheetData>
  <pageMargins left="0.7" right="0.7" top="0.75" bottom="0.75" header="0.3" footer="0.3"/>
  <ignoredErrors>
    <ignoredError sqref="G73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BAEF-D009-764A-A099-D1DFDF0827BD}">
  <dimension ref="A1:N173"/>
  <sheetViews>
    <sheetView topLeftCell="A158" zoomScale="68" workbookViewId="0">
      <selection activeCell="J168" sqref="J168"/>
    </sheetView>
  </sheetViews>
  <sheetFormatPr baseColWidth="10" defaultRowHeight="16"/>
  <sheetData>
    <row r="1" spans="1:14">
      <c r="A1" s="33" t="s">
        <v>0</v>
      </c>
      <c r="B1" s="29" t="s">
        <v>90</v>
      </c>
      <c r="C1" s="29" t="s">
        <v>87</v>
      </c>
      <c r="D1" s="30" t="s">
        <v>89</v>
      </c>
      <c r="E1" s="34" t="s">
        <v>91</v>
      </c>
      <c r="F1" s="29" t="s">
        <v>86</v>
      </c>
      <c r="G1" s="30" t="s">
        <v>88</v>
      </c>
      <c r="H1" s="34" t="s">
        <v>93</v>
      </c>
      <c r="I1" s="29" t="s">
        <v>94</v>
      </c>
      <c r="J1" s="30" t="s">
        <v>92</v>
      </c>
      <c r="K1" s="34" t="s">
        <v>95</v>
      </c>
      <c r="L1" s="29" t="s">
        <v>96</v>
      </c>
      <c r="M1" s="30" t="s">
        <v>97</v>
      </c>
      <c r="N1" s="36" t="s">
        <v>102</v>
      </c>
    </row>
    <row r="2" spans="1:14">
      <c r="A2" s="32">
        <v>1</v>
      </c>
      <c r="B2" s="31">
        <v>353.6</v>
      </c>
      <c r="C2" s="31">
        <v>312.89999999999998</v>
      </c>
      <c r="D2" s="32">
        <f>((B2-C2)/4)</f>
        <v>10.175000000000011</v>
      </c>
      <c r="E2" s="35">
        <v>408</v>
      </c>
      <c r="F2" s="31">
        <v>392.3</v>
      </c>
      <c r="G2" s="32">
        <f>((E2-F2)/4)</f>
        <v>3.9249999999999972</v>
      </c>
      <c r="H2" s="35">
        <v>409.4</v>
      </c>
      <c r="I2" s="31">
        <v>390.4</v>
      </c>
      <c r="J2" s="32">
        <f>((H2-I2)/3)</f>
        <v>6.333333333333333</v>
      </c>
      <c r="K2" s="35">
        <v>387</v>
      </c>
      <c r="L2" s="31">
        <v>371.7</v>
      </c>
      <c r="M2" s="32">
        <f>((K2-L2)/3)</f>
        <v>5.1000000000000041</v>
      </c>
      <c r="N2" t="s">
        <v>54</v>
      </c>
    </row>
    <row r="3" spans="1:14">
      <c r="A3" s="32">
        <v>2</v>
      </c>
      <c r="B3" s="31">
        <v>334.2</v>
      </c>
      <c r="C3" s="31">
        <v>321.3</v>
      </c>
      <c r="D3" s="32">
        <f>((B3-C3)/2)</f>
        <v>6.4499999999999886</v>
      </c>
      <c r="E3" s="35">
        <v>388</v>
      </c>
      <c r="F3" s="31">
        <v>379.9</v>
      </c>
      <c r="G3" s="32">
        <f>((E3-F3)/2)</f>
        <v>4.0500000000000114</v>
      </c>
      <c r="H3" s="35">
        <v>376.4</v>
      </c>
      <c r="I3" s="31">
        <v>358.2</v>
      </c>
      <c r="J3" s="32">
        <f>((H3-I3)/3)</f>
        <v>6.0666666666666629</v>
      </c>
      <c r="K3" s="35">
        <v>363.4</v>
      </c>
      <c r="L3" s="31">
        <v>349.4</v>
      </c>
      <c r="M3" s="32">
        <f>((K3-L3)/3)</f>
        <v>4.666666666666667</v>
      </c>
    </row>
    <row r="4" spans="1:14">
      <c r="A4" t="s">
        <v>98</v>
      </c>
      <c r="D4">
        <f>AVERAGE(D2:D3)</f>
        <v>8.3125</v>
      </c>
      <c r="G4">
        <f>AVERAGE(G2:G3)</f>
        <v>3.9875000000000043</v>
      </c>
      <c r="J4">
        <f>AVERAGE(J2:J3)</f>
        <v>6.1999999999999975</v>
      </c>
      <c r="M4">
        <f>AVERAGE(M2:M3)</f>
        <v>4.8833333333333355</v>
      </c>
    </row>
    <row r="5" spans="1:14">
      <c r="A5" t="s">
        <v>99</v>
      </c>
      <c r="D5">
        <f>STDEV(D2:D3)</f>
        <v>2.6339727599199017</v>
      </c>
      <c r="G5">
        <f>STDEV(G2:G3)</f>
        <v>8.8388347648328494E-2</v>
      </c>
      <c r="J5">
        <f>STDEV(J2:J3)</f>
        <v>0.18856180831641514</v>
      </c>
      <c r="M5">
        <f>STDEV(M2:M3)</f>
        <v>0.30641293851417328</v>
      </c>
    </row>
    <row r="6" spans="1:14">
      <c r="A6" t="s">
        <v>41</v>
      </c>
      <c r="D6">
        <f>D5/(SQRT(2))</f>
        <v>1.8625000000000085</v>
      </c>
      <c r="G6">
        <f>G5/(SQRT(2))</f>
        <v>6.2500000000007105E-2</v>
      </c>
      <c r="J6">
        <f>J5/(SQRT(2))</f>
        <v>0.13333333333333508</v>
      </c>
      <c r="M6">
        <f>M5/(SQRT(2))</f>
        <v>0.21666666666666856</v>
      </c>
    </row>
    <row r="8" spans="1:14">
      <c r="A8" s="33" t="s">
        <v>52</v>
      </c>
      <c r="B8" s="29" t="s">
        <v>90</v>
      </c>
      <c r="C8" s="29" t="s">
        <v>87</v>
      </c>
      <c r="D8" s="30" t="s">
        <v>89</v>
      </c>
      <c r="E8" s="34" t="s">
        <v>91</v>
      </c>
      <c r="F8" s="29" t="s">
        <v>86</v>
      </c>
      <c r="G8" s="30" t="s">
        <v>88</v>
      </c>
      <c r="H8" s="34" t="s">
        <v>93</v>
      </c>
      <c r="I8" s="29" t="s">
        <v>94</v>
      </c>
      <c r="J8" s="30" t="s">
        <v>92</v>
      </c>
      <c r="K8" s="34" t="s">
        <v>95</v>
      </c>
      <c r="L8" s="29" t="s">
        <v>96</v>
      </c>
      <c r="M8" s="30" t="s">
        <v>97</v>
      </c>
      <c r="N8" s="36" t="s">
        <v>104</v>
      </c>
    </row>
    <row r="9" spans="1:14">
      <c r="A9" s="32">
        <v>1</v>
      </c>
      <c r="B9" s="31">
        <v>312.89999999999998</v>
      </c>
      <c r="C9" s="31">
        <v>250.7</v>
      </c>
      <c r="D9" s="32">
        <f>((B9-C9)/4)</f>
        <v>15.549999999999997</v>
      </c>
      <c r="E9" s="31">
        <v>392.3</v>
      </c>
      <c r="F9" s="31">
        <v>268.89999999999998</v>
      </c>
      <c r="G9" s="32">
        <f>((E9-F9)/4)</f>
        <v>30.850000000000009</v>
      </c>
      <c r="H9" s="31">
        <v>390.4</v>
      </c>
      <c r="I9" s="31">
        <v>349.9</v>
      </c>
      <c r="J9" s="32">
        <f>((H9-I9)/3)</f>
        <v>13.5</v>
      </c>
      <c r="K9" s="31">
        <v>371.7</v>
      </c>
      <c r="L9" s="31">
        <v>324.2</v>
      </c>
      <c r="M9" s="32">
        <f>((K9-L9)/3)</f>
        <v>15.833333333333334</v>
      </c>
      <c r="N9" t="s">
        <v>60</v>
      </c>
    </row>
    <row r="10" spans="1:14">
      <c r="A10" s="32">
        <v>2</v>
      </c>
      <c r="B10" s="31">
        <v>321.3</v>
      </c>
      <c r="C10" s="31">
        <v>296.10000000000002</v>
      </c>
      <c r="D10" s="32">
        <f>((B10-C10)/2)</f>
        <v>12.599999999999994</v>
      </c>
      <c r="E10" s="31">
        <v>379.9</v>
      </c>
      <c r="F10" s="31">
        <v>343.9</v>
      </c>
      <c r="G10" s="32">
        <f>((E10-F10)/2)</f>
        <v>18</v>
      </c>
      <c r="H10" s="31">
        <v>358.2</v>
      </c>
      <c r="I10" s="31">
        <v>308.89999999999998</v>
      </c>
      <c r="J10" s="32">
        <f>((H10-I10)/3)</f>
        <v>16.433333333333337</v>
      </c>
      <c r="K10" s="31">
        <v>349.4</v>
      </c>
      <c r="L10" s="31">
        <v>315.10000000000002</v>
      </c>
      <c r="M10" s="32">
        <f>((K10-L10)/3)</f>
        <v>11.433333333333318</v>
      </c>
    </row>
    <row r="11" spans="1:14">
      <c r="A11" t="s">
        <v>98</v>
      </c>
      <c r="D11">
        <f>AVERAGE(D9:D10)</f>
        <v>14.074999999999996</v>
      </c>
      <c r="G11">
        <f>AVERAGE(G9:G10)</f>
        <v>24.425000000000004</v>
      </c>
      <c r="J11">
        <f>AVERAGE(J9:J10)</f>
        <v>14.966666666666669</v>
      </c>
      <c r="M11">
        <f>AVERAGE(M9:M10)</f>
        <v>13.633333333333326</v>
      </c>
    </row>
    <row r="12" spans="1:14">
      <c r="A12" t="s">
        <v>99</v>
      </c>
      <c r="D12">
        <f>STDEV(D9:D10)</f>
        <v>2.0859650045003137</v>
      </c>
      <c r="G12">
        <f>STDEV(G9:G10)</f>
        <v>9.0863221382471462</v>
      </c>
      <c r="J12">
        <f>STDEV(J9:J10)</f>
        <v>2.0741798914805418</v>
      </c>
      <c r="M12">
        <f>STDEV(M9:M10)</f>
        <v>3.1112698372208194</v>
      </c>
    </row>
    <row r="13" spans="1:14">
      <c r="A13" t="s">
        <v>41</v>
      </c>
      <c r="D13">
        <f>D12/(SQRT(2))</f>
        <v>1.474999999999999</v>
      </c>
      <c r="G13">
        <f>G12/(SQRT(2))</f>
        <v>6.4250000000000069</v>
      </c>
      <c r="J13">
        <f>J12/(SQRT(2))</f>
        <v>1.4666666666666683</v>
      </c>
      <c r="M13">
        <f>M12/(SQRT(2))</f>
        <v>2.2000000000000073</v>
      </c>
    </row>
    <row r="15" spans="1:14">
      <c r="A15" s="33" t="s">
        <v>55</v>
      </c>
      <c r="B15" s="29" t="s">
        <v>90</v>
      </c>
      <c r="C15" s="29" t="s">
        <v>87</v>
      </c>
      <c r="D15" s="30" t="s">
        <v>89</v>
      </c>
      <c r="E15" s="34" t="s">
        <v>91</v>
      </c>
      <c r="F15" s="29" t="s">
        <v>86</v>
      </c>
      <c r="G15" s="30" t="s">
        <v>88</v>
      </c>
      <c r="H15" s="34" t="s">
        <v>93</v>
      </c>
      <c r="I15" s="29" t="s">
        <v>94</v>
      </c>
      <c r="J15" s="30" t="s">
        <v>92</v>
      </c>
      <c r="K15" s="34" t="s">
        <v>95</v>
      </c>
      <c r="L15" s="29" t="s">
        <v>96</v>
      </c>
      <c r="M15" s="30" t="s">
        <v>97</v>
      </c>
      <c r="N15" s="36" t="s">
        <v>105</v>
      </c>
    </row>
    <row r="16" spans="1:14">
      <c r="A16" s="32">
        <v>1</v>
      </c>
      <c r="B16" s="31">
        <v>562</v>
      </c>
      <c r="C16" s="24">
        <v>458.5</v>
      </c>
      <c r="D16" s="32">
        <f>((B16-C16)/4)</f>
        <v>25.875</v>
      </c>
      <c r="E16">
        <v>504.5</v>
      </c>
      <c r="F16" s="31">
        <v>448</v>
      </c>
      <c r="G16" s="32">
        <f>((E16-F16)/4)</f>
        <v>14.125</v>
      </c>
      <c r="H16">
        <v>515.29999999999995</v>
      </c>
      <c r="I16" s="31">
        <v>448</v>
      </c>
      <c r="J16" s="32">
        <f>((H16-I16)/3)</f>
        <v>22.433333333333319</v>
      </c>
      <c r="K16" s="31">
        <v>539.79999999999995</v>
      </c>
      <c r="L16" s="31">
        <v>445.3</v>
      </c>
      <c r="M16" s="32">
        <f>((K16-L16)/3)</f>
        <v>31.499999999999982</v>
      </c>
      <c r="N16" t="s">
        <v>58</v>
      </c>
    </row>
    <row r="17" spans="1:14">
      <c r="A17" s="32">
        <v>2</v>
      </c>
      <c r="B17" s="31">
        <v>520.6</v>
      </c>
      <c r="C17" s="24">
        <v>475.4</v>
      </c>
      <c r="D17" s="32">
        <f>((B17-C17)/2)</f>
        <v>22.600000000000023</v>
      </c>
      <c r="E17">
        <v>556.9</v>
      </c>
      <c r="F17" s="31">
        <v>506.7</v>
      </c>
      <c r="G17" s="32">
        <f>((E17-F17)/2)</f>
        <v>25.099999999999994</v>
      </c>
      <c r="H17">
        <v>562.4</v>
      </c>
      <c r="I17" s="31">
        <v>506.7</v>
      </c>
      <c r="J17" s="32">
        <f>((H17-I17)/3)</f>
        <v>18.566666666666663</v>
      </c>
      <c r="K17" s="31">
        <v>522.79999999999995</v>
      </c>
      <c r="L17" s="31">
        <v>458.7</v>
      </c>
      <c r="M17" s="32">
        <f>((K17-L17)/3)</f>
        <v>21.366666666666656</v>
      </c>
    </row>
    <row r="18" spans="1:14">
      <c r="A18" t="s">
        <v>98</v>
      </c>
      <c r="D18">
        <f>AVERAGE(D16:D17)</f>
        <v>24.237500000000011</v>
      </c>
      <c r="G18">
        <f>AVERAGE(G16:G17)</f>
        <v>19.612499999999997</v>
      </c>
      <c r="J18">
        <f>AVERAGE(J16:J17)</f>
        <v>20.499999999999993</v>
      </c>
      <c r="M18">
        <f>AVERAGE(M16:M17)</f>
        <v>26.433333333333319</v>
      </c>
    </row>
    <row r="19" spans="1:14">
      <c r="A19" t="s">
        <v>99</v>
      </c>
      <c r="D19">
        <f>STDEV(D16:D17)</f>
        <v>2.315774708385927</v>
      </c>
      <c r="G19">
        <f>STDEV(G16:G17)</f>
        <v>7.7604969235223571</v>
      </c>
      <c r="J19">
        <f>STDEV(J16:J17)</f>
        <v>2.7341462205879767</v>
      </c>
      <c r="M19">
        <f>STDEV(M16:M17)</f>
        <v>7.1653487160236704</v>
      </c>
    </row>
    <row r="20" spans="1:14">
      <c r="A20" t="s">
        <v>41</v>
      </c>
      <c r="D20">
        <f>D19/(SQRT(2))</f>
        <v>1.6374999999999884</v>
      </c>
      <c r="G20">
        <f>G19/(SQRT(2))</f>
        <v>5.487499999999998</v>
      </c>
      <c r="J20">
        <f>J19/(SQRT(2))</f>
        <v>1.9333333333333282</v>
      </c>
      <c r="M20">
        <f>M19/(SQRT(2))</f>
        <v>5.0666666666666584</v>
      </c>
    </row>
    <row r="22" spans="1:14">
      <c r="A22" s="33" t="s">
        <v>57</v>
      </c>
      <c r="B22" s="29" t="s">
        <v>90</v>
      </c>
      <c r="C22" s="29" t="s">
        <v>87</v>
      </c>
      <c r="D22" s="30" t="s">
        <v>89</v>
      </c>
      <c r="E22" s="34" t="s">
        <v>91</v>
      </c>
      <c r="F22" s="29" t="s">
        <v>86</v>
      </c>
      <c r="G22" s="30" t="s">
        <v>88</v>
      </c>
      <c r="H22" s="34" t="s">
        <v>93</v>
      </c>
      <c r="I22" s="29" t="s">
        <v>94</v>
      </c>
      <c r="J22" s="30" t="s">
        <v>92</v>
      </c>
      <c r="K22" s="34" t="s">
        <v>95</v>
      </c>
      <c r="L22" s="29" t="s">
        <v>96</v>
      </c>
      <c r="M22" s="30" t="s">
        <v>97</v>
      </c>
      <c r="N22" s="36" t="s">
        <v>106</v>
      </c>
    </row>
    <row r="23" spans="1:14">
      <c r="A23" s="32">
        <v>1</v>
      </c>
      <c r="B23" s="24">
        <v>458.5</v>
      </c>
      <c r="C23" s="24">
        <v>234.5</v>
      </c>
      <c r="D23" s="32">
        <f>((B23-C23)/4)</f>
        <v>56</v>
      </c>
      <c r="E23" s="31">
        <v>448</v>
      </c>
      <c r="F23" s="31">
        <v>187.5</v>
      </c>
      <c r="G23" s="32">
        <f>((E23-F23)/4)</f>
        <v>65.125</v>
      </c>
      <c r="H23" s="31">
        <v>448</v>
      </c>
      <c r="I23" s="31">
        <v>399.2</v>
      </c>
      <c r="J23" s="32">
        <f>((H23-I23)/3)</f>
        <v>16.266666666666669</v>
      </c>
      <c r="K23" s="31">
        <v>445.3</v>
      </c>
      <c r="L23" s="31">
        <v>385.2</v>
      </c>
      <c r="M23" s="32">
        <f>((K23-L23)/3)</f>
        <v>20.033333333333342</v>
      </c>
      <c r="N23" t="s">
        <v>60</v>
      </c>
    </row>
    <row r="24" spans="1:14">
      <c r="A24" s="32">
        <v>2</v>
      </c>
      <c r="B24" s="24">
        <v>475.4</v>
      </c>
      <c r="C24" s="24">
        <v>450.5</v>
      </c>
      <c r="D24" s="32">
        <f>((B24-C24)/2)</f>
        <v>12.449999999999989</v>
      </c>
      <c r="E24" s="31">
        <v>506.7</v>
      </c>
      <c r="F24" s="31">
        <v>459.8</v>
      </c>
      <c r="G24" s="32">
        <f>((E24-F24)/2)</f>
        <v>23.449999999999989</v>
      </c>
      <c r="H24" s="31">
        <v>506.7</v>
      </c>
      <c r="I24" s="31">
        <v>460.1</v>
      </c>
      <c r="J24" s="32">
        <f>((H24-I24)/3)</f>
        <v>15.533333333333323</v>
      </c>
      <c r="K24" s="31">
        <v>458.7</v>
      </c>
      <c r="L24" s="31">
        <v>422.4</v>
      </c>
      <c r="M24" s="32">
        <f>((K24-L24)/3)</f>
        <v>12.100000000000003</v>
      </c>
      <c r="N24" s="40" t="s">
        <v>107</v>
      </c>
    </row>
    <row r="25" spans="1:14">
      <c r="A25" t="s">
        <v>98</v>
      </c>
      <c r="D25">
        <f>AVERAGE(D23:D24)</f>
        <v>34.224999999999994</v>
      </c>
      <c r="G25">
        <f>AVERAGE(G23:G24)</f>
        <v>44.287499999999994</v>
      </c>
      <c r="J25">
        <f>AVERAGE(J23:J24)</f>
        <v>15.899999999999995</v>
      </c>
      <c r="M25">
        <f>AVERAGE(M23:M24)</f>
        <v>16.066666666666674</v>
      </c>
      <c r="N25" t="s">
        <v>108</v>
      </c>
    </row>
    <row r="26" spans="1:14">
      <c r="A26" t="s">
        <v>99</v>
      </c>
      <c r="D26">
        <f>STDEV(D23:D24)</f>
        <v>30.794500320674153</v>
      </c>
      <c r="G26">
        <f>STDEV(G23:G24)</f>
        <v>29.468675105949377</v>
      </c>
      <c r="J26">
        <f>STDEV(J23:J24)</f>
        <v>0.51854497287014434</v>
      </c>
      <c r="M26">
        <f>STDEV(M23:M24)</f>
        <v>5.6097137974132725</v>
      </c>
    </row>
    <row r="27" spans="1:14">
      <c r="A27" t="s">
        <v>41</v>
      </c>
      <c r="D27">
        <f>D26/(SQRT(2))</f>
        <v>21.775000000000006</v>
      </c>
      <c r="G27">
        <f>G26/(SQRT(2))</f>
        <v>20.837500000000006</v>
      </c>
      <c r="J27">
        <f>J26/(SQRT(2))</f>
        <v>0.36666666666667336</v>
      </c>
      <c r="M27">
        <f>M26/(SQRT(2))</f>
        <v>3.9666666666666632</v>
      </c>
    </row>
    <row r="28" spans="1:14">
      <c r="A28" s="25"/>
      <c r="B28" s="25"/>
      <c r="C28" s="25"/>
      <c r="D28" s="25"/>
    </row>
    <row r="29" spans="1:14">
      <c r="A29" s="33" t="s">
        <v>59</v>
      </c>
      <c r="B29" s="29" t="s">
        <v>90</v>
      </c>
      <c r="C29" s="29" t="s">
        <v>87</v>
      </c>
      <c r="D29" s="30" t="s">
        <v>89</v>
      </c>
      <c r="E29" s="34" t="s">
        <v>91</v>
      </c>
      <c r="F29" s="29" t="s">
        <v>86</v>
      </c>
      <c r="G29" s="30" t="s">
        <v>88</v>
      </c>
      <c r="H29" s="34" t="s">
        <v>93</v>
      </c>
      <c r="I29" s="29" t="s">
        <v>94</v>
      </c>
      <c r="J29" s="30" t="s">
        <v>92</v>
      </c>
      <c r="K29" s="34" t="s">
        <v>95</v>
      </c>
      <c r="L29" s="29" t="s">
        <v>96</v>
      </c>
      <c r="M29" s="30" t="s">
        <v>97</v>
      </c>
      <c r="N29" s="36" t="s">
        <v>109</v>
      </c>
    </row>
    <row r="30" spans="1:14">
      <c r="A30" s="32">
        <v>1</v>
      </c>
      <c r="B30" s="24">
        <v>484</v>
      </c>
      <c r="C30" s="31">
        <v>407.9</v>
      </c>
      <c r="D30" s="32">
        <f>((B30-C30)/4)</f>
        <v>19.025000000000006</v>
      </c>
      <c r="E30" s="31">
        <v>448.7</v>
      </c>
      <c r="F30" s="31">
        <v>242.9</v>
      </c>
      <c r="G30" s="32">
        <f>((E30-F30)/4)</f>
        <v>51.449999999999996</v>
      </c>
      <c r="H30" s="31">
        <v>399.2</v>
      </c>
      <c r="I30" s="31">
        <v>349.5</v>
      </c>
      <c r="J30" s="32">
        <f>((H30-I30)/3)</f>
        <v>16.566666666666663</v>
      </c>
      <c r="K30" s="31">
        <v>385.2</v>
      </c>
      <c r="L30" s="24">
        <v>300.5</v>
      </c>
      <c r="M30" s="32">
        <f>((K30-L30)/3)</f>
        <v>28.233333333333331</v>
      </c>
      <c r="N30" t="s">
        <v>60</v>
      </c>
    </row>
    <row r="31" spans="1:14">
      <c r="A31" s="32">
        <v>2</v>
      </c>
      <c r="B31" s="24">
        <v>450.5</v>
      </c>
      <c r="C31" s="31">
        <v>418.9</v>
      </c>
      <c r="D31" s="32">
        <f>((B31-C31)/2)</f>
        <v>15.800000000000011</v>
      </c>
      <c r="E31" s="31">
        <v>459.8</v>
      </c>
      <c r="F31" s="31">
        <v>426.1</v>
      </c>
      <c r="G31" s="32">
        <f>((E31-F31)/2)</f>
        <v>16.849999999999994</v>
      </c>
      <c r="H31" s="31">
        <v>460.1</v>
      </c>
      <c r="I31" s="31">
        <v>408.9</v>
      </c>
      <c r="J31" s="32">
        <f>((H31-I31)/3)</f>
        <v>17.066666666666681</v>
      </c>
      <c r="K31" s="31">
        <v>422.4</v>
      </c>
      <c r="L31" s="24">
        <v>377.5</v>
      </c>
      <c r="M31" s="32">
        <f>((K31-L31)/3)</f>
        <v>14.96666666666666</v>
      </c>
      <c r="N31" s="40" t="s">
        <v>110</v>
      </c>
    </row>
    <row r="32" spans="1:14">
      <c r="A32" t="s">
        <v>98</v>
      </c>
      <c r="D32">
        <f>AVERAGE(D30:D31)</f>
        <v>17.412500000000009</v>
      </c>
      <c r="G32">
        <f>AVERAGE(G30:G31)</f>
        <v>34.149999999999991</v>
      </c>
      <c r="J32">
        <f>AVERAGE(J30:J31)</f>
        <v>16.81666666666667</v>
      </c>
      <c r="M32">
        <f>AVERAGE(M30:M31)</f>
        <v>21.599999999999994</v>
      </c>
      <c r="N32" t="s">
        <v>108</v>
      </c>
    </row>
    <row r="33" spans="1:14">
      <c r="A33" t="s">
        <v>99</v>
      </c>
      <c r="D33">
        <f>STDEV(D30:D31)</f>
        <v>2.2804193693266117</v>
      </c>
      <c r="G33">
        <f>STDEV(G30:G31)</f>
        <v>24.465894629054553</v>
      </c>
      <c r="J33">
        <f>STDEV(J30:J31)</f>
        <v>0.35355339059328633</v>
      </c>
      <c r="M33">
        <f>STDEV(M30:M31)</f>
        <v>9.3809499637415321</v>
      </c>
    </row>
    <row r="34" spans="1:14">
      <c r="A34" t="s">
        <v>41</v>
      </c>
      <c r="D34">
        <f>D33/(SQRT(2))</f>
        <v>1.6124999999999969</v>
      </c>
      <c r="G34">
        <f>G33/(SQRT(2))</f>
        <v>17.300000000000004</v>
      </c>
      <c r="J34">
        <f>J33/(SQRT(2))</f>
        <v>0.25000000000000888</v>
      </c>
      <c r="M34">
        <f>M33/(SQRT(2))</f>
        <v>6.6333333333333337</v>
      </c>
    </row>
    <row r="35" spans="1:14">
      <c r="A35" s="25"/>
      <c r="B35" s="25"/>
      <c r="C35" s="25"/>
      <c r="D35" s="25"/>
    </row>
    <row r="36" spans="1:14">
      <c r="A36" s="33" t="s">
        <v>61</v>
      </c>
      <c r="B36" s="29" t="s">
        <v>90</v>
      </c>
      <c r="C36" s="29" t="s">
        <v>87</v>
      </c>
      <c r="D36" s="30" t="s">
        <v>89</v>
      </c>
      <c r="E36" s="34" t="s">
        <v>91</v>
      </c>
      <c r="F36" s="29" t="s">
        <v>86</v>
      </c>
      <c r="G36" s="30" t="s">
        <v>88</v>
      </c>
      <c r="H36" s="34" t="s">
        <v>93</v>
      </c>
      <c r="I36" s="29" t="s">
        <v>94</v>
      </c>
      <c r="J36" s="30" t="s">
        <v>92</v>
      </c>
      <c r="K36" s="34" t="s">
        <v>95</v>
      </c>
      <c r="L36" s="29" t="s">
        <v>96</v>
      </c>
      <c r="M36" s="30" t="s">
        <v>97</v>
      </c>
      <c r="N36" s="36" t="s">
        <v>111</v>
      </c>
    </row>
    <row r="37" spans="1:14">
      <c r="A37" s="32">
        <v>1</v>
      </c>
      <c r="B37" s="31">
        <v>407.9</v>
      </c>
      <c r="C37" s="31">
        <v>335.9</v>
      </c>
      <c r="D37" s="32">
        <f>((B37-C37)/4)</f>
        <v>18</v>
      </c>
      <c r="E37" s="31">
        <v>242.9</v>
      </c>
      <c r="F37" s="31">
        <v>371.7</v>
      </c>
      <c r="G37" s="32">
        <f>((E37-F37)/4)</f>
        <v>-32.199999999999996</v>
      </c>
      <c r="H37" s="31">
        <v>349.5</v>
      </c>
      <c r="I37" s="31">
        <v>296.10000000000002</v>
      </c>
      <c r="J37" s="32">
        <f>((H37-I37)/3)</f>
        <v>17.799999999999994</v>
      </c>
      <c r="K37" s="24">
        <v>300.5</v>
      </c>
      <c r="L37" s="24">
        <v>248.7</v>
      </c>
      <c r="M37" s="32">
        <f>((K37-L37)/3)</f>
        <v>17.266666666666669</v>
      </c>
      <c r="N37" t="s">
        <v>60</v>
      </c>
    </row>
    <row r="38" spans="1:14">
      <c r="A38" s="32">
        <v>2</v>
      </c>
      <c r="B38" s="31">
        <v>418.9</v>
      </c>
      <c r="C38" s="31">
        <v>387.1</v>
      </c>
      <c r="D38" s="32">
        <f>((B38-C38)/2)</f>
        <v>15.899999999999977</v>
      </c>
      <c r="E38" s="31">
        <v>426.1</v>
      </c>
      <c r="F38" s="31">
        <v>192.6</v>
      </c>
      <c r="G38" s="32">
        <f>((E38-F38)/2)</f>
        <v>116.75000000000001</v>
      </c>
      <c r="H38" s="31">
        <v>408.9</v>
      </c>
      <c r="I38" s="31">
        <v>357.4</v>
      </c>
      <c r="J38" s="32">
        <f>((H38-I38)/3)</f>
        <v>17.166666666666668</v>
      </c>
      <c r="K38" s="24">
        <v>377.5</v>
      </c>
      <c r="L38" s="24">
        <v>281.5</v>
      </c>
      <c r="M38" s="32">
        <f>((K38-L38)/3)</f>
        <v>32</v>
      </c>
      <c r="N38" s="40" t="s">
        <v>110</v>
      </c>
    </row>
    <row r="39" spans="1:14">
      <c r="A39" t="s">
        <v>98</v>
      </c>
      <c r="D39">
        <f>AVERAGE(D37:D38)</f>
        <v>16.949999999999989</v>
      </c>
      <c r="G39">
        <f>AVERAGE(G37:G38)</f>
        <v>42.275000000000006</v>
      </c>
      <c r="J39">
        <f>AVERAGE(J37:J38)</f>
        <v>17.483333333333331</v>
      </c>
      <c r="M39">
        <f>AVERAGE(M37:M38)</f>
        <v>24.633333333333333</v>
      </c>
      <c r="N39" t="s">
        <v>108</v>
      </c>
    </row>
    <row r="40" spans="1:14">
      <c r="A40" t="s">
        <v>99</v>
      </c>
      <c r="D40">
        <f>STDEV(D37:D38)</f>
        <v>1.4849242404917657</v>
      </c>
      <c r="G40">
        <f>STDEV(G37:G38)</f>
        <v>105.32355505773626</v>
      </c>
      <c r="J40">
        <f>STDEV(J37:J38)</f>
        <v>0.44783429475147474</v>
      </c>
      <c r="M40">
        <f>STDEV(M37:M38)</f>
        <v>10.418039909481806</v>
      </c>
      <c r="N40" t="s">
        <v>112</v>
      </c>
    </row>
    <row r="41" spans="1:14">
      <c r="A41" t="s">
        <v>41</v>
      </c>
      <c r="D41">
        <f>D40/(SQRT(2))</f>
        <v>1.0500000000000111</v>
      </c>
      <c r="G41">
        <f>G40/(SQRT(2))</f>
        <v>74.474999999999994</v>
      </c>
      <c r="J41">
        <f>J40/(SQRT(2))</f>
        <v>0.31666666666666288</v>
      </c>
      <c r="M41">
        <f>M40/(SQRT(2))</f>
        <v>7.3666666666666698</v>
      </c>
    </row>
    <row r="43" spans="1:14">
      <c r="A43" s="33" t="s">
        <v>62</v>
      </c>
      <c r="B43" s="29" t="s">
        <v>90</v>
      </c>
      <c r="C43" s="29" t="s">
        <v>87</v>
      </c>
      <c r="D43" s="30" t="s">
        <v>89</v>
      </c>
      <c r="E43" s="34" t="s">
        <v>91</v>
      </c>
      <c r="F43" s="29" t="s">
        <v>86</v>
      </c>
      <c r="G43" s="30" t="s">
        <v>88</v>
      </c>
      <c r="H43" s="34" t="s">
        <v>93</v>
      </c>
      <c r="I43" s="29" t="s">
        <v>94</v>
      </c>
      <c r="J43" s="30" t="s">
        <v>92</v>
      </c>
      <c r="K43" s="34" t="s">
        <v>95</v>
      </c>
      <c r="L43" s="29" t="s">
        <v>96</v>
      </c>
      <c r="M43" s="30" t="s">
        <v>97</v>
      </c>
      <c r="N43" s="36" t="s">
        <v>113</v>
      </c>
    </row>
    <row r="44" spans="1:14">
      <c r="A44" s="32">
        <v>1</v>
      </c>
      <c r="B44" s="31">
        <v>335.9</v>
      </c>
      <c r="C44" s="31">
        <v>270</v>
      </c>
      <c r="D44" s="32">
        <f>((B44-C44)/4)</f>
        <v>16.474999999999994</v>
      </c>
      <c r="E44" s="31">
        <v>371.7</v>
      </c>
      <c r="F44" s="31">
        <v>227.6</v>
      </c>
      <c r="G44" s="32">
        <f>((E44-F44)/4)</f>
        <v>36.024999999999999</v>
      </c>
      <c r="H44" s="31">
        <v>296.10000000000002</v>
      </c>
      <c r="I44" s="31">
        <v>241.3</v>
      </c>
      <c r="J44" s="32">
        <f>((H44-I44)/3)</f>
        <v>18.266666666666669</v>
      </c>
      <c r="K44" s="24">
        <v>248.7</v>
      </c>
      <c r="L44" s="24">
        <v>202.6</v>
      </c>
      <c r="M44" s="32">
        <f>((K44-L44)/3)</f>
        <v>15.366666666666665</v>
      </c>
      <c r="N44" t="s">
        <v>60</v>
      </c>
    </row>
    <row r="45" spans="1:14">
      <c r="A45" s="32">
        <v>2</v>
      </c>
      <c r="B45" s="31">
        <v>387.1</v>
      </c>
      <c r="C45" s="31">
        <v>352</v>
      </c>
      <c r="D45" s="32">
        <f>((B45-C45)/2)</f>
        <v>17.550000000000011</v>
      </c>
      <c r="E45" s="31">
        <v>192.6</v>
      </c>
      <c r="F45" s="31">
        <v>364.7</v>
      </c>
      <c r="G45" s="32">
        <f>((E45-F45)/2)</f>
        <v>-86.05</v>
      </c>
      <c r="H45" s="31">
        <v>357.4</v>
      </c>
      <c r="I45" s="31">
        <v>301.39999999999998</v>
      </c>
      <c r="J45" s="32">
        <f>((H45-I45)/3)</f>
        <v>18.666666666666668</v>
      </c>
      <c r="K45" s="24">
        <v>281.5</v>
      </c>
      <c r="L45" s="24">
        <v>217.8</v>
      </c>
      <c r="M45" s="32">
        <f>((K45-L45)/3)</f>
        <v>21.233333333333331</v>
      </c>
      <c r="N45" s="40" t="s">
        <v>114</v>
      </c>
    </row>
    <row r="46" spans="1:14">
      <c r="A46" t="s">
        <v>98</v>
      </c>
      <c r="D46">
        <f>AVERAGE(D44:D45)</f>
        <v>17.012500000000003</v>
      </c>
      <c r="G46">
        <f>AVERAGE(G44:G45)</f>
        <v>-25.012499999999999</v>
      </c>
      <c r="J46">
        <f>AVERAGE(J44:J45)</f>
        <v>18.466666666666669</v>
      </c>
      <c r="M46">
        <f>AVERAGE(M44:M45)</f>
        <v>18.299999999999997</v>
      </c>
      <c r="N46" t="s">
        <v>112</v>
      </c>
    </row>
    <row r="47" spans="1:14">
      <c r="A47" t="s">
        <v>99</v>
      </c>
      <c r="D47">
        <f>STDEV(D44:D45)</f>
        <v>0.76013978977555063</v>
      </c>
      <c r="G47">
        <f>STDEV(G44:G45)</f>
        <v>86.320060313347795</v>
      </c>
      <c r="J47">
        <f>STDEV(J44:J45)</f>
        <v>0.28284271247461801</v>
      </c>
      <c r="M47">
        <f>STDEV(M44:M45)</f>
        <v>4.1483597829610881</v>
      </c>
    </row>
    <row r="48" spans="1:14">
      <c r="A48" t="s">
        <v>41</v>
      </c>
      <c r="D48">
        <f>D47/(SQRT(2))</f>
        <v>0.53750000000000853</v>
      </c>
      <c r="G48">
        <f>G47/(SQRT(2))</f>
        <v>61.037500000000001</v>
      </c>
      <c r="J48">
        <f>J47/(SQRT(2))</f>
        <v>0.19999999999999929</v>
      </c>
      <c r="M48">
        <f>M47/(SQRT(2))</f>
        <v>2.9333333333333398</v>
      </c>
    </row>
    <row r="50" spans="1:14">
      <c r="A50" s="33" t="s">
        <v>63</v>
      </c>
      <c r="B50" s="29" t="s">
        <v>90</v>
      </c>
      <c r="C50" s="29" t="s">
        <v>87</v>
      </c>
      <c r="D50" s="30" t="s">
        <v>89</v>
      </c>
      <c r="E50" s="34" t="s">
        <v>91</v>
      </c>
      <c r="F50" s="29" t="s">
        <v>86</v>
      </c>
      <c r="G50" s="30" t="s">
        <v>88</v>
      </c>
      <c r="H50" s="34" t="s">
        <v>93</v>
      </c>
      <c r="I50" s="29" t="s">
        <v>94</v>
      </c>
      <c r="J50" s="30" t="s">
        <v>92</v>
      </c>
      <c r="K50" s="34" t="s">
        <v>95</v>
      </c>
      <c r="L50" s="29" t="s">
        <v>96</v>
      </c>
      <c r="M50" s="30" t="s">
        <v>97</v>
      </c>
      <c r="N50" s="36" t="s">
        <v>115</v>
      </c>
    </row>
    <row r="51" spans="1:14">
      <c r="A51" s="32">
        <v>1</v>
      </c>
      <c r="B51" s="31">
        <v>270</v>
      </c>
      <c r="C51" s="31">
        <v>182.9</v>
      </c>
      <c r="D51" s="32">
        <f>((B51-C51)/4)</f>
        <v>21.774999999999999</v>
      </c>
      <c r="E51" s="31">
        <v>227.6</v>
      </c>
      <c r="F51" s="31">
        <v>143.19999999999999</v>
      </c>
      <c r="G51" s="32">
        <f>((E51-F51)/4)</f>
        <v>21.1</v>
      </c>
      <c r="H51" s="31">
        <v>241.3</v>
      </c>
      <c r="I51" s="31">
        <v>160.4</v>
      </c>
      <c r="J51" s="32">
        <f>((H51-I51)/3)</f>
        <v>26.966666666666669</v>
      </c>
      <c r="K51" s="24">
        <v>202.6</v>
      </c>
      <c r="L51" s="24">
        <v>143.19999999999999</v>
      </c>
      <c r="M51" s="32">
        <f>((K51-L51)/3)</f>
        <v>19.8</v>
      </c>
      <c r="N51" t="s">
        <v>58</v>
      </c>
    </row>
    <row r="52" spans="1:14">
      <c r="A52" s="32">
        <v>2</v>
      </c>
      <c r="B52" s="31">
        <v>352</v>
      </c>
      <c r="C52" s="31">
        <v>308.3</v>
      </c>
      <c r="D52" s="32">
        <f>((B52-C52)/2)</f>
        <v>21.849999999999994</v>
      </c>
      <c r="E52" s="31">
        <v>364.7</v>
      </c>
      <c r="F52" s="31">
        <v>324.5</v>
      </c>
      <c r="G52" s="32">
        <f>((E52-F52)/2)</f>
        <v>20.099999999999994</v>
      </c>
      <c r="H52" s="31">
        <v>301.39999999999998</v>
      </c>
      <c r="I52" s="31">
        <v>220</v>
      </c>
      <c r="J52" s="32">
        <f>((H52-I52)/3)</f>
        <v>27.133333333333326</v>
      </c>
      <c r="K52" s="24">
        <v>217.8</v>
      </c>
      <c r="L52" s="24">
        <v>146</v>
      </c>
      <c r="M52" s="32">
        <f>((K52-L52)/3)</f>
        <v>23.933333333333337</v>
      </c>
      <c r="N52" s="40"/>
    </row>
    <row r="53" spans="1:14">
      <c r="A53" t="s">
        <v>98</v>
      </c>
      <c r="D53">
        <f>AVERAGE(D51:D52)</f>
        <v>21.812499999999996</v>
      </c>
      <c r="G53">
        <f>AVERAGE(G51:G52)</f>
        <v>20.599999999999998</v>
      </c>
      <c r="J53">
        <f>AVERAGE(J51:J52)</f>
        <v>27.049999999999997</v>
      </c>
      <c r="M53">
        <f>AVERAGE(M51:M52)</f>
        <v>21.866666666666667</v>
      </c>
    </row>
    <row r="54" spans="1:14">
      <c r="A54" t="s">
        <v>99</v>
      </c>
      <c r="D54">
        <f>STDEV(D51:D52)</f>
        <v>5.3033008588988052E-2</v>
      </c>
      <c r="G54">
        <f>STDEV(G51:G52)</f>
        <v>0.70710678118655257</v>
      </c>
      <c r="J54">
        <f>STDEV(J51:J52)</f>
        <v>0.11785113019775122</v>
      </c>
      <c r="M54">
        <f>STDEV(M51:M52)</f>
        <v>2.922708028904399</v>
      </c>
    </row>
    <row r="55" spans="1:14">
      <c r="A55" t="s">
        <v>41</v>
      </c>
      <c r="D55">
        <f>D54/(SQRT(2))</f>
        <v>3.7499999999997868E-2</v>
      </c>
      <c r="G55">
        <f>G54/(SQRT(2))</f>
        <v>0.50000000000000355</v>
      </c>
      <c r="J55">
        <f>J54/(SQRT(2))</f>
        <v>8.3333333333328583E-2</v>
      </c>
      <c r="M55">
        <f>M54/(SQRT(2))</f>
        <v>2.0666666666666682</v>
      </c>
    </row>
    <row r="57" spans="1:14">
      <c r="A57" s="33" t="s">
        <v>64</v>
      </c>
      <c r="B57" s="29" t="s">
        <v>90</v>
      </c>
      <c r="C57" s="29" t="s">
        <v>87</v>
      </c>
      <c r="D57" s="30" t="s">
        <v>89</v>
      </c>
      <c r="E57" s="34" t="s">
        <v>91</v>
      </c>
      <c r="F57" s="29" t="s">
        <v>86</v>
      </c>
      <c r="G57" s="30" t="s">
        <v>88</v>
      </c>
      <c r="H57" s="34" t="s">
        <v>93</v>
      </c>
      <c r="I57" s="29" t="s">
        <v>94</v>
      </c>
      <c r="J57" s="30" t="s">
        <v>92</v>
      </c>
      <c r="K57" s="34" t="s">
        <v>95</v>
      </c>
      <c r="L57" s="29" t="s">
        <v>96</v>
      </c>
      <c r="M57" s="30" t="s">
        <v>97</v>
      </c>
      <c r="N57" s="36" t="s">
        <v>116</v>
      </c>
    </row>
    <row r="58" spans="1:14">
      <c r="A58" s="32">
        <v>1</v>
      </c>
      <c r="B58" s="31">
        <v>182.9</v>
      </c>
      <c r="C58" s="31">
        <v>156.30000000000001</v>
      </c>
      <c r="D58" s="32">
        <f>((B58-C58)/4)</f>
        <v>6.6499999999999986</v>
      </c>
      <c r="E58" s="31">
        <v>143.19999999999999</v>
      </c>
      <c r="F58" s="31">
        <v>163.80000000000001</v>
      </c>
      <c r="G58" s="32">
        <f>((E58-F58)/4)</f>
        <v>-5.1500000000000057</v>
      </c>
      <c r="H58" s="31">
        <v>160.4</v>
      </c>
      <c r="I58" s="31">
        <v>172.3</v>
      </c>
      <c r="J58" s="32">
        <f>((H58-I58)/3)</f>
        <v>-3.9666666666666686</v>
      </c>
      <c r="K58" s="24">
        <v>143.19999999999999</v>
      </c>
      <c r="L58" s="24">
        <v>210.8</v>
      </c>
      <c r="M58" s="32">
        <f>((K58-L58)/3)</f>
        <v>-22.533333333333342</v>
      </c>
      <c r="N58" t="s">
        <v>66</v>
      </c>
    </row>
    <row r="59" spans="1:14">
      <c r="A59" s="32">
        <v>2</v>
      </c>
      <c r="B59" s="31">
        <v>308.3</v>
      </c>
      <c r="C59" s="31">
        <v>278.2</v>
      </c>
      <c r="D59" s="32">
        <f>((B59-C59)/2)</f>
        <v>15.050000000000011</v>
      </c>
      <c r="E59" s="31">
        <v>324.5</v>
      </c>
      <c r="F59" s="31">
        <v>295.8</v>
      </c>
      <c r="G59" s="32">
        <f>((E59-F59)/2)</f>
        <v>14.349999999999994</v>
      </c>
      <c r="H59" s="31">
        <v>220</v>
      </c>
      <c r="I59" s="31">
        <v>171.8</v>
      </c>
      <c r="J59" s="32">
        <f>((H59-I59)/3)</f>
        <v>16.066666666666663</v>
      </c>
      <c r="K59" s="24">
        <v>146</v>
      </c>
      <c r="L59" s="24">
        <v>166.7</v>
      </c>
      <c r="M59" s="32">
        <f>((K59-L59)/3)</f>
        <v>-6.8999999999999959</v>
      </c>
      <c r="N59" s="40" t="s">
        <v>119</v>
      </c>
    </row>
    <row r="60" spans="1:14">
      <c r="A60" t="s">
        <v>98</v>
      </c>
      <c r="D60">
        <f>AVERAGE(D58:D59)</f>
        <v>10.850000000000005</v>
      </c>
      <c r="G60">
        <f>AVERAGE(G58:G59)</f>
        <v>4.5999999999999943</v>
      </c>
      <c r="J60">
        <f>AVERAGE(J58:J59)</f>
        <v>6.0499999999999972</v>
      </c>
      <c r="M60">
        <f>AVERAGE(M58:M59)</f>
        <v>-14.716666666666669</v>
      </c>
      <c r="N60" t="s">
        <v>117</v>
      </c>
    </row>
    <row r="61" spans="1:14">
      <c r="A61" t="s">
        <v>99</v>
      </c>
      <c r="D61">
        <f>STDEV(D58:D59)</f>
        <v>5.9396969619670061</v>
      </c>
      <c r="G61">
        <f>STDEV(G58:G59)</f>
        <v>13.788582233137676</v>
      </c>
      <c r="J61">
        <f>STDEV(J58:J59)</f>
        <v>14.165705849770502</v>
      </c>
      <c r="M61">
        <f>STDEV(M58:M59)</f>
        <v>11.054436012549703</v>
      </c>
    </row>
    <row r="62" spans="1:14">
      <c r="A62" t="s">
        <v>41</v>
      </c>
      <c r="D62">
        <f>D61/(SQRT(2))</f>
        <v>4.2000000000000046</v>
      </c>
      <c r="G62">
        <f>G61/(SQRT(2))</f>
        <v>9.7499999999999982</v>
      </c>
      <c r="J62">
        <f>J61/(SQRT(2))</f>
        <v>10.016666666666666</v>
      </c>
      <c r="M62">
        <f>M61/(SQRT(2))</f>
        <v>7.8166666666666726</v>
      </c>
    </row>
    <row r="64" spans="1:14">
      <c r="A64" s="33" t="s">
        <v>65</v>
      </c>
      <c r="B64" s="29" t="s">
        <v>90</v>
      </c>
      <c r="C64" s="29" t="s">
        <v>87</v>
      </c>
      <c r="D64" s="30" t="s">
        <v>89</v>
      </c>
      <c r="E64" s="34" t="s">
        <v>91</v>
      </c>
      <c r="F64" s="29" t="s">
        <v>86</v>
      </c>
      <c r="G64" s="30" t="s">
        <v>88</v>
      </c>
      <c r="H64" s="34" t="s">
        <v>93</v>
      </c>
      <c r="I64" s="29" t="s">
        <v>94</v>
      </c>
      <c r="J64" s="30" t="s">
        <v>92</v>
      </c>
      <c r="K64" s="34" t="s">
        <v>95</v>
      </c>
      <c r="L64" s="29" t="s">
        <v>96</v>
      </c>
      <c r="M64" s="30" t="s">
        <v>97</v>
      </c>
      <c r="N64" s="36" t="s">
        <v>118</v>
      </c>
    </row>
    <row r="65" spans="1:14">
      <c r="A65" s="32">
        <v>1</v>
      </c>
      <c r="B65" s="31">
        <v>156.30000000000001</v>
      </c>
      <c r="C65" s="31">
        <v>73.7</v>
      </c>
      <c r="D65" s="32">
        <f>((B65-C65)/4)</f>
        <v>20.650000000000002</v>
      </c>
      <c r="E65" s="31">
        <v>163.80000000000001</v>
      </c>
      <c r="F65" s="31">
        <v>87.3</v>
      </c>
      <c r="G65" s="32">
        <f>((E65-F65)/4)</f>
        <v>19.125000000000004</v>
      </c>
      <c r="H65" s="31">
        <v>172.3</v>
      </c>
      <c r="I65" s="31">
        <v>107.2</v>
      </c>
      <c r="J65" s="32">
        <f>((H65-I65)/3)</f>
        <v>21.700000000000003</v>
      </c>
      <c r="K65" s="24">
        <v>210.8</v>
      </c>
      <c r="L65" s="24">
        <v>152.5</v>
      </c>
      <c r="M65" s="32">
        <f>((K65-L65)/3)</f>
        <v>19.433333333333337</v>
      </c>
      <c r="N65" t="s">
        <v>68</v>
      </c>
    </row>
    <row r="66" spans="1:14">
      <c r="A66" s="32">
        <v>2</v>
      </c>
      <c r="B66" s="31">
        <v>278.2</v>
      </c>
      <c r="C66" s="31">
        <v>239.7</v>
      </c>
      <c r="D66" s="32">
        <f>((B66-C66)/2)</f>
        <v>19.25</v>
      </c>
      <c r="E66" s="31">
        <v>295.8</v>
      </c>
      <c r="F66" s="31">
        <v>262.60000000000002</v>
      </c>
      <c r="G66" s="32">
        <f>((E66-F66)/2)</f>
        <v>16.599999999999994</v>
      </c>
      <c r="H66" s="31">
        <v>171.8</v>
      </c>
      <c r="I66" s="31">
        <v>99.3</v>
      </c>
      <c r="J66" s="32">
        <f>((H66-I66)/3)</f>
        <v>24.166666666666671</v>
      </c>
      <c r="K66" s="24">
        <v>166.7</v>
      </c>
      <c r="L66" s="24">
        <v>98</v>
      </c>
      <c r="M66" s="32">
        <f>((K66-L66)/3)</f>
        <v>22.899999999999995</v>
      </c>
      <c r="N66" s="40"/>
    </row>
    <row r="67" spans="1:14">
      <c r="A67" t="s">
        <v>98</v>
      </c>
      <c r="D67">
        <f>AVERAGE(D65:D66)</f>
        <v>19.950000000000003</v>
      </c>
      <c r="G67">
        <f>AVERAGE(G65:G66)</f>
        <v>17.862499999999997</v>
      </c>
      <c r="J67">
        <f>AVERAGE(J65:J66)</f>
        <v>22.933333333333337</v>
      </c>
      <c r="M67">
        <f>AVERAGE(M65:M66)</f>
        <v>21.166666666666664</v>
      </c>
    </row>
    <row r="68" spans="1:14">
      <c r="A68" t="s">
        <v>99</v>
      </c>
      <c r="D68">
        <f>STDEV(D65:D66)</f>
        <v>0.98994949366116802</v>
      </c>
      <c r="G68">
        <f>STDEV(G65:G66)</f>
        <v>1.785444622496039</v>
      </c>
      <c r="J68">
        <f>STDEV(J65:J66)</f>
        <v>1.7441967269268186</v>
      </c>
      <c r="M68">
        <f>STDEV(M65:M66)</f>
        <v>2.4513035081133587</v>
      </c>
    </row>
    <row r="69" spans="1:14">
      <c r="A69" t="s">
        <v>41</v>
      </c>
      <c r="D69">
        <f>D68/(SQRT(2))</f>
        <v>0.70000000000000095</v>
      </c>
      <c r="G69">
        <f>G68/(SQRT(2))</f>
        <v>1.2625000000000044</v>
      </c>
      <c r="J69">
        <f>J68/(SQRT(2))</f>
        <v>1.2333333333333343</v>
      </c>
      <c r="M69">
        <f>M68/(SQRT(2))</f>
        <v>1.733333333333329</v>
      </c>
    </row>
    <row r="71" spans="1:14">
      <c r="A71" s="33" t="s">
        <v>67</v>
      </c>
      <c r="B71" s="29" t="s">
        <v>90</v>
      </c>
      <c r="C71" s="29" t="s">
        <v>87</v>
      </c>
      <c r="D71" s="30" t="s">
        <v>89</v>
      </c>
      <c r="E71" s="34" t="s">
        <v>91</v>
      </c>
      <c r="F71" s="29" t="s">
        <v>86</v>
      </c>
      <c r="G71" s="30" t="s">
        <v>88</v>
      </c>
      <c r="H71" s="34" t="s">
        <v>93</v>
      </c>
      <c r="I71" s="29" t="s">
        <v>94</v>
      </c>
      <c r="J71" s="30" t="s">
        <v>92</v>
      </c>
      <c r="K71" s="34" t="s">
        <v>95</v>
      </c>
      <c r="L71" s="29" t="s">
        <v>96</v>
      </c>
      <c r="M71" s="30" t="s">
        <v>97</v>
      </c>
      <c r="N71" s="36" t="s">
        <v>120</v>
      </c>
    </row>
    <row r="72" spans="1:14">
      <c r="A72" s="32">
        <v>1</v>
      </c>
      <c r="B72" s="31">
        <v>220.6</v>
      </c>
      <c r="C72" s="31">
        <v>165.2</v>
      </c>
      <c r="D72" s="32">
        <f>((B72-C72)/4)</f>
        <v>13.850000000000001</v>
      </c>
      <c r="E72" s="31">
        <v>158.5</v>
      </c>
      <c r="F72" s="39">
        <v>139.5</v>
      </c>
      <c r="G72" s="32">
        <f>((E72-F72)/2)</f>
        <v>9.5</v>
      </c>
      <c r="H72" s="31">
        <v>231.5</v>
      </c>
      <c r="I72" s="31">
        <v>190.1</v>
      </c>
      <c r="J72" s="32">
        <f>((H72-I72)/3)</f>
        <v>13.800000000000002</v>
      </c>
      <c r="K72" s="24">
        <v>310.5</v>
      </c>
      <c r="L72" s="24">
        <v>274.2</v>
      </c>
      <c r="M72" s="32">
        <f>((K72-L72)/3)</f>
        <v>12.100000000000003</v>
      </c>
      <c r="N72" t="s">
        <v>70</v>
      </c>
    </row>
    <row r="73" spans="1:14">
      <c r="A73" s="32">
        <v>2</v>
      </c>
      <c r="B73" s="31">
        <v>239.7</v>
      </c>
      <c r="C73" s="31">
        <v>211.3</v>
      </c>
      <c r="D73" s="32">
        <f>((B73-C73)/2)</f>
        <v>14.199999999999989</v>
      </c>
      <c r="E73" s="31">
        <v>262.60000000000002</v>
      </c>
      <c r="F73" s="31">
        <v>237.9</v>
      </c>
      <c r="G73" s="32">
        <f>((E73-F73)/2)</f>
        <v>12.350000000000009</v>
      </c>
      <c r="H73" s="31">
        <v>292.5</v>
      </c>
      <c r="I73" s="31">
        <v>248.1</v>
      </c>
      <c r="J73" s="32">
        <f>((H73-I73)/3)</f>
        <v>14.800000000000002</v>
      </c>
      <c r="K73" s="24">
        <v>252.5</v>
      </c>
      <c r="L73" s="24">
        <v>210.7</v>
      </c>
      <c r="M73" s="32">
        <f>((K73-L73)/3)</f>
        <v>13.933333333333337</v>
      </c>
      <c r="N73" s="42" t="s">
        <v>122</v>
      </c>
    </row>
    <row r="74" spans="1:14">
      <c r="A74" s="31">
        <v>3</v>
      </c>
      <c r="B74" s="31"/>
      <c r="C74" s="31"/>
      <c r="D74" s="31"/>
      <c r="E74" s="31">
        <v>104.3</v>
      </c>
      <c r="F74" s="31">
        <v>81.3</v>
      </c>
      <c r="G74" s="32">
        <f>((E74-F74)/2)</f>
        <v>11.5</v>
      </c>
      <c r="H74" s="31"/>
      <c r="I74" s="31"/>
      <c r="J74" s="31"/>
      <c r="K74" s="24"/>
      <c r="L74" s="24"/>
      <c r="M74" s="31"/>
      <c r="N74" s="40"/>
    </row>
    <row r="75" spans="1:14">
      <c r="A75" t="s">
        <v>98</v>
      </c>
      <c r="D75">
        <f>AVERAGE(D72:D73)</f>
        <v>14.024999999999995</v>
      </c>
      <c r="G75">
        <f>AVERAGE(G72:G74)</f>
        <v>11.116666666666669</v>
      </c>
      <c r="J75">
        <f>AVERAGE(J72:J73)</f>
        <v>14.300000000000002</v>
      </c>
      <c r="M75">
        <f>AVERAGE(M72:M73)</f>
        <v>13.016666666666669</v>
      </c>
    </row>
    <row r="76" spans="1:14">
      <c r="A76" t="s">
        <v>99</v>
      </c>
      <c r="D76">
        <f>STDEV(D72:D73)</f>
        <v>0.2474873734152826</v>
      </c>
      <c r="G76">
        <f>STDEV(G72:G74)</f>
        <v>1.4631586835792443</v>
      </c>
      <c r="J76">
        <f>STDEV(J72:J73)</f>
        <v>0.70710678118654757</v>
      </c>
      <c r="M76">
        <f>STDEV(M72:M73)</f>
        <v>1.2963624321753375</v>
      </c>
    </row>
    <row r="77" spans="1:14">
      <c r="A77" t="s">
        <v>41</v>
      </c>
      <c r="D77">
        <f>D76/(SQRT(2))</f>
        <v>0.17499999999999361</v>
      </c>
      <c r="G77">
        <f>G76/(SQRT(3))</f>
        <v>0.84475505983161525</v>
      </c>
      <c r="J77">
        <f>J76/(SQRT(2))</f>
        <v>0.5</v>
      </c>
      <c r="M77">
        <f>M76/(SQRT(2))</f>
        <v>0.91666666666666685</v>
      </c>
    </row>
    <row r="79" spans="1:14">
      <c r="A79" s="33" t="s">
        <v>69</v>
      </c>
      <c r="B79" s="29" t="s">
        <v>90</v>
      </c>
      <c r="C79" s="29" t="s">
        <v>87</v>
      </c>
      <c r="D79" s="30" t="s">
        <v>89</v>
      </c>
      <c r="E79" s="34" t="s">
        <v>91</v>
      </c>
      <c r="F79" s="29" t="s">
        <v>86</v>
      </c>
      <c r="G79" s="30" t="s">
        <v>88</v>
      </c>
      <c r="H79" s="34" t="s">
        <v>93</v>
      </c>
      <c r="I79" s="29" t="s">
        <v>94</v>
      </c>
      <c r="J79" s="30" t="s">
        <v>92</v>
      </c>
      <c r="K79" s="34" t="s">
        <v>95</v>
      </c>
      <c r="L79" s="29" t="s">
        <v>96</v>
      </c>
      <c r="M79" s="30" t="s">
        <v>97</v>
      </c>
      <c r="N79" s="36" t="s">
        <v>123</v>
      </c>
    </row>
    <row r="80" spans="1:14">
      <c r="A80" s="32">
        <v>1</v>
      </c>
      <c r="B80" s="31">
        <v>165.2</v>
      </c>
      <c r="C80" s="31">
        <v>84.4</v>
      </c>
      <c r="D80" s="32">
        <f>((B80-C80)/4)</f>
        <v>20.199999999999996</v>
      </c>
      <c r="E80" s="39">
        <v>139.5</v>
      </c>
      <c r="F80" s="39">
        <v>97.1</v>
      </c>
      <c r="G80" s="32">
        <f>((E80-F80)/2)</f>
        <v>21.200000000000003</v>
      </c>
      <c r="H80" s="31">
        <v>190.1</v>
      </c>
      <c r="I80" s="31">
        <v>126.4</v>
      </c>
      <c r="J80" s="32">
        <f>((H80-I80)/3)</f>
        <v>21.233333333333331</v>
      </c>
      <c r="K80" s="24">
        <v>274.2</v>
      </c>
      <c r="L80" s="24">
        <v>217.2</v>
      </c>
      <c r="M80" s="32">
        <f>((K80-L80)/3)</f>
        <v>19</v>
      </c>
      <c r="N80" t="s">
        <v>60</v>
      </c>
    </row>
    <row r="81" spans="1:14">
      <c r="A81" s="32">
        <v>2</v>
      </c>
      <c r="B81" s="31">
        <v>211.3</v>
      </c>
      <c r="C81" s="31">
        <v>167.3</v>
      </c>
      <c r="D81" s="32">
        <f>((B81-C81)/2)</f>
        <v>22</v>
      </c>
      <c r="E81" s="31">
        <v>237.9</v>
      </c>
      <c r="F81" s="31">
        <v>202.8</v>
      </c>
      <c r="G81" s="32">
        <f>((E81-F81)/2)</f>
        <v>17.549999999999997</v>
      </c>
      <c r="H81" s="31">
        <v>248.1</v>
      </c>
      <c r="I81" s="31">
        <v>200.8</v>
      </c>
      <c r="J81" s="32">
        <f>((H81-I81)/2)</f>
        <v>23.649999999999991</v>
      </c>
      <c r="K81" s="24">
        <v>210.7</v>
      </c>
      <c r="L81" s="24">
        <v>141.30000000000001</v>
      </c>
      <c r="M81" s="32">
        <f>((K81-L81)/3)</f>
        <v>23.133333333333326</v>
      </c>
      <c r="N81" s="42"/>
    </row>
    <row r="82" spans="1:14">
      <c r="A82" s="31">
        <v>3</v>
      </c>
      <c r="B82" s="31"/>
      <c r="C82" s="31"/>
      <c r="D82" s="31"/>
      <c r="E82" s="31">
        <v>81.3</v>
      </c>
      <c r="F82" s="31">
        <v>48.7</v>
      </c>
      <c r="G82" s="32">
        <f>((E82-F82)/2)</f>
        <v>16.299999999999997</v>
      </c>
      <c r="H82" s="31"/>
      <c r="I82" s="31"/>
      <c r="J82" s="31"/>
      <c r="K82" s="24"/>
      <c r="L82" s="24"/>
      <c r="M82" s="31"/>
      <c r="N82" s="40"/>
    </row>
    <row r="83" spans="1:14">
      <c r="A83" t="s">
        <v>98</v>
      </c>
      <c r="D83">
        <f>AVERAGE(D80:D81)</f>
        <v>21.099999999999998</v>
      </c>
      <c r="G83">
        <f>AVERAGE(G80:G82)</f>
        <v>18.349999999999998</v>
      </c>
      <c r="J83">
        <f>AVERAGE(J80:J81)</f>
        <v>22.441666666666663</v>
      </c>
      <c r="M83">
        <f>AVERAGE(M80:M81)</f>
        <v>21.066666666666663</v>
      </c>
    </row>
    <row r="84" spans="1:14">
      <c r="A84" t="s">
        <v>99</v>
      </c>
      <c r="D84">
        <f>STDEV(D80:D81)</f>
        <v>1.2727922061357886</v>
      </c>
      <c r="G84">
        <f>STDEV(G80:G82)</f>
        <v>2.5460754112948059</v>
      </c>
      <c r="J84">
        <f>STDEV(J80:J81)</f>
        <v>1.7088413878674857</v>
      </c>
      <c r="M84">
        <f>STDEV(M80:M81)</f>
        <v>2.922708028904391</v>
      </c>
    </row>
    <row r="85" spans="1:14">
      <c r="A85" t="s">
        <v>41</v>
      </c>
      <c r="D85">
        <f>D84/(SQRT(2))</f>
        <v>0.90000000000000213</v>
      </c>
      <c r="G85">
        <f>G84/(SQRT(3))</f>
        <v>1.4699773240881433</v>
      </c>
      <c r="J85">
        <f>J84/(SQRT(2))</f>
        <v>1.2083333333333304</v>
      </c>
      <c r="M85">
        <f>M84/(SQRT(2))</f>
        <v>2.0666666666666629</v>
      </c>
    </row>
    <row r="87" spans="1:14">
      <c r="A87" s="33" t="s">
        <v>71</v>
      </c>
      <c r="B87" s="29" t="s">
        <v>90</v>
      </c>
      <c r="C87" s="29" t="s">
        <v>87</v>
      </c>
      <c r="D87" s="30" t="s">
        <v>89</v>
      </c>
      <c r="E87" s="34" t="s">
        <v>91</v>
      </c>
      <c r="F87" s="29" t="s">
        <v>86</v>
      </c>
      <c r="G87" s="30" t="s">
        <v>88</v>
      </c>
      <c r="H87" s="34" t="s">
        <v>93</v>
      </c>
      <c r="I87" s="29" t="s">
        <v>94</v>
      </c>
      <c r="J87" s="30" t="s">
        <v>92</v>
      </c>
      <c r="K87" s="34" t="s">
        <v>95</v>
      </c>
      <c r="L87" s="29" t="s">
        <v>96</v>
      </c>
      <c r="M87" s="30" t="s">
        <v>97</v>
      </c>
      <c r="N87" s="36" t="s">
        <v>125</v>
      </c>
    </row>
    <row r="88" spans="1:14">
      <c r="A88" s="32">
        <v>1</v>
      </c>
      <c r="B88" s="31">
        <v>187.3</v>
      </c>
      <c r="C88" s="31">
        <v>100.1</v>
      </c>
      <c r="D88" s="32">
        <f>((B88-C88)/4)</f>
        <v>21.800000000000004</v>
      </c>
      <c r="E88" s="39">
        <v>203.3</v>
      </c>
      <c r="F88" s="39">
        <v>148.80000000000001</v>
      </c>
      <c r="G88" s="32">
        <f>((E88-F88)/2)</f>
        <v>27.25</v>
      </c>
      <c r="H88" s="31">
        <v>191.4</v>
      </c>
      <c r="I88" s="31">
        <v>131.4</v>
      </c>
      <c r="J88" s="32">
        <f>((H88-I88)/3)</f>
        <v>20</v>
      </c>
      <c r="K88" s="24">
        <v>217.2</v>
      </c>
      <c r="L88" s="24">
        <v>163.9</v>
      </c>
      <c r="M88" s="32">
        <f>((K88-L88)/3)</f>
        <v>17.766666666666662</v>
      </c>
      <c r="N88" t="s">
        <v>60</v>
      </c>
    </row>
    <row r="89" spans="1:14">
      <c r="A89" s="32">
        <v>2</v>
      </c>
      <c r="B89" s="31">
        <v>167.3</v>
      </c>
      <c r="C89" s="31">
        <v>128.19999999999999</v>
      </c>
      <c r="D89" s="32">
        <f>((B89-C89)/2)</f>
        <v>19.550000000000011</v>
      </c>
      <c r="E89" s="31">
        <v>202.8</v>
      </c>
      <c r="F89" s="31">
        <v>164.1</v>
      </c>
      <c r="G89" s="32">
        <f>((E89-F89)/2)</f>
        <v>19.350000000000009</v>
      </c>
      <c r="H89" s="31">
        <v>200.8</v>
      </c>
      <c r="I89" s="31">
        <v>151.4</v>
      </c>
      <c r="J89" s="32">
        <f>((H89-I89)/2)</f>
        <v>24.700000000000003</v>
      </c>
      <c r="K89" s="24">
        <v>141.30000000000001</v>
      </c>
      <c r="L89" s="24">
        <v>78.599999999999994</v>
      </c>
      <c r="M89" s="32">
        <f>((K89-L89)/3)</f>
        <v>20.900000000000006</v>
      </c>
      <c r="N89" s="42"/>
    </row>
    <row r="90" spans="1:14">
      <c r="A90" s="31">
        <v>3</v>
      </c>
      <c r="B90" s="31"/>
      <c r="C90" s="31"/>
      <c r="D90" s="31"/>
      <c r="E90" s="31">
        <v>195.7</v>
      </c>
      <c r="F90" s="31">
        <v>143.1</v>
      </c>
      <c r="G90" s="32">
        <f>((E90-F90)/2)</f>
        <v>26.299999999999997</v>
      </c>
      <c r="H90" s="31"/>
      <c r="I90" s="31"/>
      <c r="J90" s="31"/>
      <c r="K90" s="24"/>
      <c r="L90" s="24"/>
      <c r="M90" s="31"/>
      <c r="N90" s="40"/>
    </row>
    <row r="91" spans="1:14">
      <c r="A91" t="s">
        <v>98</v>
      </c>
      <c r="D91">
        <f>AVERAGE(D88:D89)</f>
        <v>20.675000000000008</v>
      </c>
      <c r="G91">
        <f>AVERAGE(G88:G90)</f>
        <v>24.3</v>
      </c>
      <c r="J91">
        <f>AVERAGE(J88:J89)</f>
        <v>22.35</v>
      </c>
      <c r="M91">
        <f>AVERAGE(M88:M89)</f>
        <v>19.333333333333336</v>
      </c>
    </row>
    <row r="92" spans="1:14">
      <c r="A92" t="s">
        <v>99</v>
      </c>
      <c r="D92">
        <f>STDEV(D88:D89)</f>
        <v>1.590990257669727</v>
      </c>
      <c r="G92">
        <f>STDEV(G88:G90)</f>
        <v>4.3130615576409248</v>
      </c>
      <c r="J92">
        <f>STDEV(J88:J89)</f>
        <v>3.3234018715767841</v>
      </c>
      <c r="M92">
        <f>STDEV(M88:M89)</f>
        <v>2.2156012477178559</v>
      </c>
    </row>
    <row r="93" spans="1:14">
      <c r="A93" t="s">
        <v>41</v>
      </c>
      <c r="D93">
        <f>D92/(SQRT(2))</f>
        <v>1.1249999999999964</v>
      </c>
      <c r="G93">
        <f>G92/(SQRT(3))</f>
        <v>2.4901472513354146</v>
      </c>
      <c r="J93">
        <f>J92/(SQRT(2))</f>
        <v>2.3500000000000076</v>
      </c>
      <c r="M93">
        <f>M92/(SQRT(2))</f>
        <v>1.5666666666666715</v>
      </c>
    </row>
    <row r="95" spans="1:14">
      <c r="A95" s="33" t="s">
        <v>72</v>
      </c>
      <c r="B95" s="29" t="s">
        <v>90</v>
      </c>
      <c r="C95" s="29" t="s">
        <v>87</v>
      </c>
      <c r="D95" s="30" t="s">
        <v>89</v>
      </c>
      <c r="E95" s="34" t="s">
        <v>91</v>
      </c>
      <c r="F95" s="29" t="s">
        <v>86</v>
      </c>
      <c r="G95" s="30" t="s">
        <v>88</v>
      </c>
      <c r="H95" s="34" t="s">
        <v>93</v>
      </c>
      <c r="I95" s="29" t="s">
        <v>94</v>
      </c>
      <c r="J95" s="30" t="s">
        <v>92</v>
      </c>
      <c r="K95" s="34" t="s">
        <v>95</v>
      </c>
      <c r="L95" s="29" t="s">
        <v>96</v>
      </c>
      <c r="M95" s="30" t="s">
        <v>97</v>
      </c>
      <c r="N95" s="36" t="s">
        <v>126</v>
      </c>
    </row>
    <row r="96" spans="1:14">
      <c r="A96" s="32">
        <v>1</v>
      </c>
      <c r="B96" s="31">
        <v>100.1</v>
      </c>
      <c r="C96" s="31">
        <v>26.3</v>
      </c>
      <c r="D96" s="32">
        <f>((B96-C96)/4)</f>
        <v>18.45</v>
      </c>
      <c r="E96" s="39">
        <v>148.80000000000001</v>
      </c>
      <c r="F96" s="39">
        <v>104.5</v>
      </c>
      <c r="G96" s="32">
        <f>((E96-F96)/2)</f>
        <v>22.150000000000006</v>
      </c>
      <c r="H96" s="31">
        <v>131.4</v>
      </c>
      <c r="I96" s="31">
        <v>74</v>
      </c>
      <c r="J96" s="32">
        <f>((H96-I96)/3)</f>
        <v>19.133333333333336</v>
      </c>
      <c r="K96" s="24">
        <v>163.9</v>
      </c>
      <c r="L96" s="24">
        <v>116.6</v>
      </c>
      <c r="M96" s="32">
        <f>((K96-L96)/3)</f>
        <v>15.766666666666671</v>
      </c>
      <c r="N96" t="s">
        <v>60</v>
      </c>
    </row>
    <row r="97" spans="1:14">
      <c r="A97" s="32">
        <v>2</v>
      </c>
      <c r="B97" s="31">
        <v>128.19999999999999</v>
      </c>
      <c r="C97" s="31">
        <v>94.9</v>
      </c>
      <c r="D97" s="32">
        <f>((B97-C97)/2)</f>
        <v>16.649999999999991</v>
      </c>
      <c r="E97" s="31">
        <v>164.1</v>
      </c>
      <c r="F97" s="31">
        <v>134.5</v>
      </c>
      <c r="G97" s="32">
        <f>((E97-F97)/2)</f>
        <v>14.799999999999997</v>
      </c>
      <c r="H97" s="31">
        <v>151.4</v>
      </c>
      <c r="I97" s="31">
        <v>116.6</v>
      </c>
      <c r="J97" s="32">
        <f>((H97-I97)/2)</f>
        <v>17.400000000000006</v>
      </c>
      <c r="K97" s="24">
        <v>78.599999999999994</v>
      </c>
      <c r="L97" s="24">
        <v>29.6</v>
      </c>
      <c r="M97" s="32">
        <f>((K97-L97)/3)</f>
        <v>16.333333333333332</v>
      </c>
      <c r="N97" s="42"/>
    </row>
    <row r="98" spans="1:14">
      <c r="A98" s="31">
        <v>3</v>
      </c>
      <c r="B98" s="31"/>
      <c r="C98" s="31"/>
      <c r="D98" s="31"/>
      <c r="E98" s="31">
        <v>143.1</v>
      </c>
      <c r="F98" s="31">
        <v>108.1</v>
      </c>
      <c r="G98" s="32">
        <f>((E98-F98)/2)</f>
        <v>17.5</v>
      </c>
      <c r="H98" s="31"/>
      <c r="I98" s="31"/>
      <c r="J98" s="31"/>
      <c r="K98" s="24"/>
      <c r="L98" s="24"/>
      <c r="M98" s="31"/>
      <c r="N98" s="40"/>
    </row>
    <row r="99" spans="1:14">
      <c r="A99" t="s">
        <v>98</v>
      </c>
      <c r="D99">
        <f>AVERAGE(D96:D97)</f>
        <v>17.549999999999997</v>
      </c>
      <c r="G99">
        <f>AVERAGE(G96:G98)</f>
        <v>18.150000000000002</v>
      </c>
      <c r="J99">
        <f>AVERAGE(J96:J97)</f>
        <v>18.266666666666673</v>
      </c>
      <c r="M99">
        <f>AVERAGE(M96:M97)</f>
        <v>16.05</v>
      </c>
    </row>
    <row r="100" spans="1:14">
      <c r="A100" t="s">
        <v>99</v>
      </c>
      <c r="D100">
        <f>STDEV(D96:D97)</f>
        <v>1.272792206135791</v>
      </c>
      <c r="G100">
        <f>STDEV(G96:G98)</f>
        <v>3.717862289004267</v>
      </c>
      <c r="J100">
        <f>STDEV(J96:J97)</f>
        <v>1.2256517540566805</v>
      </c>
      <c r="M100">
        <f>STDEV(M96:M97)</f>
        <v>0.40069384267237301</v>
      </c>
    </row>
    <row r="101" spans="1:14">
      <c r="A101" t="s">
        <v>41</v>
      </c>
      <c r="D101">
        <f>D100/(SQRT(2))</f>
        <v>0.9000000000000038</v>
      </c>
      <c r="G101">
        <f>G100/(SQRT(3))</f>
        <v>2.1465087933665719</v>
      </c>
      <c r="J101">
        <f>J100/(SQRT(2))</f>
        <v>0.86666666666666525</v>
      </c>
      <c r="M101">
        <f>M100/(SQRT(2))</f>
        <v>0.28333333333333055</v>
      </c>
    </row>
    <row r="103" spans="1:14">
      <c r="A103" s="33" t="s">
        <v>73</v>
      </c>
      <c r="B103" s="29" t="s">
        <v>90</v>
      </c>
      <c r="C103" s="29" t="s">
        <v>87</v>
      </c>
      <c r="D103" s="30" t="s">
        <v>89</v>
      </c>
      <c r="E103" s="34" t="s">
        <v>91</v>
      </c>
      <c r="F103" s="29" t="s">
        <v>86</v>
      </c>
      <c r="G103" s="30" t="s">
        <v>88</v>
      </c>
      <c r="H103" s="34" t="s">
        <v>93</v>
      </c>
      <c r="I103" s="29" t="s">
        <v>94</v>
      </c>
      <c r="J103" s="30" t="s">
        <v>92</v>
      </c>
      <c r="K103" s="34" t="s">
        <v>95</v>
      </c>
      <c r="L103" s="29" t="s">
        <v>96</v>
      </c>
      <c r="M103" s="30" t="s">
        <v>97</v>
      </c>
      <c r="N103" s="36" t="s">
        <v>127</v>
      </c>
    </row>
    <row r="104" spans="1:14">
      <c r="A104" s="32">
        <v>1</v>
      </c>
      <c r="B104" s="31">
        <v>179.6</v>
      </c>
      <c r="C104" s="31">
        <v>103</v>
      </c>
      <c r="D104" s="32">
        <f>((B104-C104)/4)</f>
        <v>19.149999999999999</v>
      </c>
      <c r="E104" s="39">
        <v>104.5</v>
      </c>
      <c r="F104" s="39">
        <v>62.1</v>
      </c>
      <c r="G104" s="32">
        <f>((E104-F104)/2)</f>
        <v>21.2</v>
      </c>
      <c r="H104" s="31">
        <v>219</v>
      </c>
      <c r="I104" s="31">
        <v>164.1</v>
      </c>
      <c r="J104" s="32">
        <f>((H104-I104)/3)</f>
        <v>18.3</v>
      </c>
      <c r="K104" s="24">
        <v>116.6</v>
      </c>
      <c r="L104" s="24">
        <v>73.3</v>
      </c>
      <c r="M104" s="32">
        <f>((K104-L104)/3)</f>
        <v>14.433333333333332</v>
      </c>
      <c r="N104" t="s">
        <v>60</v>
      </c>
    </row>
    <row r="105" spans="1:14">
      <c r="A105" s="32">
        <v>2</v>
      </c>
      <c r="B105" s="31">
        <v>175.4</v>
      </c>
      <c r="C105" s="31">
        <v>135.4</v>
      </c>
      <c r="D105" s="32">
        <f>((B105-C105)/2)</f>
        <v>20</v>
      </c>
      <c r="E105" s="31">
        <v>134.5</v>
      </c>
      <c r="F105" s="31">
        <v>103.3</v>
      </c>
      <c r="G105" s="32">
        <f>((E105-F105)/2)</f>
        <v>15.600000000000001</v>
      </c>
      <c r="H105" s="31">
        <v>116.6</v>
      </c>
      <c r="I105" s="31">
        <v>112.1</v>
      </c>
      <c r="J105" s="32">
        <f>((H105-I105)/2)</f>
        <v>2.25</v>
      </c>
      <c r="K105" s="24">
        <v>211.5</v>
      </c>
      <c r="L105" s="24">
        <v>142.1</v>
      </c>
      <c r="M105" s="32">
        <f>((K105-L105)/3)</f>
        <v>23.133333333333336</v>
      </c>
      <c r="N105" s="40" t="s">
        <v>128</v>
      </c>
    </row>
    <row r="106" spans="1:14">
      <c r="A106" s="31">
        <v>3</v>
      </c>
      <c r="B106" s="31"/>
      <c r="C106" s="31"/>
      <c r="D106" s="31"/>
      <c r="E106" s="31">
        <v>108.1</v>
      </c>
      <c r="F106" s="31">
        <v>76.3</v>
      </c>
      <c r="G106" s="32">
        <f>((E106-F106)/2)</f>
        <v>15.899999999999999</v>
      </c>
      <c r="H106" s="31"/>
      <c r="I106" s="31"/>
      <c r="J106" s="31"/>
      <c r="K106" s="24"/>
      <c r="L106" s="24"/>
      <c r="M106" s="31"/>
      <c r="N106" s="40"/>
    </row>
    <row r="107" spans="1:14">
      <c r="A107" t="s">
        <v>98</v>
      </c>
      <c r="D107">
        <f>AVERAGE(D104:D105)</f>
        <v>19.574999999999999</v>
      </c>
      <c r="G107">
        <f>AVERAGE(G104:G106)</f>
        <v>17.566666666666666</v>
      </c>
      <c r="J107">
        <f>AVERAGE(J104:J105)</f>
        <v>10.275</v>
      </c>
      <c r="M107">
        <f>AVERAGE(M104:M105)</f>
        <v>18.783333333333335</v>
      </c>
    </row>
    <row r="108" spans="1:14">
      <c r="A108" t="s">
        <v>99</v>
      </c>
      <c r="D108">
        <f>STDEV(D104:D105)</f>
        <v>0.60104076400856643</v>
      </c>
      <c r="G108">
        <f>STDEV(G104:G106)</f>
        <v>3.150132272355147</v>
      </c>
      <c r="J108">
        <f>STDEV(J104:J105)</f>
        <v>11.34906383804409</v>
      </c>
      <c r="M108">
        <f>STDEV(M104:M105)</f>
        <v>6.1518289963229655</v>
      </c>
    </row>
    <row r="109" spans="1:14">
      <c r="A109" t="s">
        <v>41</v>
      </c>
      <c r="D109">
        <f>D108/(SQRT(2))</f>
        <v>0.42500000000000071</v>
      </c>
      <c r="G109">
        <f>G108/(SQRT(3))</f>
        <v>1.8187297154271718</v>
      </c>
      <c r="J109">
        <f>J108/(SQRT(2))</f>
        <v>8.0250000000000004</v>
      </c>
      <c r="M109">
        <f>M108/(SQRT(2))</f>
        <v>4.3500000000000014</v>
      </c>
    </row>
    <row r="111" spans="1:14">
      <c r="A111" s="33" t="s">
        <v>74</v>
      </c>
      <c r="B111" s="29" t="s">
        <v>90</v>
      </c>
      <c r="C111" s="29" t="s">
        <v>87</v>
      </c>
      <c r="D111" s="30" t="s">
        <v>89</v>
      </c>
      <c r="E111" s="34" t="s">
        <v>91</v>
      </c>
      <c r="F111" s="29" t="s">
        <v>86</v>
      </c>
      <c r="G111" s="30" t="s">
        <v>88</v>
      </c>
      <c r="H111" s="34" t="s">
        <v>93</v>
      </c>
      <c r="I111" s="29" t="s">
        <v>94</v>
      </c>
      <c r="J111" s="30" t="s">
        <v>92</v>
      </c>
      <c r="K111" s="34" t="s">
        <v>95</v>
      </c>
      <c r="L111" s="29" t="s">
        <v>96</v>
      </c>
      <c r="M111" s="30" t="s">
        <v>97</v>
      </c>
      <c r="N111" s="36" t="s">
        <v>129</v>
      </c>
    </row>
    <row r="112" spans="1:14">
      <c r="A112" s="32">
        <v>1</v>
      </c>
      <c r="B112" s="31">
        <v>222.9</v>
      </c>
      <c r="C112" s="31">
        <v>137.4</v>
      </c>
      <c r="D112" s="32">
        <f>((B112-C112)/4)</f>
        <v>21.375</v>
      </c>
      <c r="E112" s="39">
        <v>232.4</v>
      </c>
      <c r="F112" s="39">
        <v>181.3</v>
      </c>
      <c r="G112" s="32">
        <f>((E112-F112)/2)</f>
        <v>25.549999999999997</v>
      </c>
      <c r="H112" s="31">
        <v>164.1</v>
      </c>
      <c r="I112" s="31">
        <v>105.6</v>
      </c>
      <c r="J112" s="32">
        <f>((H112-I112)/3)</f>
        <v>19.5</v>
      </c>
      <c r="K112" s="24">
        <v>203.4</v>
      </c>
      <c r="L112" s="24">
        <v>150.9</v>
      </c>
      <c r="M112" s="32">
        <f>((K112-L112)/3)</f>
        <v>17.5</v>
      </c>
      <c r="N112" t="s">
        <v>60</v>
      </c>
    </row>
    <row r="113" spans="1:14">
      <c r="A113" s="32">
        <v>2</v>
      </c>
      <c r="B113" s="31">
        <v>135.4</v>
      </c>
      <c r="C113" s="31">
        <v>95.8</v>
      </c>
      <c r="D113" s="32">
        <f>((B113-C113)/2)</f>
        <v>19.800000000000004</v>
      </c>
      <c r="E113" s="31">
        <v>201.5</v>
      </c>
      <c r="F113" s="31">
        <v>163.19999999999999</v>
      </c>
      <c r="G113" s="32">
        <f>((E113-F113)/2)</f>
        <v>19.150000000000006</v>
      </c>
      <c r="H113" s="31">
        <v>221.1</v>
      </c>
      <c r="I113" s="31">
        <v>178.3</v>
      </c>
      <c r="J113" s="32">
        <f>((H113-I113)/2)</f>
        <v>21.399999999999991</v>
      </c>
      <c r="K113" s="24">
        <v>142.1</v>
      </c>
      <c r="L113" s="24">
        <v>91.5</v>
      </c>
      <c r="M113" s="32">
        <f>((K113-L113)/3)</f>
        <v>16.866666666666664</v>
      </c>
      <c r="N113" s="40"/>
    </row>
    <row r="114" spans="1:14">
      <c r="A114" s="31">
        <v>3</v>
      </c>
      <c r="B114" s="31"/>
      <c r="C114" s="31"/>
      <c r="D114" s="31"/>
      <c r="E114" s="31">
        <v>175.6</v>
      </c>
      <c r="F114" s="31">
        <v>130.80000000000001</v>
      </c>
      <c r="G114" s="32">
        <f>((E114-F114)/2)</f>
        <v>22.399999999999991</v>
      </c>
      <c r="H114" s="31"/>
      <c r="I114" s="31"/>
      <c r="J114" s="31"/>
      <c r="K114" s="24"/>
      <c r="L114" s="24"/>
      <c r="M114" s="31"/>
      <c r="N114" s="40"/>
    </row>
    <row r="115" spans="1:14">
      <c r="A115" t="s">
        <v>98</v>
      </c>
      <c r="D115">
        <f>AVERAGE(D112:D113)</f>
        <v>20.587500000000002</v>
      </c>
      <c r="G115">
        <f>AVERAGE(G112:G114)</f>
        <v>22.366666666666664</v>
      </c>
      <c r="J115">
        <f>AVERAGE(J112:J113)</f>
        <v>20.449999999999996</v>
      </c>
      <c r="M115">
        <f>AVERAGE(M112:M113)</f>
        <v>17.18333333333333</v>
      </c>
    </row>
    <row r="116" spans="1:14">
      <c r="A116" t="s">
        <v>99</v>
      </c>
      <c r="D116">
        <f>STDEV(D112:D113)</f>
        <v>1.1136931803688093</v>
      </c>
      <c r="G116">
        <f>STDEV(G112:G114)</f>
        <v>3.2001302056843381</v>
      </c>
      <c r="J116">
        <f>STDEV(J112:J113)</f>
        <v>1.3435028842544343</v>
      </c>
      <c r="M116">
        <f>STDEV(M112:M113)</f>
        <v>0.44783429475148229</v>
      </c>
    </row>
    <row r="117" spans="1:14">
      <c r="A117" t="s">
        <v>41</v>
      </c>
      <c r="D117">
        <f>D116/(SQRT(2))</f>
        <v>0.78749999999999776</v>
      </c>
      <c r="G117">
        <f>G116/(SQRT(3))</f>
        <v>1.8475960356937051</v>
      </c>
      <c r="J117">
        <f>J116/(SQRT(2))</f>
        <v>0.94999999999999574</v>
      </c>
      <c r="M117">
        <f>M116/(SQRT(2))</f>
        <v>0.31666666666666821</v>
      </c>
    </row>
    <row r="119" spans="1:14">
      <c r="A119" s="33" t="s">
        <v>75</v>
      </c>
      <c r="B119" s="29" t="s">
        <v>90</v>
      </c>
      <c r="C119" s="29" t="s">
        <v>87</v>
      </c>
      <c r="D119" s="30" t="s">
        <v>89</v>
      </c>
      <c r="E119" s="34" t="s">
        <v>91</v>
      </c>
      <c r="F119" s="29" t="s">
        <v>86</v>
      </c>
      <c r="G119" s="30" t="s">
        <v>88</v>
      </c>
      <c r="H119" s="34" t="s">
        <v>93</v>
      </c>
      <c r="I119" s="29" t="s">
        <v>94</v>
      </c>
      <c r="J119" s="30" t="s">
        <v>92</v>
      </c>
      <c r="K119" s="34" t="s">
        <v>95</v>
      </c>
      <c r="L119" s="29" t="s">
        <v>96</v>
      </c>
      <c r="M119" s="30" t="s">
        <v>97</v>
      </c>
      <c r="N119" s="36" t="s">
        <v>130</v>
      </c>
    </row>
    <row r="120" spans="1:14">
      <c r="A120" s="32">
        <v>1</v>
      </c>
      <c r="B120" s="31">
        <v>137.4</v>
      </c>
      <c r="C120" s="31">
        <v>57.1</v>
      </c>
      <c r="D120" s="32">
        <f>((B120-C120)/4)</f>
        <v>20.075000000000003</v>
      </c>
      <c r="E120" s="39">
        <v>181.3</v>
      </c>
      <c r="F120" s="39">
        <v>148.30000000000001</v>
      </c>
      <c r="G120" s="32">
        <f>((E120-F120)/2)</f>
        <v>16.5</v>
      </c>
      <c r="H120" s="31">
        <v>105.6</v>
      </c>
      <c r="I120" s="31">
        <v>49.9</v>
      </c>
      <c r="J120" s="32">
        <f>((H120-I120)/3)</f>
        <v>18.566666666666666</v>
      </c>
      <c r="K120" s="24">
        <v>150.9</v>
      </c>
      <c r="L120" s="24">
        <v>108</v>
      </c>
      <c r="M120" s="32">
        <f>((K120-L120)/3)</f>
        <v>14.300000000000002</v>
      </c>
      <c r="N120" t="s">
        <v>60</v>
      </c>
    </row>
    <row r="121" spans="1:14">
      <c r="A121" s="32">
        <v>2</v>
      </c>
      <c r="B121" s="31">
        <v>95.8</v>
      </c>
      <c r="C121" s="31">
        <v>54.5</v>
      </c>
      <c r="D121" s="32">
        <f>((B121-C121)/2)</f>
        <v>20.65</v>
      </c>
      <c r="E121" s="31">
        <v>163.19999999999999</v>
      </c>
      <c r="F121" s="31">
        <v>129.30000000000001</v>
      </c>
      <c r="G121" s="32">
        <f>((E121-F121)/2)</f>
        <v>16.949999999999989</v>
      </c>
      <c r="H121" s="31">
        <v>178.3</v>
      </c>
      <c r="I121" s="31">
        <v>134.9</v>
      </c>
      <c r="J121" s="32">
        <f>((H121-I121)/2)</f>
        <v>21.700000000000003</v>
      </c>
      <c r="K121" s="24">
        <v>91.5</v>
      </c>
      <c r="L121" s="24">
        <v>49.4</v>
      </c>
      <c r="M121" s="32">
        <f>((K121-L121)/3)</f>
        <v>14.033333333333333</v>
      </c>
      <c r="N121" s="40"/>
    </row>
    <row r="122" spans="1:14">
      <c r="A122" s="31">
        <v>3</v>
      </c>
      <c r="B122" s="31"/>
      <c r="C122" s="31"/>
      <c r="D122" s="31"/>
      <c r="E122" s="31">
        <v>130.80000000000001</v>
      </c>
      <c r="F122" s="31">
        <v>95.8</v>
      </c>
      <c r="G122" s="32">
        <f>((E122-F122)/2)</f>
        <v>17.500000000000007</v>
      </c>
      <c r="H122" s="31"/>
      <c r="I122" s="31"/>
      <c r="J122" s="31"/>
      <c r="K122" s="24"/>
      <c r="L122" s="24"/>
      <c r="M122" s="31"/>
      <c r="N122" s="40"/>
    </row>
    <row r="123" spans="1:14">
      <c r="A123" t="s">
        <v>98</v>
      </c>
      <c r="D123">
        <f>AVERAGE(D120:D121)</f>
        <v>20.362500000000001</v>
      </c>
      <c r="G123">
        <f>AVERAGE(G120:G122)</f>
        <v>16.983333333333331</v>
      </c>
      <c r="J123">
        <f>AVERAGE(J120:J121)</f>
        <v>20.133333333333333</v>
      </c>
      <c r="M123">
        <f>AVERAGE(M120:M121)</f>
        <v>14.166666666666668</v>
      </c>
    </row>
    <row r="124" spans="1:14">
      <c r="A124" t="s">
        <v>99</v>
      </c>
      <c r="D124">
        <f>STDEV(D120:D121)</f>
        <v>0.4065863991822618</v>
      </c>
      <c r="G124">
        <f>STDEV(G120:G122)</f>
        <v>0.50083264004389472</v>
      </c>
      <c r="J124">
        <f>STDEV(J120:J121)</f>
        <v>2.2156012477178511</v>
      </c>
      <c r="M124">
        <f>STDEV(M120:M121)</f>
        <v>0.1885618083164145</v>
      </c>
    </row>
    <row r="125" spans="1:14">
      <c r="A125" t="s">
        <v>41</v>
      </c>
      <c r="D125">
        <f>D124/(SQRT(2))</f>
        <v>0.28749999999999787</v>
      </c>
      <c r="G125">
        <f>G124/(SQRT(3))</f>
        <v>0.28915585954829359</v>
      </c>
      <c r="J125">
        <f>J124/(SQRT(2))</f>
        <v>1.566666666666668</v>
      </c>
      <c r="M125">
        <f>M124/(SQRT(2))</f>
        <v>0.13333333333333461</v>
      </c>
    </row>
    <row r="127" spans="1:14">
      <c r="A127" s="33" t="s">
        <v>76</v>
      </c>
      <c r="B127" s="29" t="s">
        <v>90</v>
      </c>
      <c r="C127" s="29" t="s">
        <v>87</v>
      </c>
      <c r="D127" s="30" t="s">
        <v>89</v>
      </c>
      <c r="E127" s="34" t="s">
        <v>91</v>
      </c>
      <c r="F127" s="29" t="s">
        <v>86</v>
      </c>
      <c r="G127" s="30" t="s">
        <v>88</v>
      </c>
      <c r="H127" s="34" t="s">
        <v>93</v>
      </c>
      <c r="I127" s="29" t="s">
        <v>94</v>
      </c>
      <c r="J127" s="30" t="s">
        <v>92</v>
      </c>
      <c r="K127" s="34" t="s">
        <v>95</v>
      </c>
      <c r="L127" s="29" t="s">
        <v>96</v>
      </c>
      <c r="M127" s="30" t="s">
        <v>97</v>
      </c>
      <c r="N127" s="36" t="s">
        <v>131</v>
      </c>
    </row>
    <row r="128" spans="1:14">
      <c r="A128" s="32">
        <v>1</v>
      </c>
      <c r="B128" s="31">
        <v>153.1</v>
      </c>
      <c r="C128" s="31">
        <v>89.2</v>
      </c>
      <c r="D128" s="32">
        <f>((B128-C128)/3)</f>
        <v>21.299999999999997</v>
      </c>
      <c r="E128" s="39">
        <v>148.30000000000001</v>
      </c>
      <c r="F128" s="39">
        <v>105.4</v>
      </c>
      <c r="G128" s="32">
        <f>((E128-F128)/2)</f>
        <v>21.450000000000003</v>
      </c>
      <c r="H128" s="31">
        <v>192.1</v>
      </c>
      <c r="I128" s="31">
        <v>147.6</v>
      </c>
      <c r="J128" s="32">
        <f>((H128-I128)/2)</f>
        <v>22.25</v>
      </c>
      <c r="K128" s="24">
        <v>192.1</v>
      </c>
      <c r="L128" s="24">
        <v>154.69999999999999</v>
      </c>
      <c r="M128" s="32">
        <f>((K128-L128)/2)</f>
        <v>18.700000000000003</v>
      </c>
      <c r="N128" t="s">
        <v>60</v>
      </c>
    </row>
    <row r="129" spans="1:14">
      <c r="A129" s="32">
        <v>2</v>
      </c>
      <c r="B129" s="31">
        <v>163.80000000000001</v>
      </c>
      <c r="C129" s="31">
        <v>109.9</v>
      </c>
      <c r="D129" s="32">
        <f>((B129-C129)/2)</f>
        <v>26.950000000000003</v>
      </c>
      <c r="E129" s="31">
        <v>129.30000000000001</v>
      </c>
      <c r="F129" s="31">
        <v>92</v>
      </c>
      <c r="G129" s="32">
        <f>((E129-F129)/2)</f>
        <v>18.650000000000006</v>
      </c>
      <c r="H129" s="31">
        <v>134.9</v>
      </c>
      <c r="I129" s="31">
        <v>92.1</v>
      </c>
      <c r="J129" s="32">
        <f>((H129-I129)/2)</f>
        <v>21.400000000000006</v>
      </c>
      <c r="K129" s="24">
        <v>200</v>
      </c>
      <c r="L129" s="24">
        <v>152</v>
      </c>
      <c r="M129" s="32">
        <f>((K129-L129)/3)</f>
        <v>16</v>
      </c>
      <c r="N129" s="40"/>
    </row>
    <row r="130" spans="1:14">
      <c r="A130" s="31">
        <v>3</v>
      </c>
      <c r="B130" s="31"/>
      <c r="C130" s="31"/>
      <c r="D130" s="31"/>
      <c r="E130" s="31">
        <v>181.2</v>
      </c>
      <c r="F130" s="31">
        <v>147.80000000000001</v>
      </c>
      <c r="G130" s="32">
        <f>((E130-F130)/1)</f>
        <v>33.399999999999977</v>
      </c>
      <c r="H130" s="31"/>
      <c r="I130" s="31"/>
      <c r="J130" s="31"/>
      <c r="K130" s="24"/>
      <c r="L130" s="24"/>
      <c r="M130" s="31"/>
      <c r="N130" s="40"/>
    </row>
    <row r="131" spans="1:14">
      <c r="A131" t="s">
        <v>98</v>
      </c>
      <c r="D131">
        <f>AVERAGE(D128:D129)</f>
        <v>24.125</v>
      </c>
      <c r="G131">
        <f>AVERAGE(G128:G130)</f>
        <v>24.499999999999996</v>
      </c>
      <c r="J131">
        <f>AVERAGE(J128:J129)</f>
        <v>21.825000000000003</v>
      </c>
      <c r="M131">
        <f>AVERAGE(M128:M129)</f>
        <v>17.350000000000001</v>
      </c>
    </row>
    <row r="132" spans="1:14">
      <c r="A132" t="s">
        <v>99</v>
      </c>
      <c r="D132">
        <f>STDEV(D128:D129)</f>
        <v>3.9951533137040016</v>
      </c>
      <c r="G132">
        <f>STDEV(G128:G130)</f>
        <v>7.8337411241372941</v>
      </c>
      <c r="J132">
        <f>STDEV(J128:J129)</f>
        <v>0.60104076400856143</v>
      </c>
      <c r="M132">
        <f>STDEV(M128:M129)</f>
        <v>1.9091883092036803</v>
      </c>
    </row>
    <row r="133" spans="1:14">
      <c r="A133" t="s">
        <v>41</v>
      </c>
      <c r="D133">
        <f>D132/(SQRT(2))</f>
        <v>2.8250000000000055</v>
      </c>
      <c r="G133">
        <f>G132/(SQRT(3))</f>
        <v>4.5228125467825082</v>
      </c>
      <c r="J133">
        <f>J132/(SQRT(2))</f>
        <v>0.42499999999999716</v>
      </c>
      <c r="M133">
        <f>M132/(SQRT(2))</f>
        <v>1.3500000000000014</v>
      </c>
    </row>
    <row r="135" spans="1:14">
      <c r="A135" s="33" t="s">
        <v>77</v>
      </c>
      <c r="B135" s="29" t="s">
        <v>90</v>
      </c>
      <c r="C135" s="29" t="s">
        <v>87</v>
      </c>
      <c r="D135" s="30" t="s">
        <v>89</v>
      </c>
      <c r="E135" s="34" t="s">
        <v>91</v>
      </c>
      <c r="F135" s="29" t="s">
        <v>86</v>
      </c>
      <c r="G135" s="30" t="s">
        <v>88</v>
      </c>
      <c r="H135" s="34" t="s">
        <v>93</v>
      </c>
      <c r="I135" s="29" t="s">
        <v>94</v>
      </c>
      <c r="J135" s="30" t="s">
        <v>92</v>
      </c>
      <c r="K135" s="34" t="s">
        <v>95</v>
      </c>
      <c r="L135" s="29" t="s">
        <v>96</v>
      </c>
      <c r="M135" s="30" t="s">
        <v>97</v>
      </c>
      <c r="N135" s="36" t="s">
        <v>133</v>
      </c>
    </row>
    <row r="136" spans="1:14">
      <c r="A136" s="32">
        <v>1</v>
      </c>
      <c r="B136" s="31">
        <v>181.8</v>
      </c>
      <c r="C136" s="31">
        <v>88.1</v>
      </c>
      <c r="D136" s="32">
        <f>((B136-C136)/3)</f>
        <v>31.233333333333338</v>
      </c>
      <c r="E136" s="39">
        <v>105.4</v>
      </c>
      <c r="F136" s="39">
        <v>41.7</v>
      </c>
      <c r="G136" s="32">
        <f>((E136-F136)/2)</f>
        <v>31.85</v>
      </c>
      <c r="H136" s="31">
        <v>147.6</v>
      </c>
      <c r="I136" s="31">
        <v>83.6</v>
      </c>
      <c r="J136" s="32">
        <f>((H136-I136)/2)</f>
        <v>32</v>
      </c>
      <c r="K136" s="24">
        <v>154.69999999999999</v>
      </c>
      <c r="L136" s="24">
        <v>124</v>
      </c>
      <c r="M136" s="32">
        <f>((K136-L136)/1)</f>
        <v>30.699999999999989</v>
      </c>
      <c r="N136" t="s">
        <v>58</v>
      </c>
    </row>
    <row r="137" spans="1:14">
      <c r="A137" s="32">
        <v>2</v>
      </c>
      <c r="B137" s="31">
        <v>109.9</v>
      </c>
      <c r="C137" s="31">
        <v>37.200000000000003</v>
      </c>
      <c r="D137" s="32">
        <f>((B137-C137)/2)</f>
        <v>36.35</v>
      </c>
      <c r="E137" s="31">
        <v>148.69999999999999</v>
      </c>
      <c r="F137" s="31">
        <v>97</v>
      </c>
      <c r="G137" s="32">
        <f>((E137-F137)/2)</f>
        <v>25.849999999999994</v>
      </c>
      <c r="H137" s="31">
        <v>178.8</v>
      </c>
      <c r="I137" s="31">
        <v>116.4</v>
      </c>
      <c r="J137" s="32">
        <f>((H137-I137)/2)</f>
        <v>31.200000000000003</v>
      </c>
      <c r="K137" s="24">
        <v>152</v>
      </c>
      <c r="L137" s="24">
        <v>90.3</v>
      </c>
      <c r="M137" s="32">
        <f>((K137-L137)/3)</f>
        <v>20.566666666666666</v>
      </c>
      <c r="N137" s="40"/>
    </row>
    <row r="138" spans="1:14">
      <c r="A138" s="31">
        <v>3</v>
      </c>
      <c r="B138" s="31"/>
      <c r="C138" s="31"/>
      <c r="D138" s="31"/>
      <c r="E138" s="31">
        <v>147.80000000000001</v>
      </c>
      <c r="F138" s="31">
        <v>115.3</v>
      </c>
      <c r="G138" s="32">
        <f>((E138-F138)/1)</f>
        <v>32.500000000000014</v>
      </c>
      <c r="H138" s="31"/>
      <c r="I138" s="31"/>
      <c r="J138" s="31"/>
      <c r="K138" s="24"/>
      <c r="L138" s="24"/>
      <c r="M138" s="31"/>
      <c r="N138" s="40"/>
    </row>
    <row r="139" spans="1:14">
      <c r="A139" t="s">
        <v>98</v>
      </c>
      <c r="D139">
        <f>AVERAGE(D136:D137)</f>
        <v>33.791666666666671</v>
      </c>
      <c r="G139">
        <f>AVERAGE(G136:G138)</f>
        <v>30.066666666666674</v>
      </c>
      <c r="J139">
        <f>AVERAGE(J136:J137)</f>
        <v>31.6</v>
      </c>
      <c r="M139">
        <f>AVERAGE(M136:M137)</f>
        <v>25.633333333333326</v>
      </c>
    </row>
    <row r="140" spans="1:14">
      <c r="A140" t="s">
        <v>99</v>
      </c>
      <c r="D140">
        <f>STDEV(D136:D137)</f>
        <v>3.6180296970711661</v>
      </c>
      <c r="G140">
        <f>STDEV(G136:G138)</f>
        <v>3.6661742093541321</v>
      </c>
      <c r="J140">
        <f>STDEV(J136:J137)</f>
        <v>0.56568542494923602</v>
      </c>
      <c r="M140">
        <f>STDEV(M136:M137)</f>
        <v>7.1653487160237024</v>
      </c>
    </row>
    <row r="141" spans="1:14">
      <c r="A141" t="s">
        <v>41</v>
      </c>
      <c r="D141">
        <f>D140/(SQRT(2))</f>
        <v>2.5583333333333318</v>
      </c>
      <c r="G141">
        <f>G140/(SQRT(3))</f>
        <v>2.1166666666666716</v>
      </c>
      <c r="J141">
        <f>J140/(SQRT(2))</f>
        <v>0.39999999999999858</v>
      </c>
      <c r="M141">
        <f>M140/(SQRT(2))</f>
        <v>5.0666666666666806</v>
      </c>
    </row>
    <row r="143" spans="1:14">
      <c r="A143" s="33" t="s">
        <v>78</v>
      </c>
      <c r="B143" s="29" t="s">
        <v>90</v>
      </c>
      <c r="C143" s="29" t="s">
        <v>87</v>
      </c>
      <c r="D143" s="30" t="s">
        <v>89</v>
      </c>
      <c r="E143" s="34" t="s">
        <v>91</v>
      </c>
      <c r="F143" s="29" t="s">
        <v>86</v>
      </c>
      <c r="G143" s="30" t="s">
        <v>88</v>
      </c>
      <c r="H143" s="34" t="s">
        <v>93</v>
      </c>
      <c r="I143" s="29" t="s">
        <v>94</v>
      </c>
      <c r="J143" s="30" t="s">
        <v>92</v>
      </c>
      <c r="K143" s="34" t="s">
        <v>95</v>
      </c>
      <c r="L143" s="29" t="s">
        <v>96</v>
      </c>
      <c r="M143" s="30" t="s">
        <v>97</v>
      </c>
      <c r="N143" s="36" t="s">
        <v>134</v>
      </c>
    </row>
    <row r="144" spans="1:14">
      <c r="A144" s="32">
        <v>1</v>
      </c>
      <c r="B144" s="31">
        <v>155.4</v>
      </c>
      <c r="C144" s="31">
        <v>104.6</v>
      </c>
      <c r="D144" s="32">
        <f>((B144-C144)/3)</f>
        <v>16.933333333333337</v>
      </c>
      <c r="E144" s="39">
        <v>125.7</v>
      </c>
      <c r="F144" s="39">
        <v>92.9</v>
      </c>
      <c r="G144" s="32">
        <f>((E144-F144)/2)</f>
        <v>16.399999999999999</v>
      </c>
      <c r="H144" s="31">
        <v>162</v>
      </c>
      <c r="I144" s="31">
        <v>127.2</v>
      </c>
      <c r="J144" s="32">
        <f>((H144-I144)/2)</f>
        <v>17.399999999999999</v>
      </c>
      <c r="K144" s="24">
        <v>124</v>
      </c>
      <c r="L144" s="24">
        <v>108.6</v>
      </c>
      <c r="M144" s="32">
        <f>((K144-L144)/1)</f>
        <v>15.400000000000006</v>
      </c>
      <c r="N144" t="s">
        <v>70</v>
      </c>
    </row>
    <row r="145" spans="1:14">
      <c r="A145" s="32">
        <v>2</v>
      </c>
      <c r="B145" s="31">
        <v>173.6</v>
      </c>
      <c r="C145" s="31">
        <v>140.69999999999999</v>
      </c>
      <c r="D145" s="32">
        <f>((B145-C145)/2)</f>
        <v>16.450000000000003</v>
      </c>
      <c r="E145" s="31">
        <v>174.5</v>
      </c>
      <c r="F145" s="31">
        <v>141.6</v>
      </c>
      <c r="G145" s="32">
        <f>((E145-F145)/2)</f>
        <v>16.450000000000003</v>
      </c>
      <c r="H145" s="31">
        <v>186.7</v>
      </c>
      <c r="I145" s="31">
        <v>154</v>
      </c>
      <c r="J145" s="32">
        <f>((H145-I145)/2)</f>
        <v>16.349999999999994</v>
      </c>
      <c r="K145" s="24">
        <v>174.4</v>
      </c>
      <c r="L145" s="24">
        <v>132.1</v>
      </c>
      <c r="M145" s="32">
        <f>((K145-L145)/3)</f>
        <v>14.100000000000003</v>
      </c>
      <c r="N145" s="40"/>
    </row>
    <row r="146" spans="1:14">
      <c r="A146" s="31">
        <v>3</v>
      </c>
      <c r="B146" s="31"/>
      <c r="C146" s="31"/>
      <c r="D146" s="31"/>
      <c r="E146" s="31">
        <v>115.3</v>
      </c>
      <c r="F146" s="31">
        <v>93.9</v>
      </c>
      <c r="G146" s="32">
        <f>((E146-F146)/1)</f>
        <v>21.399999999999991</v>
      </c>
      <c r="H146" s="31"/>
      <c r="I146" s="31"/>
      <c r="J146" s="31"/>
      <c r="K146" s="24"/>
      <c r="L146" s="24"/>
      <c r="M146" s="31"/>
      <c r="N146" s="40"/>
    </row>
    <row r="147" spans="1:14">
      <c r="A147" t="s">
        <v>98</v>
      </c>
      <c r="D147">
        <f>AVERAGE(D144:D145)</f>
        <v>16.69166666666667</v>
      </c>
      <c r="G147">
        <f>AVERAGE(G144:G146)</f>
        <v>18.083333333333332</v>
      </c>
      <c r="J147">
        <f>AVERAGE(J144:J145)</f>
        <v>16.874999999999996</v>
      </c>
      <c r="M147">
        <f>AVERAGE(M144:M145)</f>
        <v>14.750000000000004</v>
      </c>
    </row>
    <row r="148" spans="1:14">
      <c r="A148" t="s">
        <v>99</v>
      </c>
      <c r="D148">
        <f>STDEV(D144:D145)</f>
        <v>0.34176827757349865</v>
      </c>
      <c r="G148">
        <f>STDEV(G144:G146)</f>
        <v>2.8724263843192355</v>
      </c>
      <c r="J148">
        <f>STDEV(J144:J145)</f>
        <v>0.74246212024587788</v>
      </c>
      <c r="M148">
        <f>STDEV(M144:M145)</f>
        <v>0.91923881554251363</v>
      </c>
    </row>
    <row r="149" spans="1:14">
      <c r="A149" t="s">
        <v>41</v>
      </c>
      <c r="D149">
        <f>D148/(SQRT(2))</f>
        <v>0.24166666666666714</v>
      </c>
      <c r="G149">
        <f>G148/(SQRT(3))</f>
        <v>1.6583961462140941</v>
      </c>
      <c r="J149">
        <f>J148/(SQRT(2))</f>
        <v>0.52500000000000202</v>
      </c>
      <c r="M149">
        <f>M148/(SQRT(2))</f>
        <v>0.65000000000000124</v>
      </c>
    </row>
    <row r="151" spans="1:14">
      <c r="A151" s="33" t="s">
        <v>80</v>
      </c>
      <c r="B151" s="29" t="s">
        <v>90</v>
      </c>
      <c r="C151" s="29" t="s">
        <v>87</v>
      </c>
      <c r="D151" s="30" t="s">
        <v>89</v>
      </c>
      <c r="E151" s="34" t="s">
        <v>91</v>
      </c>
      <c r="F151" s="29" t="s">
        <v>86</v>
      </c>
      <c r="G151" s="30" t="s">
        <v>88</v>
      </c>
      <c r="H151" s="34" t="s">
        <v>93</v>
      </c>
      <c r="I151" s="29" t="s">
        <v>94</v>
      </c>
      <c r="J151" s="30" t="s">
        <v>92</v>
      </c>
      <c r="K151" s="34" t="s">
        <v>95</v>
      </c>
      <c r="L151" s="29" t="s">
        <v>96</v>
      </c>
      <c r="M151" s="30" t="s">
        <v>97</v>
      </c>
      <c r="N151" s="36" t="s">
        <v>135</v>
      </c>
    </row>
    <row r="152" spans="1:14">
      <c r="A152" s="32">
        <v>1</v>
      </c>
      <c r="B152" s="31">
        <v>104.6</v>
      </c>
      <c r="C152" s="31">
        <v>52</v>
      </c>
      <c r="D152" s="32">
        <f>((B152-C152)/3)</f>
        <v>17.533333333333331</v>
      </c>
      <c r="E152" s="39">
        <v>92.9</v>
      </c>
      <c r="F152" s="39">
        <v>57.5</v>
      </c>
      <c r="G152" s="32">
        <f>((E152-F152)/2)</f>
        <v>17.700000000000003</v>
      </c>
      <c r="H152" s="31">
        <v>127.2</v>
      </c>
      <c r="I152" s="31">
        <v>89.8</v>
      </c>
      <c r="J152" s="32">
        <f>((H152-I152)/2)</f>
        <v>18.700000000000003</v>
      </c>
      <c r="K152" s="24">
        <v>108.6</v>
      </c>
      <c r="L152" s="24">
        <v>93.4</v>
      </c>
      <c r="M152" s="32">
        <f>((K152-L152)/1)</f>
        <v>15.199999999999989</v>
      </c>
      <c r="N152" t="s">
        <v>70</v>
      </c>
    </row>
    <row r="153" spans="1:14">
      <c r="A153" s="32">
        <v>2</v>
      </c>
      <c r="B153" s="31">
        <v>140.69999999999999</v>
      </c>
      <c r="C153" s="31">
        <v>105.7</v>
      </c>
      <c r="D153" s="32">
        <f>((B153-C153)/2)</f>
        <v>17.499999999999993</v>
      </c>
      <c r="E153" s="31">
        <v>141.6</v>
      </c>
      <c r="F153" s="31">
        <v>107.8</v>
      </c>
      <c r="G153" s="32">
        <f>((E153-F153)/2)</f>
        <v>16.899999999999999</v>
      </c>
      <c r="H153" s="31">
        <v>154</v>
      </c>
      <c r="I153" s="31">
        <v>119.9</v>
      </c>
      <c r="J153" s="32">
        <f>((H153-I153)/2)</f>
        <v>17.049999999999997</v>
      </c>
      <c r="K153" s="24">
        <v>132.1</v>
      </c>
      <c r="L153" s="24">
        <v>90.9</v>
      </c>
      <c r="M153" s="32">
        <f>((K153-L153)/3)</f>
        <v>13.733333333333329</v>
      </c>
      <c r="N153" s="40"/>
    </row>
    <row r="154" spans="1:14">
      <c r="A154" s="31">
        <v>3</v>
      </c>
      <c r="B154" s="31"/>
      <c r="C154" s="31"/>
      <c r="D154" s="31"/>
      <c r="E154" s="31">
        <v>93.9</v>
      </c>
      <c r="F154" s="31">
        <v>71.8</v>
      </c>
      <c r="G154" s="32">
        <f>((E154-F154)/1)</f>
        <v>22.100000000000009</v>
      </c>
      <c r="H154" s="31"/>
      <c r="I154" s="31"/>
      <c r="J154" s="31"/>
      <c r="K154" s="24"/>
      <c r="L154" s="24"/>
      <c r="M154" s="31"/>
      <c r="N154" s="40"/>
    </row>
    <row r="155" spans="1:14">
      <c r="A155" t="s">
        <v>98</v>
      </c>
      <c r="D155">
        <f>AVERAGE(D152:D153)</f>
        <v>17.516666666666662</v>
      </c>
      <c r="G155">
        <f>AVERAGE(G152:G154)</f>
        <v>18.900000000000002</v>
      </c>
      <c r="J155">
        <f>AVERAGE(J152:J153)</f>
        <v>17.875</v>
      </c>
      <c r="M155">
        <f>AVERAGE(M152:M153)</f>
        <v>14.466666666666658</v>
      </c>
    </row>
    <row r="156" spans="1:14">
      <c r="A156" t="s">
        <v>99</v>
      </c>
      <c r="D156">
        <f>STDEV(D152:D153)</f>
        <v>2.3570226039555268E-2</v>
      </c>
      <c r="G156">
        <f>STDEV(G152:G154)</f>
        <v>2.8000000000000056</v>
      </c>
      <c r="J156">
        <f>STDEV(J152:J153)</f>
        <v>1.1667261889578076</v>
      </c>
      <c r="M156">
        <f>STDEV(M152:M153)</f>
        <v>1.0370899457402647</v>
      </c>
    </row>
    <row r="157" spans="1:14">
      <c r="A157" t="s">
        <v>41</v>
      </c>
      <c r="D157">
        <f>D156/(SQRT(2))</f>
        <v>1.6666666666669272E-2</v>
      </c>
      <c r="G157">
        <f>G156/(SQRT(3))</f>
        <v>1.6165807537309556</v>
      </c>
      <c r="J157">
        <f>J156/(SQRT(2))</f>
        <v>0.82500000000000284</v>
      </c>
      <c r="M157">
        <f>M156/(SQRT(2))</f>
        <v>0.73333333333332973</v>
      </c>
    </row>
    <row r="159" spans="1:14">
      <c r="A159" s="33" t="s">
        <v>81</v>
      </c>
      <c r="B159" s="29" t="s">
        <v>90</v>
      </c>
      <c r="C159" s="29" t="s">
        <v>87</v>
      </c>
      <c r="D159" s="30" t="s">
        <v>89</v>
      </c>
      <c r="E159" s="34" t="s">
        <v>91</v>
      </c>
      <c r="F159" s="29" t="s">
        <v>86</v>
      </c>
      <c r="G159" s="30" t="s">
        <v>88</v>
      </c>
      <c r="H159" s="34" t="s">
        <v>93</v>
      </c>
      <c r="I159" s="29" t="s">
        <v>94</v>
      </c>
      <c r="J159" s="30" t="s">
        <v>92</v>
      </c>
      <c r="K159" s="34" t="s">
        <v>95</v>
      </c>
      <c r="L159" s="29" t="s">
        <v>96</v>
      </c>
      <c r="M159" s="30" t="s">
        <v>97</v>
      </c>
      <c r="N159" s="36" t="s">
        <v>136</v>
      </c>
    </row>
    <row r="160" spans="1:14">
      <c r="A160" s="32">
        <v>1</v>
      </c>
      <c r="B160" s="31">
        <v>73.8</v>
      </c>
      <c r="C160" s="31"/>
      <c r="D160" s="32">
        <f>((B160-C160)/3)</f>
        <v>24.599999999999998</v>
      </c>
      <c r="E160" s="39">
        <v>78.400000000000006</v>
      </c>
      <c r="F160" s="39"/>
      <c r="G160" s="32">
        <f>((E160-F160)/2)</f>
        <v>39.200000000000003</v>
      </c>
      <c r="H160" s="31">
        <v>89.8</v>
      </c>
      <c r="I160" s="31"/>
      <c r="J160" s="32">
        <f>((H160-I160)/2)</f>
        <v>44.9</v>
      </c>
      <c r="K160" s="24">
        <v>93.4</v>
      </c>
      <c r="L160" s="24"/>
      <c r="M160" s="32">
        <f>((K160-L160)/1)</f>
        <v>93.4</v>
      </c>
      <c r="N160" t="s">
        <v>70</v>
      </c>
    </row>
    <row r="161" spans="1:14">
      <c r="A161" s="32">
        <v>2</v>
      </c>
      <c r="B161" s="31">
        <v>105.7</v>
      </c>
      <c r="C161" s="31"/>
      <c r="D161" s="32">
        <f>((B161-C161)/2)</f>
        <v>52.85</v>
      </c>
      <c r="E161" s="31">
        <v>107.8</v>
      </c>
      <c r="F161" s="31"/>
      <c r="G161" s="32">
        <f>((E161-F161)/2)</f>
        <v>53.9</v>
      </c>
      <c r="H161" s="31">
        <v>119.9</v>
      </c>
      <c r="I161" s="31"/>
      <c r="J161" s="32">
        <f>((H161-I161)/2)</f>
        <v>59.95</v>
      </c>
      <c r="K161" s="24">
        <v>90.9</v>
      </c>
      <c r="L161" s="24"/>
      <c r="M161" s="32">
        <f>((K161-L161)/3)</f>
        <v>30.3</v>
      </c>
      <c r="N161" s="40" t="s">
        <v>137</v>
      </c>
    </row>
    <row r="162" spans="1:14">
      <c r="A162" s="31">
        <v>3</v>
      </c>
      <c r="B162" s="31"/>
      <c r="C162" s="31"/>
      <c r="D162" s="31"/>
      <c r="E162" s="31">
        <v>71.8</v>
      </c>
      <c r="F162" s="31"/>
      <c r="G162" s="32">
        <f>((E162-F162)/1)</f>
        <v>71.8</v>
      </c>
      <c r="H162" s="31"/>
      <c r="I162" s="31"/>
      <c r="J162" s="31"/>
      <c r="K162" s="24"/>
      <c r="L162" s="24"/>
      <c r="M162" s="31"/>
      <c r="N162" s="40"/>
    </row>
    <row r="163" spans="1:14">
      <c r="A163" t="s">
        <v>98</v>
      </c>
      <c r="D163">
        <f>AVERAGE(D160:D161)</f>
        <v>38.725000000000001</v>
      </c>
      <c r="G163">
        <f>AVERAGE(G160:G162)</f>
        <v>54.966666666666661</v>
      </c>
      <c r="J163">
        <f>AVERAGE(J160:J161)</f>
        <v>52.424999999999997</v>
      </c>
      <c r="M163">
        <f>AVERAGE(M160:M161)</f>
        <v>61.85</v>
      </c>
    </row>
    <row r="164" spans="1:14">
      <c r="A164" t="s">
        <v>99</v>
      </c>
      <c r="D164">
        <f>STDEV(D160:D161)</f>
        <v>19.975766568519955</v>
      </c>
      <c r="G164">
        <f>STDEV(G160:G162)</f>
        <v>16.326154885132471</v>
      </c>
      <c r="J164">
        <f>STDEV(J160:J161)</f>
        <v>10.641957056857596</v>
      </c>
      <c r="M164">
        <f>STDEV(M160:M161)</f>
        <v>44.618437892871164</v>
      </c>
    </row>
    <row r="165" spans="1:14">
      <c r="A165" t="s">
        <v>41</v>
      </c>
      <c r="D165">
        <f>D164/(SQRT(2))</f>
        <v>14.124999999999989</v>
      </c>
      <c r="G165">
        <f>G164/(SQRT(3))</f>
        <v>9.4259099177627572</v>
      </c>
      <c r="J165">
        <f>J164/(SQRT(2))</f>
        <v>7.5250000000000385</v>
      </c>
      <c r="M165">
        <f>M164/(SQRT(2))</f>
        <v>31.550000000000008</v>
      </c>
    </row>
    <row r="167" spans="1:14">
      <c r="A167" s="33" t="s">
        <v>82</v>
      </c>
      <c r="B167" s="29" t="s">
        <v>90</v>
      </c>
      <c r="C167" s="29" t="s">
        <v>87</v>
      </c>
      <c r="D167" s="30" t="s">
        <v>89</v>
      </c>
      <c r="E167" s="34" t="s">
        <v>91</v>
      </c>
      <c r="F167" s="29" t="s">
        <v>86</v>
      </c>
      <c r="G167" s="30" t="s">
        <v>88</v>
      </c>
      <c r="H167" s="34" t="s">
        <v>93</v>
      </c>
      <c r="I167" s="29" t="s">
        <v>94</v>
      </c>
      <c r="J167" s="30" t="s">
        <v>92</v>
      </c>
      <c r="K167" s="34" t="s">
        <v>95</v>
      </c>
      <c r="L167" s="29" t="s">
        <v>96</v>
      </c>
      <c r="M167" s="30" t="s">
        <v>97</v>
      </c>
      <c r="N167" s="36" t="s">
        <v>138</v>
      </c>
    </row>
    <row r="168" spans="1:14">
      <c r="A168" s="32">
        <v>1</v>
      </c>
      <c r="B168" s="31">
        <v>154</v>
      </c>
      <c r="C168" s="31">
        <v>114.8</v>
      </c>
      <c r="D168" s="32">
        <f>((B168-C168)/3)</f>
        <v>13.066666666666668</v>
      </c>
      <c r="E168" s="39">
        <v>125.3</v>
      </c>
      <c r="F168" s="39">
        <v>82.7</v>
      </c>
      <c r="G168" s="32">
        <f>((E168-F168)/2)</f>
        <v>21.299999999999997</v>
      </c>
      <c r="H168" s="31">
        <v>162.80000000000001</v>
      </c>
      <c r="I168" s="31">
        <v>121.1</v>
      </c>
      <c r="J168" s="32">
        <f>((H168-I168)/2)</f>
        <v>20.850000000000009</v>
      </c>
      <c r="K168" s="24">
        <v>128.4</v>
      </c>
      <c r="L168" s="24">
        <v>111.8</v>
      </c>
      <c r="M168" s="32">
        <f>((K168-L168)/1)</f>
        <v>16.600000000000009</v>
      </c>
      <c r="N168" t="s">
        <v>139</v>
      </c>
    </row>
    <row r="169" spans="1:14">
      <c r="A169" s="32">
        <v>2</v>
      </c>
      <c r="B169" s="31">
        <v>178.9</v>
      </c>
      <c r="C169" s="31">
        <v>147.30000000000001</v>
      </c>
      <c r="D169" s="32">
        <f>((B169-C169)/2)</f>
        <v>15.799999999999997</v>
      </c>
      <c r="E169" s="31">
        <v>177.9</v>
      </c>
      <c r="F169" s="39">
        <v>131.69999999999999</v>
      </c>
      <c r="G169" s="32">
        <f>((E169-F169)/2)</f>
        <v>23.100000000000009</v>
      </c>
      <c r="H169" s="31">
        <v>200.4</v>
      </c>
      <c r="I169" s="31">
        <v>164.3</v>
      </c>
      <c r="J169" s="32">
        <f>((H169-I169)/2)</f>
        <v>18.049999999999997</v>
      </c>
      <c r="K169" s="24">
        <v>197.4</v>
      </c>
      <c r="L169" s="24">
        <v>162.9</v>
      </c>
      <c r="M169" s="32">
        <f>((K169-L169)/2)</f>
        <v>17.25</v>
      </c>
      <c r="N169" s="40"/>
    </row>
    <row r="170" spans="1:14">
      <c r="A170" s="31"/>
      <c r="B170" s="31"/>
      <c r="C170" s="31"/>
      <c r="D170" s="31"/>
      <c r="E170" s="31"/>
      <c r="F170" s="31"/>
      <c r="G170" s="32"/>
      <c r="H170" s="31"/>
      <c r="I170" s="31"/>
      <c r="J170" s="31"/>
      <c r="K170" s="24"/>
      <c r="L170" s="24"/>
      <c r="M170" s="31"/>
      <c r="N170" s="40"/>
    </row>
    <row r="171" spans="1:14">
      <c r="A171" t="s">
        <v>98</v>
      </c>
      <c r="D171">
        <f>AVERAGE(D168:D169)</f>
        <v>14.433333333333334</v>
      </c>
      <c r="G171">
        <f>AVERAGE(G168:G169)</f>
        <v>22.200000000000003</v>
      </c>
      <c r="J171">
        <f>AVERAGE(J168:J169)</f>
        <v>19.450000000000003</v>
      </c>
      <c r="M171">
        <f>AVERAGE(M168:M169)</f>
        <v>16.925000000000004</v>
      </c>
    </row>
    <row r="172" spans="1:14">
      <c r="A172" t="s">
        <v>99</v>
      </c>
      <c r="D172">
        <f>STDEV(D168:D169)</f>
        <v>1.9327585352432268</v>
      </c>
      <c r="G172">
        <f>STDEV(G168:G169)</f>
        <v>1.2727922061357937</v>
      </c>
      <c r="J172">
        <f>STDEV(J168:J169)</f>
        <v>1.9798989873223412</v>
      </c>
      <c r="M172">
        <f>STDEV(M168:M169)</f>
        <v>0.45961940777124988</v>
      </c>
    </row>
    <row r="173" spans="1:14">
      <c r="A173" t="s">
        <v>41</v>
      </c>
      <c r="D173">
        <f>D172/(SQRT(2))</f>
        <v>1.3666666666666645</v>
      </c>
      <c r="G173">
        <f>G172/(SQRT(2))</f>
        <v>0.90000000000000568</v>
      </c>
      <c r="J173">
        <f>J172/(SQRT(2))</f>
        <v>1.4000000000000057</v>
      </c>
      <c r="M173">
        <f>M172/(SQRT(2))</f>
        <v>0.32499999999999574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7D38-33DE-044D-AC15-AC518E39D5E9}">
  <dimension ref="A1:BK198"/>
  <sheetViews>
    <sheetView topLeftCell="AL7" zoomScale="60" workbookViewId="0">
      <selection activeCell="BA20" sqref="BA20"/>
    </sheetView>
  </sheetViews>
  <sheetFormatPr baseColWidth="10" defaultRowHeight="16"/>
  <cols>
    <col min="36" max="36" width="10.83203125" style="59"/>
  </cols>
  <sheetData>
    <row r="1" spans="1:56">
      <c r="A1" t="s">
        <v>176</v>
      </c>
      <c r="B1" s="43" t="s">
        <v>157</v>
      </c>
      <c r="C1" s="55" t="s">
        <v>158</v>
      </c>
      <c r="D1" s="55" t="s">
        <v>159</v>
      </c>
      <c r="E1" s="56" t="s">
        <v>160</v>
      </c>
      <c r="F1" s="56" t="s">
        <v>161</v>
      </c>
      <c r="G1" s="56" t="s">
        <v>162</v>
      </c>
      <c r="H1" s="57" t="s">
        <v>163</v>
      </c>
      <c r="I1" s="57" t="s">
        <v>164</v>
      </c>
      <c r="J1" s="58" t="s">
        <v>165</v>
      </c>
      <c r="K1" s="58" t="s">
        <v>166</v>
      </c>
      <c r="M1" t="s">
        <v>177</v>
      </c>
      <c r="N1" s="43" t="s">
        <v>157</v>
      </c>
      <c r="O1" s="55" t="s">
        <v>158</v>
      </c>
      <c r="P1" s="55" t="s">
        <v>159</v>
      </c>
      <c r="Q1" s="56" t="s">
        <v>160</v>
      </c>
      <c r="R1" s="56" t="s">
        <v>161</v>
      </c>
      <c r="S1" s="56" t="s">
        <v>162</v>
      </c>
      <c r="T1" s="57" t="s">
        <v>163</v>
      </c>
      <c r="U1" s="57" t="s">
        <v>164</v>
      </c>
      <c r="V1" s="58" t="s">
        <v>165</v>
      </c>
      <c r="W1" s="58" t="s">
        <v>166</v>
      </c>
      <c r="Y1" s="24" t="s">
        <v>180</v>
      </c>
      <c r="Z1" s="43" t="s">
        <v>157</v>
      </c>
      <c r="AA1" s="55" t="s">
        <v>158</v>
      </c>
      <c r="AB1" s="55" t="s">
        <v>159</v>
      </c>
      <c r="AC1" s="56" t="s">
        <v>160</v>
      </c>
      <c r="AD1" s="56" t="s">
        <v>161</v>
      </c>
      <c r="AE1" s="56" t="s">
        <v>162</v>
      </c>
      <c r="AF1" s="57" t="s">
        <v>163</v>
      </c>
      <c r="AG1" s="57" t="s">
        <v>164</v>
      </c>
      <c r="AH1" s="58" t="s">
        <v>165</v>
      </c>
      <c r="AI1" s="58" t="s">
        <v>166</v>
      </c>
      <c r="AJ1" s="79"/>
      <c r="AK1" s="70" t="s">
        <v>179</v>
      </c>
      <c r="AL1" s="74" t="s">
        <v>157</v>
      </c>
      <c r="AM1" s="75" t="s">
        <v>5</v>
      </c>
      <c r="AN1" s="76" t="s">
        <v>6</v>
      </c>
      <c r="AO1" s="77" t="s">
        <v>7</v>
      </c>
      <c r="AP1" s="78" t="s">
        <v>8</v>
      </c>
      <c r="AQ1" s="70"/>
      <c r="AR1" s="70" t="s">
        <v>178</v>
      </c>
      <c r="AS1" s="74" t="s">
        <v>157</v>
      </c>
      <c r="AT1" s="75" t="s">
        <v>5</v>
      </c>
      <c r="AU1" s="76" t="s">
        <v>6</v>
      </c>
      <c r="AV1" s="77" t="s">
        <v>7</v>
      </c>
      <c r="AW1" s="78" t="s">
        <v>8</v>
      </c>
      <c r="AX1" s="70"/>
      <c r="AY1" s="70" t="s">
        <v>41</v>
      </c>
      <c r="AZ1" s="74" t="s">
        <v>157</v>
      </c>
      <c r="BA1" s="75" t="s">
        <v>5</v>
      </c>
      <c r="BB1" s="76" t="s">
        <v>6</v>
      </c>
      <c r="BC1" s="77" t="s">
        <v>7</v>
      </c>
      <c r="BD1" s="78" t="s">
        <v>8</v>
      </c>
    </row>
    <row r="2" spans="1:56">
      <c r="B2">
        <v>1</v>
      </c>
      <c r="C2" s="59">
        <f>B27-C27</f>
        <v>40.700000000000045</v>
      </c>
      <c r="D2" s="59">
        <f>B28-C28</f>
        <v>12.899999999999977</v>
      </c>
      <c r="E2" s="59">
        <f>E27-F27</f>
        <v>15.699999999999989</v>
      </c>
      <c r="F2" s="59">
        <f>E28-F28</f>
        <v>8.1000000000000227</v>
      </c>
      <c r="G2" s="59"/>
      <c r="H2" s="59">
        <f>H27-I27</f>
        <v>19</v>
      </c>
      <c r="I2" s="59">
        <f>H28-I28</f>
        <v>18.199999999999989</v>
      </c>
      <c r="J2" s="59">
        <f>K27-L27</f>
        <v>15.300000000000011</v>
      </c>
      <c r="K2" s="59">
        <f>K28-L28</f>
        <v>14</v>
      </c>
      <c r="N2">
        <v>1</v>
      </c>
      <c r="O2" s="59">
        <f>C2*4.53</f>
        <v>184.37100000000021</v>
      </c>
      <c r="P2" s="59">
        <f t="shared" ref="P2:W17" si="0">D2*4.53</f>
        <v>58.436999999999898</v>
      </c>
      <c r="Q2" s="59">
        <f t="shared" si="0"/>
        <v>71.120999999999952</v>
      </c>
      <c r="R2" s="59">
        <f>F2*4.53</f>
        <v>36.693000000000104</v>
      </c>
      <c r="S2" s="59">
        <f t="shared" si="0"/>
        <v>0</v>
      </c>
      <c r="T2" s="59">
        <f t="shared" si="0"/>
        <v>86.070000000000007</v>
      </c>
      <c r="U2" s="59">
        <f t="shared" si="0"/>
        <v>82.445999999999955</v>
      </c>
      <c r="V2" s="59">
        <f t="shared" si="0"/>
        <v>69.309000000000054</v>
      </c>
      <c r="W2" s="59">
        <f t="shared" si="0"/>
        <v>63.42</v>
      </c>
      <c r="Y2" s="24"/>
      <c r="Z2" s="24">
        <v>1</v>
      </c>
      <c r="AA2" s="81">
        <v>184.37100000000021</v>
      </c>
      <c r="AB2" s="81">
        <v>58.436999999999898</v>
      </c>
      <c r="AC2" s="81">
        <v>71.120999999999952</v>
      </c>
      <c r="AD2" s="81">
        <v>36.693000000000104</v>
      </c>
      <c r="AE2" s="81">
        <v>0</v>
      </c>
      <c r="AF2" s="81">
        <v>86.070000000000007</v>
      </c>
      <c r="AG2" s="81">
        <v>82.445999999999955</v>
      </c>
      <c r="AH2" s="81">
        <v>69.309000000000054</v>
      </c>
      <c r="AI2" s="81">
        <v>63.42</v>
      </c>
      <c r="AJ2" s="80"/>
      <c r="AK2" s="70"/>
      <c r="AL2" s="70">
        <v>1</v>
      </c>
      <c r="AM2" s="80">
        <f>SUM(AA2:AB2)/6</f>
        <v>40.468000000000018</v>
      </c>
      <c r="AN2" s="80">
        <f>SUM(AC2:AE2)/6</f>
        <v>17.969000000000008</v>
      </c>
      <c r="AO2" s="80">
        <f>SUM(AF2:AG2)/6</f>
        <v>28.085999999999995</v>
      </c>
      <c r="AP2" s="80">
        <f>SUM(AH2:AI2)/6</f>
        <v>22.121500000000008</v>
      </c>
      <c r="AQ2" s="70"/>
      <c r="AR2" s="70"/>
      <c r="AS2" s="70">
        <v>1</v>
      </c>
      <c r="AT2" s="80">
        <f>AM2</f>
        <v>40.468000000000018</v>
      </c>
      <c r="AU2" s="80">
        <f t="shared" ref="AU2:AW2" si="1">AN2</f>
        <v>17.969000000000008</v>
      </c>
      <c r="AV2" s="80">
        <f t="shared" si="1"/>
        <v>28.085999999999995</v>
      </c>
      <c r="AW2" s="80">
        <f t="shared" si="1"/>
        <v>22.121500000000008</v>
      </c>
      <c r="AX2" s="70"/>
      <c r="AY2" s="70"/>
      <c r="AZ2" s="70">
        <v>1</v>
      </c>
      <c r="BA2" s="80">
        <f>STDEV(AA22:AB22)/SQRT(COUNT(AA22:AB22))</f>
        <v>8.4371250000000515</v>
      </c>
      <c r="BB2" s="80" t="s">
        <v>181</v>
      </c>
      <c r="BC2" s="80"/>
      <c r="BD2" s="80"/>
    </row>
    <row r="3" spans="1:56">
      <c r="B3">
        <v>2</v>
      </c>
      <c r="C3" s="59">
        <f>B34-C34</f>
        <v>62.199999999999989</v>
      </c>
      <c r="D3" s="59">
        <f>B35-C35</f>
        <v>25.199999999999989</v>
      </c>
      <c r="E3" s="59">
        <f>E34-F34</f>
        <v>123.40000000000003</v>
      </c>
      <c r="F3" s="59">
        <f>E35-F35</f>
        <v>36</v>
      </c>
      <c r="G3" s="59"/>
      <c r="H3" s="59">
        <f>H34-I34</f>
        <v>40.5</v>
      </c>
      <c r="I3" s="59">
        <f>H35-I35</f>
        <v>49.300000000000011</v>
      </c>
      <c r="J3" s="59">
        <f>K34-L34</f>
        <v>47.5</v>
      </c>
      <c r="K3" s="59">
        <f>K35-L35</f>
        <v>34.299999999999955</v>
      </c>
      <c r="N3">
        <v>2</v>
      </c>
      <c r="O3" s="59">
        <f t="shared" ref="O3:Q24" si="2">C3*4.53</f>
        <v>281.76599999999996</v>
      </c>
      <c r="P3" s="59">
        <f t="shared" si="0"/>
        <v>114.15599999999995</v>
      </c>
      <c r="Q3" s="59">
        <f t="shared" si="0"/>
        <v>559.00200000000018</v>
      </c>
      <c r="R3" s="59">
        <f t="shared" ref="R3:W24" si="3">F3*4.53</f>
        <v>163.08000000000001</v>
      </c>
      <c r="S3" s="59">
        <f t="shared" si="0"/>
        <v>0</v>
      </c>
      <c r="T3" s="59">
        <f t="shared" si="0"/>
        <v>183.465</v>
      </c>
      <c r="U3" s="59">
        <f t="shared" si="0"/>
        <v>223.32900000000006</v>
      </c>
      <c r="V3" s="59">
        <f t="shared" si="0"/>
        <v>215.17500000000001</v>
      </c>
      <c r="W3" s="59">
        <f t="shared" si="0"/>
        <v>155.37899999999979</v>
      </c>
      <c r="Y3" s="24"/>
      <c r="Z3" s="24">
        <v>2</v>
      </c>
      <c r="AA3" s="81">
        <v>281.76599999999996</v>
      </c>
      <c r="AB3" s="81">
        <v>114.15599999999995</v>
      </c>
      <c r="AC3" s="81">
        <v>559.00200000000018</v>
      </c>
      <c r="AD3" s="81">
        <v>163.08000000000001</v>
      </c>
      <c r="AE3" s="81">
        <v>0</v>
      </c>
      <c r="AF3" s="81">
        <v>183.465</v>
      </c>
      <c r="AG3" s="81">
        <v>223.32900000000006</v>
      </c>
      <c r="AH3" s="81">
        <v>215.17500000000001</v>
      </c>
      <c r="AI3" s="81">
        <v>155.37899999999979</v>
      </c>
      <c r="AJ3" s="80"/>
      <c r="AK3" s="70"/>
      <c r="AL3" s="70">
        <v>2</v>
      </c>
      <c r="AM3" s="80">
        <f t="shared" ref="AM3:AM14" si="4">SUM(AA3:AB3)/6</f>
        <v>65.986999999999981</v>
      </c>
      <c r="AN3" s="80">
        <f t="shared" ref="AN3:AN14" si="5">SUM(AC3:AE3)/6</f>
        <v>120.34700000000004</v>
      </c>
      <c r="AO3" s="80">
        <f t="shared" ref="AO3:AO9" si="6">SUM(AF3:AG3)/6</f>
        <v>67.799000000000021</v>
      </c>
      <c r="AP3" s="80">
        <f t="shared" ref="AP3:AP14" si="7">SUM(AH3:AI3)/6</f>
        <v>61.758999999999965</v>
      </c>
      <c r="AQ3" s="70"/>
      <c r="AR3" s="70"/>
      <c r="AS3" s="70">
        <v>2</v>
      </c>
      <c r="AT3" s="80">
        <f>SUM(AM2:AM3)</f>
        <v>106.455</v>
      </c>
      <c r="AU3" s="80">
        <f t="shared" ref="AU3:AW3" si="8">SUM(AN2:AN3)</f>
        <v>138.31600000000003</v>
      </c>
      <c r="AV3" s="80">
        <f t="shared" si="8"/>
        <v>95.885000000000019</v>
      </c>
      <c r="AW3" s="80">
        <f t="shared" si="8"/>
        <v>83.880499999999969</v>
      </c>
      <c r="AX3" s="70"/>
      <c r="AY3" s="70"/>
      <c r="AZ3" s="70">
        <v>2</v>
      </c>
      <c r="BA3" s="80">
        <f t="shared" ref="BA3:BA18" si="9">STDEV(AA23:AB23)/SQRT(COUNT(AA23:AB23))</f>
        <v>6.6817499999999965</v>
      </c>
      <c r="BB3" s="80"/>
      <c r="BC3" s="80"/>
      <c r="BD3" s="80"/>
    </row>
    <row r="4" spans="1:56">
      <c r="B4">
        <v>3</v>
      </c>
      <c r="C4" s="59">
        <f>B41-C41</f>
        <v>103.5</v>
      </c>
      <c r="D4" s="59">
        <f>B42-C42</f>
        <v>45.200000000000045</v>
      </c>
      <c r="E4" s="59">
        <f>E41-F41</f>
        <v>56.5</v>
      </c>
      <c r="F4" s="59">
        <f>E42-F42</f>
        <v>50.199999999999989</v>
      </c>
      <c r="G4" s="59"/>
      <c r="H4" s="59">
        <f>H41-I41</f>
        <v>67.299999999999955</v>
      </c>
      <c r="I4" s="59">
        <f>H42-I42</f>
        <v>55.699999999999989</v>
      </c>
      <c r="J4" s="59">
        <f>K48-L48</f>
        <v>60.100000000000023</v>
      </c>
      <c r="K4" s="59">
        <f>K42-L42</f>
        <v>64.099999999999966</v>
      </c>
      <c r="N4">
        <v>3</v>
      </c>
      <c r="O4" s="59">
        <f t="shared" si="2"/>
        <v>468.85500000000002</v>
      </c>
      <c r="P4" s="59">
        <f t="shared" si="0"/>
        <v>204.75600000000023</v>
      </c>
      <c r="Q4" s="59">
        <f t="shared" si="0"/>
        <v>255.94500000000002</v>
      </c>
      <c r="R4" s="59">
        <f t="shared" si="3"/>
        <v>227.40599999999995</v>
      </c>
      <c r="S4" s="59">
        <f t="shared" si="0"/>
        <v>0</v>
      </c>
      <c r="T4" s="59">
        <f t="shared" si="0"/>
        <v>304.8689999999998</v>
      </c>
      <c r="U4" s="59">
        <f t="shared" si="0"/>
        <v>252.32099999999997</v>
      </c>
      <c r="V4" s="59">
        <f t="shared" si="0"/>
        <v>272.2530000000001</v>
      </c>
      <c r="W4" s="59">
        <f t="shared" si="0"/>
        <v>290.37299999999988</v>
      </c>
      <c r="Y4" s="24"/>
      <c r="Z4" s="24">
        <v>3</v>
      </c>
      <c r="AA4" s="81">
        <v>468.85500000000002</v>
      </c>
      <c r="AB4" s="81">
        <v>204.75600000000023</v>
      </c>
      <c r="AC4" s="81">
        <v>255.94500000000002</v>
      </c>
      <c r="AD4" s="81">
        <v>227.40599999999995</v>
      </c>
      <c r="AE4" s="81">
        <v>0</v>
      </c>
      <c r="AF4" s="81">
        <v>304.8689999999998</v>
      </c>
      <c r="AG4" s="81">
        <v>252.32099999999997</v>
      </c>
      <c r="AH4" s="81">
        <v>272.2530000000001</v>
      </c>
      <c r="AI4" s="81">
        <v>290.37299999999988</v>
      </c>
      <c r="AJ4" s="80"/>
      <c r="AK4" s="70"/>
      <c r="AL4" s="70">
        <v>3</v>
      </c>
      <c r="AM4" s="80">
        <f t="shared" si="4"/>
        <v>112.26850000000003</v>
      </c>
      <c r="AN4" s="80">
        <f t="shared" si="5"/>
        <v>80.558499999999995</v>
      </c>
      <c r="AO4" s="80">
        <f t="shared" si="6"/>
        <v>92.864999999999966</v>
      </c>
      <c r="AP4" s="80">
        <f t="shared" si="7"/>
        <v>93.771000000000001</v>
      </c>
      <c r="AQ4" s="70"/>
      <c r="AR4" s="70"/>
      <c r="AS4" s="70">
        <v>3</v>
      </c>
      <c r="AT4" s="80">
        <f>SUM(AM2:AM4)</f>
        <v>218.72350000000003</v>
      </c>
      <c r="AU4" s="80">
        <f t="shared" ref="AU4:AW4" si="10">SUM(AN2:AN4)</f>
        <v>218.87450000000001</v>
      </c>
      <c r="AV4" s="80">
        <f t="shared" si="10"/>
        <v>188.75</v>
      </c>
      <c r="AW4" s="80">
        <f t="shared" si="10"/>
        <v>177.65149999999997</v>
      </c>
      <c r="AX4" s="70"/>
      <c r="AY4" s="70"/>
      <c r="AZ4" s="70">
        <v>3</v>
      </c>
      <c r="BA4" s="80">
        <f t="shared" si="9"/>
        <v>7.4178749999999454</v>
      </c>
      <c r="BB4" s="80"/>
      <c r="BC4" s="80"/>
      <c r="BD4" s="80"/>
    </row>
    <row r="5" spans="1:56">
      <c r="B5">
        <v>4</v>
      </c>
      <c r="C5" s="59">
        <f>B48-C48</f>
        <v>224</v>
      </c>
      <c r="D5" s="59">
        <f>B49-C49</f>
        <v>24.899999999999977</v>
      </c>
      <c r="E5" s="59">
        <f>E48-F48</f>
        <v>260.5</v>
      </c>
      <c r="F5" s="59">
        <f>E49-F49</f>
        <v>46.899999999999977</v>
      </c>
      <c r="G5" s="59"/>
      <c r="H5" s="59">
        <f>H48-I48</f>
        <v>48.800000000000011</v>
      </c>
      <c r="I5" s="59">
        <f>H49-I49</f>
        <v>46.599999999999966</v>
      </c>
      <c r="J5" s="59">
        <f>K48-L48</f>
        <v>60.100000000000023</v>
      </c>
      <c r="K5" s="59">
        <f>K49-L49</f>
        <v>36.300000000000011</v>
      </c>
      <c r="N5">
        <v>4</v>
      </c>
      <c r="O5" s="59">
        <f t="shared" si="2"/>
        <v>1014.72</v>
      </c>
      <c r="P5" s="59">
        <f t="shared" si="0"/>
        <v>112.7969999999999</v>
      </c>
      <c r="Q5" s="59">
        <f t="shared" si="0"/>
        <v>1180.0650000000001</v>
      </c>
      <c r="R5" s="59">
        <f t="shared" si="3"/>
        <v>212.45699999999991</v>
      </c>
      <c r="S5" s="59">
        <f t="shared" si="0"/>
        <v>0</v>
      </c>
      <c r="T5" s="59">
        <f t="shared" si="0"/>
        <v>221.06400000000005</v>
      </c>
      <c r="U5" s="59">
        <f t="shared" si="0"/>
        <v>211.09799999999987</v>
      </c>
      <c r="V5" s="59">
        <f t="shared" si="0"/>
        <v>272.2530000000001</v>
      </c>
      <c r="W5" s="59">
        <f t="shared" si="0"/>
        <v>164.43900000000005</v>
      </c>
      <c r="Y5" s="24"/>
      <c r="Z5" s="24">
        <v>4</v>
      </c>
      <c r="AA5" s="81">
        <v>1014.72</v>
      </c>
      <c r="AB5" s="81">
        <v>112.7969999999999</v>
      </c>
      <c r="AC5" s="81">
        <v>1180.0650000000001</v>
      </c>
      <c r="AD5" s="81">
        <v>212.45699999999991</v>
      </c>
      <c r="AE5" s="81">
        <v>0</v>
      </c>
      <c r="AF5" s="81">
        <v>221.06400000000005</v>
      </c>
      <c r="AG5" s="81">
        <v>211.09799999999987</v>
      </c>
      <c r="AH5" s="81">
        <v>272.2530000000001</v>
      </c>
      <c r="AI5" s="81">
        <v>164.43900000000005</v>
      </c>
      <c r="AJ5" s="80"/>
      <c r="AK5" s="70"/>
      <c r="AL5" s="70">
        <v>4</v>
      </c>
      <c r="AM5" s="80">
        <f t="shared" si="4"/>
        <v>187.91949999999997</v>
      </c>
      <c r="AN5" s="80">
        <f t="shared" si="5"/>
        <v>232.08699999999999</v>
      </c>
      <c r="AO5" s="80">
        <f t="shared" si="6"/>
        <v>72.026999999999987</v>
      </c>
      <c r="AP5" s="80">
        <f t="shared" si="7"/>
        <v>72.782000000000025</v>
      </c>
      <c r="AQ5" s="70"/>
      <c r="AR5" s="70"/>
      <c r="AS5" s="70">
        <v>4</v>
      </c>
      <c r="AT5" s="80">
        <f>SUM(AM2:AM5)</f>
        <v>406.64300000000003</v>
      </c>
      <c r="AU5" s="80">
        <f t="shared" ref="AU5:AW5" si="11">SUM(AN2:AN5)</f>
        <v>450.9615</v>
      </c>
      <c r="AV5" s="80">
        <f t="shared" si="11"/>
        <v>260.77699999999999</v>
      </c>
      <c r="AW5" s="80">
        <f t="shared" si="11"/>
        <v>250.43349999999998</v>
      </c>
      <c r="AX5" s="80"/>
      <c r="AY5" s="70"/>
      <c r="AZ5" s="70">
        <v>4</v>
      </c>
      <c r="BA5" s="80">
        <f t="shared" si="9"/>
        <v>98.640750000000011</v>
      </c>
      <c r="BB5" s="80"/>
      <c r="BC5" s="80"/>
      <c r="BD5" s="80"/>
    </row>
    <row r="6" spans="1:56">
      <c r="B6">
        <v>5</v>
      </c>
      <c r="C6" s="59">
        <f>B55-C55</f>
        <v>76.100000000000023</v>
      </c>
      <c r="D6" s="59">
        <f>B56-C56</f>
        <v>31.600000000000023</v>
      </c>
      <c r="E6" s="59">
        <f>E55-F55</f>
        <v>205.79999999999998</v>
      </c>
      <c r="F6" s="59">
        <f>E56-F56</f>
        <v>33.699999999999989</v>
      </c>
      <c r="G6" s="59"/>
      <c r="H6" s="59">
        <f>H55-I55</f>
        <v>49.699999999999989</v>
      </c>
      <c r="I6" s="59">
        <f>H56-I56</f>
        <v>51.200000000000045</v>
      </c>
      <c r="J6">
        <f>K55-L55</f>
        <v>84.699999999999989</v>
      </c>
      <c r="K6" s="59">
        <f>K56-L56</f>
        <v>44.899999999999977</v>
      </c>
      <c r="N6">
        <v>5</v>
      </c>
      <c r="O6" s="59">
        <f t="shared" si="2"/>
        <v>344.73300000000012</v>
      </c>
      <c r="P6" s="59">
        <f t="shared" si="0"/>
        <v>143.14800000000011</v>
      </c>
      <c r="Q6" s="59">
        <f t="shared" si="0"/>
        <v>932.274</v>
      </c>
      <c r="R6" s="59">
        <f t="shared" si="3"/>
        <v>152.66099999999994</v>
      </c>
      <c r="S6" s="59">
        <f t="shared" si="0"/>
        <v>0</v>
      </c>
      <c r="T6" s="59">
        <f t="shared" si="0"/>
        <v>225.14099999999996</v>
      </c>
      <c r="U6" s="59">
        <f t="shared" si="0"/>
        <v>231.93600000000021</v>
      </c>
      <c r="V6" s="59">
        <f t="shared" si="0"/>
        <v>383.69099999999997</v>
      </c>
      <c r="W6" s="59">
        <f t="shared" si="0"/>
        <v>203.39699999999991</v>
      </c>
      <c r="Y6" s="24"/>
      <c r="Z6" s="24">
        <v>5</v>
      </c>
      <c r="AA6" s="81">
        <v>344.73300000000012</v>
      </c>
      <c r="AB6" s="81">
        <v>143.14800000000011</v>
      </c>
      <c r="AC6" s="81">
        <v>932.274</v>
      </c>
      <c r="AD6" s="81">
        <v>152.66099999999994</v>
      </c>
      <c r="AE6" s="81">
        <v>0</v>
      </c>
      <c r="AF6" s="81">
        <v>225.14099999999996</v>
      </c>
      <c r="AG6" s="81">
        <v>231.93600000000021</v>
      </c>
      <c r="AH6" s="81">
        <v>383.69099999999997</v>
      </c>
      <c r="AI6" s="81">
        <v>203.39699999999991</v>
      </c>
      <c r="AJ6" s="80"/>
      <c r="AK6" s="70"/>
      <c r="AL6" s="70">
        <v>5</v>
      </c>
      <c r="AM6" s="80">
        <f t="shared" si="4"/>
        <v>81.313500000000033</v>
      </c>
      <c r="AN6" s="80">
        <f t="shared" si="5"/>
        <v>180.82249999999999</v>
      </c>
      <c r="AO6" s="80">
        <f t="shared" si="6"/>
        <v>76.179500000000033</v>
      </c>
      <c r="AP6" s="80">
        <f t="shared" si="7"/>
        <v>97.847999999999971</v>
      </c>
      <c r="AQ6" s="70"/>
      <c r="AR6" s="70"/>
      <c r="AS6" s="70">
        <v>5</v>
      </c>
      <c r="AT6" s="80">
        <f>SUM(AM2:AM6)</f>
        <v>487.95650000000006</v>
      </c>
      <c r="AU6" s="80">
        <f t="shared" ref="AU6:AW6" si="12">SUM(AN2:AN6)</f>
        <v>631.78399999999999</v>
      </c>
      <c r="AV6" s="80">
        <f t="shared" si="12"/>
        <v>336.95650000000001</v>
      </c>
      <c r="AW6" s="80">
        <f t="shared" si="12"/>
        <v>348.28149999999994</v>
      </c>
      <c r="AX6" s="80"/>
      <c r="AY6" s="70"/>
      <c r="AZ6" s="70">
        <v>5</v>
      </c>
      <c r="BA6" s="80">
        <f t="shared" si="9"/>
        <v>7.3046249999999864</v>
      </c>
      <c r="BB6" s="80"/>
      <c r="BC6" s="80"/>
      <c r="BD6" s="80"/>
    </row>
    <row r="7" spans="1:56">
      <c r="B7" s="45">
        <v>6</v>
      </c>
      <c r="C7" s="59">
        <f>B62-C62</f>
        <v>72</v>
      </c>
      <c r="D7" s="59">
        <f>B63-C63</f>
        <v>31.799999999999955</v>
      </c>
      <c r="E7" s="60">
        <f>E62-F62</f>
        <v>-128.79999999999998</v>
      </c>
      <c r="F7" s="60">
        <f>E63-F63</f>
        <v>233.50000000000003</v>
      </c>
      <c r="G7" s="59"/>
      <c r="H7">
        <f>H62-I62</f>
        <v>53.399999999999977</v>
      </c>
      <c r="I7" s="59">
        <f>H63-I63</f>
        <v>51.5</v>
      </c>
      <c r="J7">
        <f>K62-L62</f>
        <v>51.800000000000011</v>
      </c>
      <c r="K7" s="59">
        <f>K63-L63</f>
        <v>96</v>
      </c>
      <c r="N7" s="45">
        <v>6</v>
      </c>
      <c r="O7" s="59">
        <f t="shared" si="2"/>
        <v>326.16000000000003</v>
      </c>
      <c r="P7" s="59">
        <f t="shared" si="0"/>
        <v>144.0539999999998</v>
      </c>
      <c r="Q7" s="59">
        <f t="shared" si="0"/>
        <v>-583.46399999999994</v>
      </c>
      <c r="R7" s="59">
        <f t="shared" si="3"/>
        <v>1057.7550000000001</v>
      </c>
      <c r="S7" s="59">
        <f t="shared" si="0"/>
        <v>0</v>
      </c>
      <c r="T7" s="59">
        <f t="shared" si="0"/>
        <v>241.9019999999999</v>
      </c>
      <c r="U7" s="59">
        <f t="shared" si="0"/>
        <v>233.29500000000002</v>
      </c>
      <c r="V7" s="59">
        <f t="shared" si="0"/>
        <v>234.65400000000005</v>
      </c>
      <c r="W7" s="59">
        <f t="shared" si="0"/>
        <v>434.88</v>
      </c>
      <c r="Y7" s="24"/>
      <c r="Z7" s="24">
        <v>8</v>
      </c>
      <c r="AA7" s="81">
        <v>394.56299999999999</v>
      </c>
      <c r="AB7" s="81">
        <v>197.96099999999996</v>
      </c>
      <c r="AC7" s="81">
        <v>382.33200000000005</v>
      </c>
      <c r="AD7" s="81">
        <v>182.10599999999997</v>
      </c>
      <c r="AE7" s="81">
        <v>0</v>
      </c>
      <c r="AF7" s="81">
        <v>366.47700000000003</v>
      </c>
      <c r="AG7" s="81">
        <v>368.7419999999999</v>
      </c>
      <c r="AH7" s="81">
        <v>269.08200000000005</v>
      </c>
      <c r="AI7" s="81">
        <v>325.25400000000008</v>
      </c>
      <c r="AJ7" s="80"/>
      <c r="AK7" s="70"/>
      <c r="AL7" s="70">
        <v>8</v>
      </c>
      <c r="AM7" s="80">
        <f t="shared" si="4"/>
        <v>98.753999999999976</v>
      </c>
      <c r="AN7" s="80">
        <f t="shared" si="5"/>
        <v>94.072999999999993</v>
      </c>
      <c r="AO7" s="80">
        <f t="shared" si="6"/>
        <v>122.53649999999999</v>
      </c>
      <c r="AP7" s="80">
        <f t="shared" si="7"/>
        <v>99.056000000000026</v>
      </c>
      <c r="AQ7" s="70"/>
      <c r="AR7" s="70"/>
      <c r="AS7" s="70">
        <v>8</v>
      </c>
      <c r="AT7" s="80">
        <f>SUM(AM2:AM7)</f>
        <v>586.71050000000002</v>
      </c>
      <c r="AU7" s="80">
        <f t="shared" ref="AU7:AW7" si="13">SUM(AN2:AN7)</f>
        <v>725.85699999999997</v>
      </c>
      <c r="AV7" s="80">
        <f t="shared" si="13"/>
        <v>459.49299999999999</v>
      </c>
      <c r="AW7" s="80">
        <f t="shared" si="13"/>
        <v>447.33749999999998</v>
      </c>
      <c r="AX7" s="80"/>
      <c r="AY7" s="70"/>
      <c r="AZ7" s="70">
        <v>8</v>
      </c>
      <c r="BA7" s="80">
        <f t="shared" si="9"/>
        <v>0.16987499999999042</v>
      </c>
      <c r="BB7" s="80"/>
      <c r="BC7" s="80"/>
      <c r="BD7" s="80"/>
    </row>
    <row r="8" spans="1:56">
      <c r="B8" s="45">
        <v>7</v>
      </c>
      <c r="C8" s="59">
        <f>B69-C69</f>
        <v>65.899999999999977</v>
      </c>
      <c r="D8" s="59">
        <f>B70-C70</f>
        <v>35.100000000000023</v>
      </c>
      <c r="E8">
        <f>E69-F69</f>
        <v>144.1</v>
      </c>
      <c r="F8" s="60">
        <f>E70-F70</f>
        <v>-172.1</v>
      </c>
      <c r="G8" s="59"/>
      <c r="H8">
        <f>H69-I69</f>
        <v>54.800000000000011</v>
      </c>
      <c r="I8" s="59">
        <f>H70-I70</f>
        <v>56</v>
      </c>
      <c r="J8">
        <f>K69-L69</f>
        <v>46.099999999999994</v>
      </c>
      <c r="K8" s="59">
        <f>K70-L70</f>
        <v>63.699999999999989</v>
      </c>
      <c r="N8" s="45">
        <v>7</v>
      </c>
      <c r="O8" s="59">
        <f t="shared" si="2"/>
        <v>298.52699999999993</v>
      </c>
      <c r="P8" s="59">
        <f t="shared" si="0"/>
        <v>159.0030000000001</v>
      </c>
      <c r="Q8" s="59">
        <f t="shared" si="0"/>
        <v>652.77300000000002</v>
      </c>
      <c r="R8" s="59">
        <f t="shared" si="3"/>
        <v>-779.61300000000006</v>
      </c>
      <c r="S8" s="59">
        <f t="shared" si="0"/>
        <v>0</v>
      </c>
      <c r="T8" s="59">
        <f t="shared" si="0"/>
        <v>248.24400000000006</v>
      </c>
      <c r="U8" s="59">
        <f t="shared" si="0"/>
        <v>253.68</v>
      </c>
      <c r="V8" s="59">
        <f t="shared" si="0"/>
        <v>208.833</v>
      </c>
      <c r="W8" s="59">
        <f t="shared" si="0"/>
        <v>288.56099999999998</v>
      </c>
      <c r="Y8" s="24"/>
      <c r="Z8" s="24">
        <v>10</v>
      </c>
      <c r="AA8" s="81">
        <v>374.17800000000005</v>
      </c>
      <c r="AB8" s="81">
        <v>174.405</v>
      </c>
      <c r="AC8" s="81">
        <v>346.54500000000007</v>
      </c>
      <c r="AD8" s="81">
        <v>150.39599999999996</v>
      </c>
      <c r="AE8" s="81">
        <v>0</v>
      </c>
      <c r="AF8" s="81">
        <v>294.90300000000008</v>
      </c>
      <c r="AG8" s="81">
        <v>328.42500000000007</v>
      </c>
      <c r="AH8" s="81">
        <v>264.09900000000005</v>
      </c>
      <c r="AI8" s="81">
        <v>311.21099999999996</v>
      </c>
      <c r="AJ8" s="80"/>
      <c r="AK8" s="70"/>
      <c r="AL8" s="70">
        <v>10</v>
      </c>
      <c r="AM8" s="80">
        <f t="shared" si="4"/>
        <v>91.430500000000009</v>
      </c>
      <c r="AN8" s="80">
        <f t="shared" si="5"/>
        <v>82.82350000000001</v>
      </c>
      <c r="AO8" s="80">
        <f t="shared" si="6"/>
        <v>103.88800000000003</v>
      </c>
      <c r="AP8" s="80">
        <f t="shared" si="7"/>
        <v>95.884999999999991</v>
      </c>
      <c r="AQ8" s="70"/>
      <c r="AR8" s="70"/>
      <c r="AS8" s="70">
        <v>10</v>
      </c>
      <c r="AT8" s="80">
        <f>SUM(AM2:AM8)</f>
        <v>678.14100000000008</v>
      </c>
      <c r="AU8" s="80">
        <f t="shared" ref="AU8:AW8" si="14">SUM(AN2:AN8)</f>
        <v>808.68049999999994</v>
      </c>
      <c r="AV8" s="80">
        <f t="shared" si="14"/>
        <v>563.38100000000009</v>
      </c>
      <c r="AW8" s="80">
        <f t="shared" si="14"/>
        <v>543.22249999999997</v>
      </c>
      <c r="AX8" s="80"/>
      <c r="AY8" s="70"/>
      <c r="AZ8" s="70">
        <v>10</v>
      </c>
      <c r="BA8" s="80">
        <f t="shared" si="9"/>
        <v>3.1710000000000065</v>
      </c>
      <c r="BB8" s="80"/>
      <c r="BC8" s="80"/>
      <c r="BD8" s="80"/>
    </row>
    <row r="9" spans="1:56">
      <c r="B9">
        <v>8</v>
      </c>
      <c r="C9" s="59">
        <f>B76-C76</f>
        <v>87.1</v>
      </c>
      <c r="D9" s="59">
        <f>B77-C77</f>
        <v>43.699999999999989</v>
      </c>
      <c r="E9">
        <f>E76-F76</f>
        <v>84.4</v>
      </c>
      <c r="F9" s="59">
        <f>E77-F77</f>
        <v>40.199999999999989</v>
      </c>
      <c r="G9" s="59"/>
      <c r="H9">
        <f>H76-I76</f>
        <v>80.900000000000006</v>
      </c>
      <c r="I9" s="59">
        <f>H77-I77</f>
        <v>81.399999999999977</v>
      </c>
      <c r="J9">
        <f>K76-L76</f>
        <v>59.400000000000006</v>
      </c>
      <c r="K9" s="59">
        <f>K77-L77</f>
        <v>71.800000000000011</v>
      </c>
      <c r="N9">
        <v>8</v>
      </c>
      <c r="O9" s="59">
        <f t="shared" si="2"/>
        <v>394.56299999999999</v>
      </c>
      <c r="P9" s="59">
        <f t="shared" si="0"/>
        <v>197.96099999999996</v>
      </c>
      <c r="Q9" s="59">
        <f t="shared" si="0"/>
        <v>382.33200000000005</v>
      </c>
      <c r="R9" s="59">
        <f t="shared" si="3"/>
        <v>182.10599999999997</v>
      </c>
      <c r="S9" s="59">
        <f t="shared" si="0"/>
        <v>0</v>
      </c>
      <c r="T9" s="59">
        <f t="shared" si="0"/>
        <v>366.47700000000003</v>
      </c>
      <c r="U9" s="59">
        <f t="shared" si="0"/>
        <v>368.7419999999999</v>
      </c>
      <c r="V9" s="59">
        <f t="shared" si="0"/>
        <v>269.08200000000005</v>
      </c>
      <c r="W9" s="59">
        <f t="shared" si="0"/>
        <v>325.25400000000008</v>
      </c>
      <c r="Y9" s="24"/>
      <c r="Z9" s="83">
        <v>11</v>
      </c>
      <c r="AA9" s="81">
        <v>250.96200000000005</v>
      </c>
      <c r="AB9" s="81">
        <v>128.6519999999999</v>
      </c>
      <c r="AC9" s="81">
        <v>86.070000000000007</v>
      </c>
      <c r="AD9" s="81">
        <v>111.89100000000008</v>
      </c>
      <c r="AE9" s="81">
        <v>104.19000000000001</v>
      </c>
      <c r="AF9" s="81">
        <v>187.54200000000003</v>
      </c>
      <c r="AG9" s="81">
        <v>201.13200000000003</v>
      </c>
      <c r="AH9" s="81">
        <v>164.43900000000005</v>
      </c>
      <c r="AI9" s="81">
        <v>189.35400000000007</v>
      </c>
      <c r="AJ9" s="80"/>
      <c r="AK9" s="70"/>
      <c r="AL9" s="70">
        <v>11</v>
      </c>
      <c r="AM9" s="80">
        <f t="shared" si="4"/>
        <v>63.268999999999984</v>
      </c>
      <c r="AN9" s="80">
        <f t="shared" si="5"/>
        <v>50.358500000000014</v>
      </c>
      <c r="AO9" s="80">
        <f t="shared" si="6"/>
        <v>64.779000000000011</v>
      </c>
      <c r="AP9" s="80">
        <f t="shared" si="7"/>
        <v>58.96550000000002</v>
      </c>
      <c r="AQ9" s="70"/>
      <c r="AR9" s="70"/>
      <c r="AS9" s="70">
        <v>11</v>
      </c>
      <c r="AT9" s="80">
        <f>SUM(AM2:AM9)</f>
        <v>741.41000000000008</v>
      </c>
      <c r="AU9" s="80">
        <f t="shared" ref="AU9:AW9" si="15">SUM(AN2:AN9)</f>
        <v>859.03899999999999</v>
      </c>
      <c r="AV9" s="80">
        <f t="shared" si="15"/>
        <v>628.16000000000008</v>
      </c>
      <c r="AW9" s="80">
        <f t="shared" si="15"/>
        <v>602.18799999999999</v>
      </c>
      <c r="AX9" s="80"/>
      <c r="AY9" s="70"/>
      <c r="AZ9" s="70">
        <v>11</v>
      </c>
      <c r="BA9" s="80">
        <f t="shared" si="9"/>
        <v>0.79274999999996965</v>
      </c>
      <c r="BB9" s="80"/>
      <c r="BC9" s="80"/>
      <c r="BD9" s="80"/>
    </row>
    <row r="10" spans="1:56">
      <c r="B10" s="45">
        <v>9</v>
      </c>
      <c r="C10" s="59">
        <f>B83-C83</f>
        <v>26.599999999999994</v>
      </c>
      <c r="D10" s="59">
        <f>B84-C84</f>
        <v>30.100000000000023</v>
      </c>
      <c r="E10" s="60">
        <f>E83-F83</f>
        <v>-20.600000000000023</v>
      </c>
      <c r="F10" s="59">
        <f>E84-F84</f>
        <v>28.699999999999989</v>
      </c>
      <c r="G10" s="59"/>
      <c r="H10" s="60">
        <f>H83-I83</f>
        <v>-11.900000000000006</v>
      </c>
      <c r="I10" s="59">
        <f>H84-I84</f>
        <v>48.199999999999989</v>
      </c>
      <c r="J10" s="60">
        <f>K83-L83</f>
        <v>-67.600000000000023</v>
      </c>
      <c r="K10" s="60">
        <f>K84-L84</f>
        <v>-20.699999999999989</v>
      </c>
      <c r="N10" s="45">
        <v>9</v>
      </c>
      <c r="O10" s="59">
        <f t="shared" si="2"/>
        <v>120.49799999999998</v>
      </c>
      <c r="P10" s="59">
        <f t="shared" si="0"/>
        <v>136.35300000000012</v>
      </c>
      <c r="Q10" s="59">
        <f t="shared" si="0"/>
        <v>-93.318000000000112</v>
      </c>
      <c r="R10" s="59">
        <f t="shared" si="3"/>
        <v>130.01099999999997</v>
      </c>
      <c r="S10" s="59">
        <f t="shared" si="0"/>
        <v>0</v>
      </c>
      <c r="T10" s="59">
        <f t="shared" si="0"/>
        <v>-53.907000000000032</v>
      </c>
      <c r="U10" s="59">
        <f t="shared" si="0"/>
        <v>218.34599999999995</v>
      </c>
      <c r="V10" s="59">
        <f t="shared" si="0"/>
        <v>-306.22800000000012</v>
      </c>
      <c r="W10" s="59">
        <f t="shared" si="0"/>
        <v>-93.770999999999958</v>
      </c>
      <c r="Y10" s="24"/>
      <c r="Z10" s="24">
        <v>12</v>
      </c>
      <c r="AA10" s="81">
        <v>366.02399999999994</v>
      </c>
      <c r="AB10" s="81">
        <v>199.32000000000002</v>
      </c>
      <c r="AC10" s="81">
        <v>192.07200000000003</v>
      </c>
      <c r="AD10" s="81">
        <v>159.00299999999999</v>
      </c>
      <c r="AE10" s="81">
        <v>147.67799999999997</v>
      </c>
      <c r="AF10" s="81">
        <v>288.56099999999998</v>
      </c>
      <c r="AG10" s="81">
        <v>214.26899999999995</v>
      </c>
      <c r="AH10" s="81">
        <v>258.21000000000004</v>
      </c>
      <c r="AI10" s="81">
        <v>314.38199999999989</v>
      </c>
      <c r="AJ10" s="80"/>
      <c r="AK10" s="70"/>
      <c r="AL10" s="70">
        <v>12</v>
      </c>
      <c r="AM10" s="80">
        <f t="shared" si="4"/>
        <v>94.22399999999999</v>
      </c>
      <c r="AN10" s="80">
        <f t="shared" si="5"/>
        <v>83.125500000000002</v>
      </c>
      <c r="AO10" s="80">
        <f>SUM(AF10:AG10)/5</f>
        <v>100.56599999999999</v>
      </c>
      <c r="AP10" s="80">
        <f t="shared" si="7"/>
        <v>95.431999999999974</v>
      </c>
      <c r="AQ10" s="70"/>
      <c r="AR10" s="70"/>
      <c r="AS10" s="70">
        <v>12</v>
      </c>
      <c r="AT10" s="80">
        <f>SUM(AM2:AM10)</f>
        <v>835.63400000000001</v>
      </c>
      <c r="AU10" s="80">
        <f t="shared" ref="AU10:AW10" si="16">SUM(AN2:AN10)</f>
        <v>942.16449999999998</v>
      </c>
      <c r="AV10" s="80">
        <f t="shared" si="16"/>
        <v>728.72600000000011</v>
      </c>
      <c r="AW10" s="80">
        <f t="shared" si="16"/>
        <v>697.62</v>
      </c>
      <c r="AX10" s="80"/>
      <c r="AY10" s="70"/>
      <c r="AZ10" s="70">
        <v>12</v>
      </c>
      <c r="BA10" s="80">
        <f t="shared" si="9"/>
        <v>4.0770000000000115</v>
      </c>
      <c r="BB10" s="80"/>
      <c r="BC10" s="80"/>
      <c r="BD10" s="80"/>
    </row>
    <row r="11" spans="1:56">
      <c r="B11">
        <v>10</v>
      </c>
      <c r="C11" s="59">
        <f>B90-C90</f>
        <v>82.600000000000009</v>
      </c>
      <c r="D11" s="59">
        <f>B91-C91</f>
        <v>38.5</v>
      </c>
      <c r="E11">
        <f>E90-F90</f>
        <v>76.500000000000014</v>
      </c>
      <c r="F11" s="59">
        <f>E91-F91</f>
        <v>33.199999999999989</v>
      </c>
      <c r="G11" s="59"/>
      <c r="H11">
        <f>H90-I90</f>
        <v>65.100000000000009</v>
      </c>
      <c r="I11" s="59">
        <f>H91-I91</f>
        <v>72.500000000000014</v>
      </c>
      <c r="J11">
        <f>K90-L90</f>
        <v>58.300000000000011</v>
      </c>
      <c r="K11" s="59">
        <f>K91-L91</f>
        <v>68.699999999999989</v>
      </c>
      <c r="N11">
        <v>10</v>
      </c>
      <c r="O11" s="59">
        <f t="shared" si="2"/>
        <v>374.17800000000005</v>
      </c>
      <c r="P11" s="59">
        <f t="shared" si="0"/>
        <v>174.405</v>
      </c>
      <c r="Q11" s="59">
        <f t="shared" si="0"/>
        <v>346.54500000000007</v>
      </c>
      <c r="R11" s="59">
        <f t="shared" si="3"/>
        <v>150.39599999999996</v>
      </c>
      <c r="S11" s="59">
        <f t="shared" si="0"/>
        <v>0</v>
      </c>
      <c r="T11" s="59">
        <f t="shared" si="0"/>
        <v>294.90300000000008</v>
      </c>
      <c r="U11" s="59">
        <f t="shared" si="0"/>
        <v>328.42500000000007</v>
      </c>
      <c r="V11" s="59">
        <f t="shared" si="0"/>
        <v>264.09900000000005</v>
      </c>
      <c r="W11" s="59">
        <f t="shared" si="0"/>
        <v>311.21099999999996</v>
      </c>
      <c r="Y11" s="24"/>
      <c r="Z11" s="24">
        <v>13</v>
      </c>
      <c r="AA11" s="81">
        <v>395.01600000000008</v>
      </c>
      <c r="AB11" s="81">
        <v>177.1230000000001</v>
      </c>
      <c r="AC11" s="81">
        <v>246.88500000000002</v>
      </c>
      <c r="AD11" s="81">
        <v>175.31100000000009</v>
      </c>
      <c r="AE11" s="81">
        <v>238.27799999999999</v>
      </c>
      <c r="AF11" s="81">
        <v>271.8</v>
      </c>
      <c r="AG11" s="81">
        <v>223.78200000000004</v>
      </c>
      <c r="AH11" s="81">
        <v>241.44899999999993</v>
      </c>
      <c r="AI11" s="81">
        <v>284.03100000000012</v>
      </c>
      <c r="AJ11" s="80"/>
      <c r="AK11" s="70"/>
      <c r="AL11" s="70">
        <v>13</v>
      </c>
      <c r="AM11" s="80">
        <f t="shared" si="4"/>
        <v>95.356500000000025</v>
      </c>
      <c r="AN11" s="80">
        <f t="shared" si="5"/>
        <v>110.07900000000002</v>
      </c>
      <c r="AO11" s="80">
        <f t="shared" ref="AO11:AO19" si="17">SUM(AF11:AG11)/5</f>
        <v>99.116400000000013</v>
      </c>
      <c r="AP11" s="80">
        <f t="shared" si="7"/>
        <v>87.58</v>
      </c>
      <c r="AQ11" s="70"/>
      <c r="AR11" s="70"/>
      <c r="AS11" s="70">
        <v>13</v>
      </c>
      <c r="AT11" s="80">
        <f>SUM(AM2:AM11)</f>
        <v>930.9905</v>
      </c>
      <c r="AU11" s="80">
        <f t="shared" ref="AU11:AW11" si="18">SUM(AN2:AN11)</f>
        <v>1052.2435</v>
      </c>
      <c r="AV11" s="80">
        <f t="shared" si="18"/>
        <v>827.84240000000011</v>
      </c>
      <c r="AW11" s="80">
        <f t="shared" si="18"/>
        <v>785.2</v>
      </c>
      <c r="AX11" s="80"/>
      <c r="AY11" s="70"/>
      <c r="AZ11" s="70">
        <v>13</v>
      </c>
      <c r="BA11" s="80">
        <f t="shared" si="9"/>
        <v>5.0962499999999835</v>
      </c>
      <c r="BB11" s="80"/>
      <c r="BC11" s="80"/>
      <c r="BD11" s="80"/>
    </row>
    <row r="12" spans="1:56">
      <c r="B12" s="71">
        <v>11</v>
      </c>
      <c r="C12" s="59">
        <f>B97-C97</f>
        <v>55.400000000000006</v>
      </c>
      <c r="D12" s="59">
        <f>B98-C98</f>
        <v>28.399999999999977</v>
      </c>
      <c r="E12">
        <f>E97-F97</f>
        <v>19</v>
      </c>
      <c r="F12" s="59">
        <f>E98-F98</f>
        <v>24.700000000000017</v>
      </c>
      <c r="G12" s="59">
        <f>E99-F99</f>
        <v>23</v>
      </c>
      <c r="H12">
        <f>H97-I97</f>
        <v>41.400000000000006</v>
      </c>
      <c r="I12" s="59">
        <f>H98-I98</f>
        <v>44.400000000000006</v>
      </c>
      <c r="J12">
        <f>K97-L97</f>
        <v>36.300000000000011</v>
      </c>
      <c r="K12" s="59">
        <f>K98-L98</f>
        <v>41.800000000000011</v>
      </c>
      <c r="N12" s="71">
        <v>11</v>
      </c>
      <c r="O12" s="59">
        <f t="shared" si="2"/>
        <v>250.96200000000005</v>
      </c>
      <c r="P12" s="59">
        <f t="shared" si="0"/>
        <v>128.6519999999999</v>
      </c>
      <c r="Q12" s="59">
        <f t="shared" si="0"/>
        <v>86.070000000000007</v>
      </c>
      <c r="R12" s="59">
        <f t="shared" si="3"/>
        <v>111.89100000000008</v>
      </c>
      <c r="S12" s="59">
        <f t="shared" si="0"/>
        <v>104.19000000000001</v>
      </c>
      <c r="T12" s="59">
        <f t="shared" si="0"/>
        <v>187.54200000000003</v>
      </c>
      <c r="U12" s="59">
        <f t="shared" si="0"/>
        <v>201.13200000000003</v>
      </c>
      <c r="V12" s="59">
        <f t="shared" si="0"/>
        <v>164.43900000000005</v>
      </c>
      <c r="W12" s="59">
        <f t="shared" si="0"/>
        <v>189.35400000000007</v>
      </c>
      <c r="Y12" s="24"/>
      <c r="Z12" s="24">
        <v>14</v>
      </c>
      <c r="AA12" s="81">
        <v>334.31400000000002</v>
      </c>
      <c r="AB12" s="81">
        <v>150.84899999999993</v>
      </c>
      <c r="AC12" s="81">
        <v>200.67900000000006</v>
      </c>
      <c r="AD12" s="81">
        <v>134.08799999999999</v>
      </c>
      <c r="AE12" s="81">
        <v>158.55000000000001</v>
      </c>
      <c r="AF12" s="81">
        <v>260.02200000000005</v>
      </c>
      <c r="AG12" s="81">
        <v>157.64400000000006</v>
      </c>
      <c r="AH12" s="81">
        <v>214.26900000000006</v>
      </c>
      <c r="AI12" s="81">
        <v>221.96999999999997</v>
      </c>
      <c r="AJ12" s="80"/>
      <c r="AK12" s="70"/>
      <c r="AL12" s="70">
        <v>14</v>
      </c>
      <c r="AM12" s="80">
        <f t="shared" si="4"/>
        <v>80.860499999999988</v>
      </c>
      <c r="AN12" s="80">
        <f t="shared" si="5"/>
        <v>82.219500000000011</v>
      </c>
      <c r="AO12" s="80">
        <f t="shared" si="17"/>
        <v>83.533200000000022</v>
      </c>
      <c r="AP12" s="80">
        <f t="shared" si="7"/>
        <v>72.706500000000005</v>
      </c>
      <c r="AQ12" s="70"/>
      <c r="AR12" s="70"/>
      <c r="AS12" s="70">
        <v>14</v>
      </c>
      <c r="AT12" s="80">
        <f>SUM(AM2:AM12)</f>
        <v>1011.851</v>
      </c>
      <c r="AU12" s="80">
        <f t="shared" ref="AU12:AW12" si="19">SUM(AN2:AN12)</f>
        <v>1134.463</v>
      </c>
      <c r="AV12" s="80">
        <f t="shared" si="19"/>
        <v>911.37560000000008</v>
      </c>
      <c r="AW12" s="80">
        <f t="shared" si="19"/>
        <v>857.90650000000005</v>
      </c>
      <c r="AX12" s="80"/>
      <c r="AY12" s="70"/>
      <c r="AZ12" s="70">
        <v>14</v>
      </c>
      <c r="BA12" s="80">
        <f t="shared" si="9"/>
        <v>4.0770000000000195</v>
      </c>
      <c r="BB12" s="80"/>
      <c r="BC12" s="80"/>
      <c r="BD12" s="80"/>
    </row>
    <row r="13" spans="1:56">
      <c r="B13">
        <v>12</v>
      </c>
      <c r="C13" s="59">
        <f>B105-C105</f>
        <v>80.799999999999983</v>
      </c>
      <c r="D13" s="59">
        <f>B106-C106</f>
        <v>44</v>
      </c>
      <c r="E13">
        <f>E105-F105</f>
        <v>42.400000000000006</v>
      </c>
      <c r="F13" s="59">
        <f>E106-F106</f>
        <v>35.099999999999994</v>
      </c>
      <c r="G13" s="59">
        <f>E107-F107</f>
        <v>32.599999999999994</v>
      </c>
      <c r="H13">
        <f>H105-I105</f>
        <v>63.699999999999989</v>
      </c>
      <c r="I13" s="59">
        <f>H106-I106</f>
        <v>47.299999999999983</v>
      </c>
      <c r="J13">
        <f>K105-L105</f>
        <v>57</v>
      </c>
      <c r="K13" s="59">
        <f>K106-L106</f>
        <v>69.399999999999977</v>
      </c>
      <c r="N13">
        <v>12</v>
      </c>
      <c r="O13" s="59">
        <f t="shared" si="2"/>
        <v>366.02399999999994</v>
      </c>
      <c r="P13" s="59">
        <f t="shared" si="0"/>
        <v>199.32000000000002</v>
      </c>
      <c r="Q13" s="59">
        <f t="shared" si="0"/>
        <v>192.07200000000003</v>
      </c>
      <c r="R13" s="59">
        <f t="shared" si="3"/>
        <v>159.00299999999999</v>
      </c>
      <c r="S13" s="59">
        <f t="shared" si="0"/>
        <v>147.67799999999997</v>
      </c>
      <c r="T13" s="59">
        <f t="shared" si="0"/>
        <v>288.56099999999998</v>
      </c>
      <c r="U13" s="59">
        <f t="shared" si="0"/>
        <v>214.26899999999995</v>
      </c>
      <c r="V13" s="59">
        <f t="shared" si="0"/>
        <v>258.21000000000004</v>
      </c>
      <c r="W13" s="59">
        <f t="shared" si="0"/>
        <v>314.38199999999989</v>
      </c>
      <c r="Y13" s="24"/>
      <c r="Z13" s="24">
        <v>16</v>
      </c>
      <c r="AA13" s="81">
        <v>387.315</v>
      </c>
      <c r="AB13" s="81">
        <v>179.38800000000006</v>
      </c>
      <c r="AC13" s="81">
        <v>231.48299999999998</v>
      </c>
      <c r="AD13" s="81">
        <v>173.49900000000005</v>
      </c>
      <c r="AE13" s="81">
        <v>202.94399999999993</v>
      </c>
      <c r="AF13" s="81">
        <v>265.005</v>
      </c>
      <c r="AG13" s="81">
        <v>193.88399999999993</v>
      </c>
      <c r="AH13" s="81">
        <v>237.82500000000002</v>
      </c>
      <c r="AI13" s="81">
        <v>229.21799999999999</v>
      </c>
      <c r="AJ13" s="80"/>
      <c r="AK13" s="70"/>
      <c r="AL13" s="70">
        <v>16</v>
      </c>
      <c r="AM13" s="80">
        <f t="shared" si="4"/>
        <v>94.450500000000019</v>
      </c>
      <c r="AN13" s="80">
        <f t="shared" si="5"/>
        <v>101.32099999999998</v>
      </c>
      <c r="AO13" s="80">
        <f t="shared" si="17"/>
        <v>91.777799999999985</v>
      </c>
      <c r="AP13" s="80">
        <f t="shared" si="7"/>
        <v>77.840500000000006</v>
      </c>
      <c r="AQ13" s="70"/>
      <c r="AR13" s="70"/>
      <c r="AS13" s="70">
        <v>16</v>
      </c>
      <c r="AT13" s="70">
        <f>SUM(AM2:AM13)</f>
        <v>1106.3015</v>
      </c>
      <c r="AU13" s="70">
        <f t="shared" ref="AU13:AW13" si="20">SUM(AN2:AN13)</f>
        <v>1235.7839999999999</v>
      </c>
      <c r="AV13" s="70">
        <f t="shared" si="20"/>
        <v>1003.1534</v>
      </c>
      <c r="AW13" s="70">
        <f t="shared" si="20"/>
        <v>935.74700000000007</v>
      </c>
      <c r="AX13" s="80"/>
      <c r="AY13" s="70"/>
      <c r="AZ13" s="70">
        <v>16</v>
      </c>
      <c r="BA13" s="80">
        <f t="shared" si="9"/>
        <v>3.5673749999999842</v>
      </c>
      <c r="BB13" s="70"/>
      <c r="BC13" s="70"/>
      <c r="BD13" s="70"/>
    </row>
    <row r="14" spans="1:56">
      <c r="B14">
        <v>13</v>
      </c>
      <c r="C14" s="59">
        <f>B113-C113</f>
        <v>87.200000000000017</v>
      </c>
      <c r="D14" s="59">
        <f>B114-C114</f>
        <v>39.100000000000023</v>
      </c>
      <c r="E14">
        <f>E113-F113</f>
        <v>54.5</v>
      </c>
      <c r="F14">
        <f>E114-F114</f>
        <v>38.700000000000017</v>
      </c>
      <c r="G14" s="59">
        <f>E115-F115</f>
        <v>52.599999999999994</v>
      </c>
      <c r="H14">
        <f>H113-I113</f>
        <v>60</v>
      </c>
      <c r="I14" s="59">
        <f>H114-I114</f>
        <v>49.400000000000006</v>
      </c>
      <c r="J14">
        <f>K113-L113</f>
        <v>53.299999999999983</v>
      </c>
      <c r="K14" s="59">
        <f>K114-L114</f>
        <v>62.700000000000017</v>
      </c>
      <c r="N14">
        <v>13</v>
      </c>
      <c r="O14" s="59">
        <f t="shared" si="2"/>
        <v>395.01600000000008</v>
      </c>
      <c r="P14" s="59">
        <f t="shared" si="0"/>
        <v>177.1230000000001</v>
      </c>
      <c r="Q14" s="59">
        <f t="shared" si="0"/>
        <v>246.88500000000002</v>
      </c>
      <c r="R14" s="59">
        <f t="shared" si="3"/>
        <v>175.31100000000009</v>
      </c>
      <c r="S14" s="59">
        <f t="shared" si="0"/>
        <v>238.27799999999999</v>
      </c>
      <c r="T14" s="59">
        <f t="shared" si="0"/>
        <v>271.8</v>
      </c>
      <c r="U14" s="59">
        <f t="shared" si="0"/>
        <v>223.78200000000004</v>
      </c>
      <c r="V14" s="59">
        <f t="shared" si="0"/>
        <v>241.44899999999993</v>
      </c>
      <c r="W14" s="59">
        <f t="shared" si="0"/>
        <v>284.03100000000012</v>
      </c>
      <c r="Y14" s="24"/>
      <c r="Z14" s="24">
        <v>17</v>
      </c>
      <c r="AA14" s="81">
        <v>363.75900000000007</v>
      </c>
      <c r="AB14" s="81">
        <v>187.089</v>
      </c>
      <c r="AC14" s="81">
        <v>149.49</v>
      </c>
      <c r="AD14" s="81">
        <v>153.56699999999989</v>
      </c>
      <c r="AE14" s="81">
        <v>158.55000000000007</v>
      </c>
      <c r="AF14" s="81">
        <v>252.321</v>
      </c>
      <c r="AG14" s="81">
        <v>196.602</v>
      </c>
      <c r="AH14" s="81">
        <v>194.33700000000005</v>
      </c>
      <c r="AI14" s="81">
        <v>190.71300000000002</v>
      </c>
      <c r="AJ14" s="80"/>
      <c r="AK14" s="70"/>
      <c r="AL14" s="70">
        <v>17</v>
      </c>
      <c r="AM14" s="80">
        <f t="shared" si="4"/>
        <v>91.808000000000007</v>
      </c>
      <c r="AN14" s="80">
        <f t="shared" si="5"/>
        <v>76.9345</v>
      </c>
      <c r="AO14" s="80">
        <f t="shared" si="17"/>
        <v>89.784599999999998</v>
      </c>
      <c r="AP14" s="80">
        <f t="shared" si="7"/>
        <v>64.175000000000011</v>
      </c>
      <c r="AQ14" s="70"/>
      <c r="AR14" s="70"/>
      <c r="AS14" s="70">
        <v>17</v>
      </c>
      <c r="AT14" s="70">
        <f>SUM(AM2:AM14)</f>
        <v>1198.1095</v>
      </c>
      <c r="AU14" s="70">
        <f t="shared" ref="AU14:AW14" si="21">SUM(AN2:AN14)</f>
        <v>1312.7184999999999</v>
      </c>
      <c r="AV14" s="70">
        <f t="shared" si="21"/>
        <v>1092.9380000000001</v>
      </c>
      <c r="AW14" s="70">
        <f t="shared" si="21"/>
        <v>999.92200000000003</v>
      </c>
      <c r="AX14" s="70"/>
      <c r="AY14" s="70"/>
      <c r="AZ14" s="70">
        <v>17</v>
      </c>
      <c r="BA14" s="80">
        <f t="shared" si="9"/>
        <v>1.3023749999999907</v>
      </c>
      <c r="BB14" s="70"/>
      <c r="BC14" s="70"/>
      <c r="BD14" s="70"/>
    </row>
    <row r="15" spans="1:56">
      <c r="B15">
        <v>14</v>
      </c>
      <c r="C15" s="59">
        <f>B121-C121</f>
        <v>73.8</v>
      </c>
      <c r="D15" s="59">
        <f>B122-C122</f>
        <v>33.299999999999983</v>
      </c>
      <c r="E15">
        <f>E121-F121</f>
        <v>44.300000000000011</v>
      </c>
      <c r="F15">
        <f>E122-F122</f>
        <v>29.599999999999994</v>
      </c>
      <c r="G15" s="59">
        <f>E123-F123</f>
        <v>35</v>
      </c>
      <c r="H15">
        <f>H121-I121</f>
        <v>57.400000000000006</v>
      </c>
      <c r="I15" s="59">
        <f>H122-I122</f>
        <v>34.800000000000011</v>
      </c>
      <c r="J15">
        <f>K121-L121</f>
        <v>47.300000000000011</v>
      </c>
      <c r="K15" s="59">
        <f>K122-L122</f>
        <v>48.999999999999993</v>
      </c>
      <c r="N15">
        <v>14</v>
      </c>
      <c r="O15" s="59">
        <f t="shared" si="2"/>
        <v>334.31400000000002</v>
      </c>
      <c r="P15" s="59">
        <f t="shared" si="0"/>
        <v>150.84899999999993</v>
      </c>
      <c r="Q15" s="59">
        <f t="shared" si="0"/>
        <v>200.67900000000006</v>
      </c>
      <c r="R15" s="59">
        <f t="shared" si="3"/>
        <v>134.08799999999999</v>
      </c>
      <c r="S15" s="59">
        <f t="shared" si="0"/>
        <v>158.55000000000001</v>
      </c>
      <c r="T15" s="59">
        <f t="shared" si="0"/>
        <v>260.02200000000005</v>
      </c>
      <c r="U15" s="59">
        <f t="shared" si="0"/>
        <v>157.64400000000006</v>
      </c>
      <c r="V15" s="59">
        <f t="shared" si="0"/>
        <v>214.26900000000006</v>
      </c>
      <c r="W15" s="59">
        <f t="shared" si="0"/>
        <v>221.96999999999997</v>
      </c>
      <c r="Y15" s="24"/>
      <c r="Z15" s="24">
        <v>18</v>
      </c>
      <c r="AA15" s="81">
        <v>289.46699999999998</v>
      </c>
      <c r="AB15" s="81">
        <v>244.16700000000003</v>
      </c>
      <c r="AC15" s="81">
        <v>194.33700000000005</v>
      </c>
      <c r="AD15" s="81">
        <v>168.96900000000005</v>
      </c>
      <c r="AE15" s="81">
        <v>151.30199999999991</v>
      </c>
      <c r="AF15" s="81">
        <v>201.58500000000001</v>
      </c>
      <c r="AG15" s="81">
        <v>193.88400000000007</v>
      </c>
      <c r="AH15" s="81">
        <v>169.42200000000003</v>
      </c>
      <c r="AI15" s="81">
        <v>217.44</v>
      </c>
      <c r="AJ15" s="80"/>
      <c r="AK15" s="70"/>
      <c r="AL15" s="70">
        <v>18</v>
      </c>
      <c r="AM15" s="80">
        <f>SUM(AA15:AB15)/5</f>
        <v>106.7268</v>
      </c>
      <c r="AN15" s="80">
        <f>SUM(AC15:AE15)/5</f>
        <v>102.92159999999998</v>
      </c>
      <c r="AO15" s="80">
        <f t="shared" si="17"/>
        <v>79.093800000000016</v>
      </c>
      <c r="AP15" s="80">
        <f>SUM(AH15:AI15)/5</f>
        <v>77.372399999999999</v>
      </c>
      <c r="AQ15" s="70"/>
      <c r="AR15" s="70"/>
      <c r="AS15" s="70">
        <v>18</v>
      </c>
      <c r="AT15" s="70">
        <f>SUM(AM2:AM15)</f>
        <v>1304.8362999999999</v>
      </c>
      <c r="AU15" s="70">
        <f t="shared" ref="AU15:AW15" si="22">SUM(AN2:AN15)</f>
        <v>1415.6400999999998</v>
      </c>
      <c r="AV15" s="70">
        <f t="shared" si="22"/>
        <v>1172.0318000000002</v>
      </c>
      <c r="AW15" s="70">
        <f t="shared" si="22"/>
        <v>1077.2944</v>
      </c>
      <c r="AX15" s="70"/>
      <c r="AY15" s="70"/>
      <c r="AZ15" s="70">
        <v>18</v>
      </c>
      <c r="BA15" s="80">
        <f t="shared" si="9"/>
        <v>12.797250000000103</v>
      </c>
      <c r="BB15" s="70"/>
      <c r="BC15" s="70"/>
      <c r="BD15" s="70"/>
    </row>
    <row r="16" spans="1:56">
      <c r="B16" s="45">
        <v>15</v>
      </c>
      <c r="C16" s="59">
        <f>B129-C129</f>
        <v>76.599999999999994</v>
      </c>
      <c r="D16" s="59">
        <f>B130-C130</f>
        <v>40</v>
      </c>
      <c r="E16">
        <f>E129-F129</f>
        <v>42.4</v>
      </c>
      <c r="F16">
        <f>E130-F130</f>
        <v>31.200000000000003</v>
      </c>
      <c r="G16" s="59">
        <f>E131-F131</f>
        <v>31.799999999999997</v>
      </c>
      <c r="H16">
        <f>H129-I129</f>
        <v>54.900000000000006</v>
      </c>
      <c r="I16" s="60">
        <f>H130-I130</f>
        <v>4.5</v>
      </c>
      <c r="J16">
        <f>K129-L129</f>
        <v>43.3</v>
      </c>
      <c r="K16" s="59">
        <f>K130-L130</f>
        <v>69.400000000000006</v>
      </c>
      <c r="N16" s="45">
        <v>15</v>
      </c>
      <c r="O16" s="59">
        <f t="shared" si="2"/>
        <v>346.99799999999999</v>
      </c>
      <c r="P16" s="59">
        <f t="shared" si="0"/>
        <v>181.20000000000002</v>
      </c>
      <c r="Q16" s="59">
        <f t="shared" si="0"/>
        <v>192.072</v>
      </c>
      <c r="R16" s="59">
        <f t="shared" si="3"/>
        <v>141.33600000000001</v>
      </c>
      <c r="S16" s="59">
        <f t="shared" si="0"/>
        <v>144.054</v>
      </c>
      <c r="T16" s="59">
        <f t="shared" si="0"/>
        <v>248.69700000000003</v>
      </c>
      <c r="U16" s="59">
        <f t="shared" si="0"/>
        <v>20.385000000000002</v>
      </c>
      <c r="V16" s="59">
        <f t="shared" si="0"/>
        <v>196.149</v>
      </c>
      <c r="W16" s="59">
        <f t="shared" si="0"/>
        <v>314.38200000000006</v>
      </c>
      <c r="Y16" s="24"/>
      <c r="Z16" s="24">
        <v>19</v>
      </c>
      <c r="AA16" s="81">
        <v>424.46100000000013</v>
      </c>
      <c r="AB16" s="81">
        <v>329.33100000000002</v>
      </c>
      <c r="AC16" s="81">
        <v>288.56100000000004</v>
      </c>
      <c r="AD16" s="81">
        <v>234.20099999999996</v>
      </c>
      <c r="AE16" s="81">
        <v>147.22500000000008</v>
      </c>
      <c r="AF16" s="81">
        <v>289.92</v>
      </c>
      <c r="AG16" s="81">
        <v>282.67200000000003</v>
      </c>
      <c r="AH16" s="81">
        <v>139.07099999999997</v>
      </c>
      <c r="AI16" s="81">
        <v>279.50100000000003</v>
      </c>
      <c r="AJ16" s="80"/>
      <c r="AK16" s="70"/>
      <c r="AL16" s="70">
        <v>19</v>
      </c>
      <c r="AM16" s="80">
        <f t="shared" ref="AM16:AM19" si="23">SUM(AA16:AB16)/5</f>
        <v>150.75840000000002</v>
      </c>
      <c r="AN16" s="80">
        <f t="shared" ref="AN16:AN18" si="24">SUM(AC16:AE16)/5</f>
        <v>133.99740000000003</v>
      </c>
      <c r="AO16" s="80">
        <f t="shared" si="17"/>
        <v>114.51840000000001</v>
      </c>
      <c r="AP16" s="80">
        <f t="shared" ref="AP16" si="25">SUM(AH16:AI16)/5</f>
        <v>83.714399999999998</v>
      </c>
      <c r="AQ16" s="70"/>
      <c r="AR16" s="70"/>
      <c r="AS16" s="70">
        <v>19</v>
      </c>
      <c r="AT16" s="70">
        <f>SUM(AM2:AM16)</f>
        <v>1455.5946999999999</v>
      </c>
      <c r="AU16" s="70">
        <f t="shared" ref="AU16:AW16" si="26">SUM(AN2:AN16)</f>
        <v>1549.6374999999998</v>
      </c>
      <c r="AV16" s="70">
        <f t="shared" si="26"/>
        <v>1286.5502000000001</v>
      </c>
      <c r="AW16" s="70">
        <f t="shared" si="26"/>
        <v>1161.0088000000001</v>
      </c>
      <c r="AX16" s="70"/>
      <c r="AY16" s="70"/>
      <c r="AZ16" s="70">
        <v>19</v>
      </c>
      <c r="BA16" s="80">
        <f t="shared" si="9"/>
        <v>11.58924999999998</v>
      </c>
      <c r="BB16" s="70"/>
      <c r="BC16" s="70"/>
      <c r="BD16" s="70"/>
    </row>
    <row r="17" spans="1:63">
      <c r="B17">
        <v>16</v>
      </c>
      <c r="C17" s="59">
        <f>B137-C137</f>
        <v>85.5</v>
      </c>
      <c r="D17" s="59">
        <f>B138-C138</f>
        <v>39.600000000000009</v>
      </c>
      <c r="E17">
        <f>E137-F137</f>
        <v>51.099999999999994</v>
      </c>
      <c r="F17">
        <f>E138-F138</f>
        <v>38.300000000000011</v>
      </c>
      <c r="G17" s="59">
        <f>E139-F139</f>
        <v>44.799999999999983</v>
      </c>
      <c r="H17">
        <f>H137-I137</f>
        <v>58.5</v>
      </c>
      <c r="I17" s="59">
        <f>H138-I138</f>
        <v>42.799999999999983</v>
      </c>
      <c r="J17">
        <f>K137-L137</f>
        <v>52.5</v>
      </c>
      <c r="K17" s="59">
        <f>K138-L138</f>
        <v>50.599999999999994</v>
      </c>
      <c r="N17">
        <v>16</v>
      </c>
      <c r="O17" s="59">
        <f t="shared" si="2"/>
        <v>387.315</v>
      </c>
      <c r="P17" s="59">
        <f t="shared" si="0"/>
        <v>179.38800000000006</v>
      </c>
      <c r="Q17" s="59">
        <f t="shared" si="0"/>
        <v>231.48299999999998</v>
      </c>
      <c r="R17" s="59">
        <f t="shared" si="3"/>
        <v>173.49900000000005</v>
      </c>
      <c r="S17" s="59">
        <f t="shared" si="0"/>
        <v>202.94399999999993</v>
      </c>
      <c r="T17" s="59">
        <f t="shared" si="0"/>
        <v>265.005</v>
      </c>
      <c r="U17" s="59">
        <f t="shared" si="0"/>
        <v>193.88399999999993</v>
      </c>
      <c r="V17" s="59">
        <f t="shared" si="0"/>
        <v>237.82500000000002</v>
      </c>
      <c r="W17" s="59">
        <f t="shared" si="0"/>
        <v>229.21799999999999</v>
      </c>
      <c r="Y17" s="24"/>
      <c r="Z17" s="24">
        <v>20</v>
      </c>
      <c r="AA17" s="81">
        <v>230.12400000000005</v>
      </c>
      <c r="AB17" s="81">
        <v>149.03700000000003</v>
      </c>
      <c r="AC17" s="81">
        <v>148.584</v>
      </c>
      <c r="AD17" s="81">
        <v>149.03700000000003</v>
      </c>
      <c r="AE17" s="81">
        <v>96.941999999999965</v>
      </c>
      <c r="AF17" s="81">
        <v>157.64400000000001</v>
      </c>
      <c r="AG17" s="81">
        <v>148.13099999999994</v>
      </c>
      <c r="AH17" s="81">
        <v>69.762000000000029</v>
      </c>
      <c r="AI17" s="81">
        <v>191.61900000000006</v>
      </c>
      <c r="AJ17" s="80"/>
      <c r="AK17" s="70"/>
      <c r="AL17" s="70">
        <v>20</v>
      </c>
      <c r="AM17" s="80">
        <f t="shared" si="23"/>
        <v>75.832200000000014</v>
      </c>
      <c r="AN17" s="80">
        <f t="shared" si="24"/>
        <v>78.912599999999998</v>
      </c>
      <c r="AO17" s="80">
        <f t="shared" si="17"/>
        <v>61.154999999999994</v>
      </c>
      <c r="AP17" s="80">
        <f>SUM(AH17:AI17)/4</f>
        <v>65.345250000000021</v>
      </c>
      <c r="AQ17" s="70"/>
      <c r="AR17" s="70"/>
      <c r="AS17" s="70">
        <v>20</v>
      </c>
      <c r="AT17" s="70">
        <f>SUM(AM2:AM17)</f>
        <v>1531.4268999999999</v>
      </c>
      <c r="AU17" s="70">
        <f t="shared" ref="AU17:AW17" si="27">SUM(AN2:AN17)</f>
        <v>1628.5500999999999</v>
      </c>
      <c r="AV17" s="70">
        <f t="shared" si="27"/>
        <v>1347.7052000000001</v>
      </c>
      <c r="AW17" s="70">
        <f t="shared" si="27"/>
        <v>1226.3540500000001</v>
      </c>
      <c r="AX17" s="70"/>
      <c r="AY17" s="70"/>
      <c r="AZ17" s="70">
        <v>20</v>
      </c>
      <c r="BA17" s="80">
        <f t="shared" si="9"/>
        <v>1.0947499999999974</v>
      </c>
      <c r="BB17" s="70"/>
      <c r="BC17" s="70"/>
      <c r="BD17" s="70"/>
    </row>
    <row r="18" spans="1:63">
      <c r="B18">
        <v>17</v>
      </c>
      <c r="C18" s="59">
        <f>B145-C145</f>
        <v>80.300000000000011</v>
      </c>
      <c r="D18" s="59">
        <f>B146-C146</f>
        <v>41.3</v>
      </c>
      <c r="E18">
        <f>E145-F145</f>
        <v>33</v>
      </c>
      <c r="F18">
        <f>E146-F146</f>
        <v>33.899999999999977</v>
      </c>
      <c r="G18" s="59">
        <f>E147-F147</f>
        <v>35.000000000000014</v>
      </c>
      <c r="H18">
        <f>H145-I145</f>
        <v>55.699999999999996</v>
      </c>
      <c r="I18" s="59">
        <f>H146-I146</f>
        <v>43.400000000000006</v>
      </c>
      <c r="J18">
        <f>K145-L145</f>
        <v>42.900000000000006</v>
      </c>
      <c r="K18" s="59">
        <f>K146-L146</f>
        <v>42.1</v>
      </c>
      <c r="N18">
        <v>17</v>
      </c>
      <c r="O18" s="59">
        <f t="shared" si="2"/>
        <v>363.75900000000007</v>
      </c>
      <c r="P18" s="59">
        <f t="shared" si="2"/>
        <v>187.089</v>
      </c>
      <c r="Q18" s="59">
        <f t="shared" si="2"/>
        <v>149.49</v>
      </c>
      <c r="R18" s="59">
        <f t="shared" si="3"/>
        <v>153.56699999999989</v>
      </c>
      <c r="S18" s="59">
        <f t="shared" si="3"/>
        <v>158.55000000000007</v>
      </c>
      <c r="T18" s="59">
        <f t="shared" si="3"/>
        <v>252.321</v>
      </c>
      <c r="U18" s="59">
        <f t="shared" si="3"/>
        <v>196.60200000000003</v>
      </c>
      <c r="V18" s="59">
        <f t="shared" si="3"/>
        <v>194.33700000000005</v>
      </c>
      <c r="W18" s="59">
        <f t="shared" si="3"/>
        <v>190.71300000000002</v>
      </c>
      <c r="Y18" s="24"/>
      <c r="Z18" s="24">
        <v>21</v>
      </c>
      <c r="AA18" s="81">
        <v>238.27799999999999</v>
      </c>
      <c r="AB18" s="81">
        <v>158.54999999999995</v>
      </c>
      <c r="AC18" s="81">
        <v>160.36200000000002</v>
      </c>
      <c r="AD18" s="81">
        <v>153.114</v>
      </c>
      <c r="AE18" s="81">
        <v>100.11300000000004</v>
      </c>
      <c r="AF18" s="81">
        <v>169.42200000000003</v>
      </c>
      <c r="AG18" s="81">
        <v>154.47299999999998</v>
      </c>
      <c r="AH18" s="81">
        <v>68.855999999999952</v>
      </c>
      <c r="AI18" s="81">
        <v>186.63599999999997</v>
      </c>
      <c r="AJ18" s="80"/>
      <c r="AK18" s="70"/>
      <c r="AL18" s="70">
        <v>21</v>
      </c>
      <c r="AM18" s="80">
        <f t="shared" si="23"/>
        <v>79.365600000000001</v>
      </c>
      <c r="AN18" s="80">
        <f t="shared" si="24"/>
        <v>82.717800000000011</v>
      </c>
      <c r="AO18" s="80">
        <f t="shared" si="17"/>
        <v>64.778999999999996</v>
      </c>
      <c r="AP18" s="80">
        <f>SUM(AH18:AI18)/4</f>
        <v>63.872999999999976</v>
      </c>
      <c r="AQ18" s="70"/>
      <c r="AR18" s="70"/>
      <c r="AS18" s="70">
        <v>21</v>
      </c>
      <c r="AT18" s="70">
        <f>SUM(AM2:AM18)</f>
        <v>1610.7925</v>
      </c>
      <c r="AU18" s="70">
        <f t="shared" ref="AU18:AW18" si="28">SUM(AN2:AN18)</f>
        <v>1711.2678999999998</v>
      </c>
      <c r="AV18" s="70">
        <f t="shared" si="28"/>
        <v>1412.4842000000001</v>
      </c>
      <c r="AW18" s="70">
        <f t="shared" si="28"/>
        <v>1290.2270500000002</v>
      </c>
      <c r="AX18" s="70"/>
      <c r="AY18" s="70"/>
      <c r="AZ18" s="70">
        <v>21</v>
      </c>
      <c r="BA18" s="80">
        <f t="shared" si="9"/>
        <v>7.5500000000012321E-2</v>
      </c>
      <c r="BB18" s="70"/>
      <c r="BC18" s="70"/>
      <c r="BD18" s="70"/>
    </row>
    <row r="19" spans="1:63">
      <c r="B19">
        <v>18</v>
      </c>
      <c r="C19" s="59">
        <f>B153-C153</f>
        <v>63.899999999999991</v>
      </c>
      <c r="D19" s="59">
        <f>B154-C154</f>
        <v>53.900000000000006</v>
      </c>
      <c r="E19">
        <f>E153-F153</f>
        <v>42.900000000000006</v>
      </c>
      <c r="F19">
        <f>E154-F154</f>
        <v>37.300000000000011</v>
      </c>
      <c r="G19" s="59">
        <f>E155-F155</f>
        <v>33.399999999999977</v>
      </c>
      <c r="H19">
        <f>H153-I153</f>
        <v>44.5</v>
      </c>
      <c r="I19" s="59">
        <f>H154-I154</f>
        <v>42.800000000000011</v>
      </c>
      <c r="J19">
        <f>K153-L153</f>
        <v>37.400000000000006</v>
      </c>
      <c r="K19" s="59">
        <f>K154-L154</f>
        <v>48</v>
      </c>
      <c r="N19">
        <v>18</v>
      </c>
      <c r="O19" s="59">
        <f t="shared" si="2"/>
        <v>289.46699999999998</v>
      </c>
      <c r="P19" s="59">
        <f t="shared" si="2"/>
        <v>244.16700000000003</v>
      </c>
      <c r="Q19" s="59">
        <f t="shared" si="2"/>
        <v>194.33700000000005</v>
      </c>
      <c r="R19" s="59">
        <f t="shared" si="3"/>
        <v>168.96900000000005</v>
      </c>
      <c r="S19" s="59">
        <f t="shared" si="3"/>
        <v>151.30199999999991</v>
      </c>
      <c r="T19" s="59">
        <f t="shared" si="3"/>
        <v>201.58500000000001</v>
      </c>
      <c r="U19" s="59">
        <f t="shared" si="3"/>
        <v>193.88400000000007</v>
      </c>
      <c r="V19" s="59">
        <f t="shared" si="3"/>
        <v>169.42200000000003</v>
      </c>
      <c r="W19" s="59">
        <f t="shared" si="3"/>
        <v>217.44</v>
      </c>
      <c r="Y19" s="24"/>
      <c r="Z19" s="83">
        <v>23</v>
      </c>
      <c r="AA19" s="81">
        <v>177.57600000000002</v>
      </c>
      <c r="AB19" s="81">
        <v>143.148</v>
      </c>
      <c r="AC19" s="81">
        <v>192.97799999999998</v>
      </c>
      <c r="AD19" s="81">
        <v>209.28600000000009</v>
      </c>
      <c r="AE19" s="81">
        <v>0</v>
      </c>
      <c r="AF19" s="81">
        <v>188.9010000000001</v>
      </c>
      <c r="AG19" s="81">
        <v>163.53299999999999</v>
      </c>
      <c r="AH19" s="81">
        <v>75.198000000000036</v>
      </c>
      <c r="AI19" s="81">
        <v>156.285</v>
      </c>
      <c r="AJ19" s="80"/>
      <c r="AK19" s="70"/>
      <c r="AL19" s="70">
        <v>23</v>
      </c>
      <c r="AM19" s="80">
        <f t="shared" si="23"/>
        <v>64.144800000000004</v>
      </c>
      <c r="AN19" s="80">
        <f>SUM(AC19:AE19)/4</f>
        <v>100.56600000000002</v>
      </c>
      <c r="AO19" s="80">
        <f t="shared" si="17"/>
        <v>70.486800000000017</v>
      </c>
      <c r="AP19" s="80">
        <f>SUM(AH19:AI19)/3</f>
        <v>77.161000000000016</v>
      </c>
      <c r="AQ19" s="70"/>
      <c r="AR19" s="70"/>
      <c r="AS19" s="70">
        <v>23</v>
      </c>
      <c r="AT19" s="70">
        <f>SUM(AM2:AM19)</f>
        <v>1674.9373000000001</v>
      </c>
      <c r="AU19" s="70">
        <f t="shared" ref="AU19:AW19" si="29">SUM(AN2:AN19)</f>
        <v>1811.8338999999999</v>
      </c>
      <c r="AV19" s="70">
        <f t="shared" si="29"/>
        <v>1482.971</v>
      </c>
      <c r="AW19" s="70">
        <f t="shared" si="29"/>
        <v>1367.3880500000002</v>
      </c>
      <c r="AX19" s="70"/>
      <c r="AY19" s="70"/>
      <c r="AZ19" s="70">
        <v>23</v>
      </c>
      <c r="BA19" s="80">
        <f>STDEV(AA39:AB39)/SQRT(COUNT(AA39:AB39))</f>
        <v>6.1909999999999945</v>
      </c>
      <c r="BB19" s="70"/>
      <c r="BC19" s="70"/>
      <c r="BD19" s="70"/>
    </row>
    <row r="20" spans="1:63">
      <c r="B20">
        <v>19</v>
      </c>
      <c r="C20" s="59">
        <f>B161-C161</f>
        <v>93.700000000000017</v>
      </c>
      <c r="D20" s="59">
        <f>B162-C162</f>
        <v>72.7</v>
      </c>
      <c r="E20">
        <f>E161-F161</f>
        <v>63.7</v>
      </c>
      <c r="F20">
        <f>E162-F162</f>
        <v>51.699999999999989</v>
      </c>
      <c r="G20">
        <f>E163-F163</f>
        <v>32.500000000000014</v>
      </c>
      <c r="H20">
        <f>H161-I161</f>
        <v>64</v>
      </c>
      <c r="I20" s="59">
        <f>H162-I162</f>
        <v>62.400000000000006</v>
      </c>
      <c r="J20">
        <f>K161-L161</f>
        <v>30.699999999999989</v>
      </c>
      <c r="K20" s="59">
        <f>K162-L162</f>
        <v>61.7</v>
      </c>
      <c r="N20">
        <v>19</v>
      </c>
      <c r="O20" s="59">
        <f t="shared" si="2"/>
        <v>424.46100000000013</v>
      </c>
      <c r="P20" s="59">
        <f t="shared" si="2"/>
        <v>329.33100000000002</v>
      </c>
      <c r="Q20" s="59">
        <f t="shared" si="2"/>
        <v>288.56100000000004</v>
      </c>
      <c r="R20" s="59">
        <f t="shared" si="3"/>
        <v>234.20099999999996</v>
      </c>
      <c r="S20" s="59">
        <f t="shared" si="3"/>
        <v>147.22500000000008</v>
      </c>
      <c r="T20" s="59">
        <f t="shared" si="3"/>
        <v>289.92</v>
      </c>
      <c r="U20" s="59">
        <f t="shared" si="3"/>
        <v>282.67200000000003</v>
      </c>
      <c r="V20" s="59">
        <f t="shared" si="3"/>
        <v>139.07099999999997</v>
      </c>
      <c r="W20" s="59">
        <f t="shared" si="3"/>
        <v>279.50100000000003</v>
      </c>
      <c r="AF20" s="59"/>
      <c r="AZ20" s="59"/>
      <c r="BA20" s="59" t="s">
        <v>183</v>
      </c>
      <c r="BB20" s="59"/>
      <c r="BC20" s="59"/>
      <c r="BD20" s="59"/>
    </row>
    <row r="21" spans="1:63">
      <c r="B21">
        <v>20</v>
      </c>
      <c r="C21" s="59">
        <f>B169-C169</f>
        <v>50.800000000000011</v>
      </c>
      <c r="D21">
        <f>B170-C170</f>
        <v>32.900000000000006</v>
      </c>
      <c r="E21">
        <f>E169-F169</f>
        <v>32.799999999999997</v>
      </c>
      <c r="F21">
        <f>E170-F170</f>
        <v>32.900000000000006</v>
      </c>
      <c r="G21">
        <f>E171-F171</f>
        <v>21.399999999999991</v>
      </c>
      <c r="H21">
        <f>H169-I169</f>
        <v>34.799999999999997</v>
      </c>
      <c r="I21">
        <f>H170-I170</f>
        <v>32.699999999999989</v>
      </c>
      <c r="J21">
        <f>K169-L169</f>
        <v>15.400000000000006</v>
      </c>
      <c r="K21">
        <f>K170-L170</f>
        <v>42.300000000000011</v>
      </c>
      <c r="N21">
        <v>20</v>
      </c>
      <c r="O21" s="59">
        <f t="shared" si="2"/>
        <v>230.12400000000005</v>
      </c>
      <c r="P21" s="59">
        <f t="shared" si="2"/>
        <v>149.03700000000003</v>
      </c>
      <c r="Q21" s="59">
        <f t="shared" si="2"/>
        <v>148.584</v>
      </c>
      <c r="R21" s="59">
        <f t="shared" si="3"/>
        <v>149.03700000000003</v>
      </c>
      <c r="S21" s="59">
        <f t="shared" si="3"/>
        <v>96.941999999999965</v>
      </c>
      <c r="T21" s="59">
        <f t="shared" si="3"/>
        <v>157.64400000000001</v>
      </c>
      <c r="U21" s="59">
        <f t="shared" si="3"/>
        <v>148.13099999999994</v>
      </c>
      <c r="V21" s="59">
        <f t="shared" si="3"/>
        <v>69.762000000000029</v>
      </c>
      <c r="W21" s="59">
        <f t="shared" si="3"/>
        <v>191.61900000000006</v>
      </c>
      <c r="Y21" t="s">
        <v>169</v>
      </c>
      <c r="Z21" s="43" t="s">
        <v>157</v>
      </c>
      <c r="AA21" s="55" t="s">
        <v>158</v>
      </c>
      <c r="AB21" s="55" t="s">
        <v>159</v>
      </c>
      <c r="AC21" s="56" t="s">
        <v>160</v>
      </c>
      <c r="AD21" s="56" t="s">
        <v>161</v>
      </c>
      <c r="AE21" s="56" t="s">
        <v>162</v>
      </c>
      <c r="AF21" s="57" t="s">
        <v>163</v>
      </c>
      <c r="AG21" s="57" t="s">
        <v>164</v>
      </c>
      <c r="AH21" s="58" t="s">
        <v>165</v>
      </c>
      <c r="AI21" s="58" t="s">
        <v>166</v>
      </c>
      <c r="AK21" t="s">
        <v>178</v>
      </c>
      <c r="AL21" s="43" t="s">
        <v>157</v>
      </c>
      <c r="AM21" s="55" t="s">
        <v>158</v>
      </c>
      <c r="AN21" s="55" t="s">
        <v>159</v>
      </c>
      <c r="AO21" s="56" t="s">
        <v>160</v>
      </c>
      <c r="AP21" s="56" t="s">
        <v>161</v>
      </c>
      <c r="AQ21" s="56" t="s">
        <v>162</v>
      </c>
      <c r="AR21" s="57" t="s">
        <v>163</v>
      </c>
      <c r="AS21" s="57" t="s">
        <v>164</v>
      </c>
      <c r="AT21" s="58" t="s">
        <v>165</v>
      </c>
      <c r="AU21" s="58" t="s">
        <v>166</v>
      </c>
      <c r="AV21" s="61"/>
      <c r="AW21" s="61" t="s">
        <v>182</v>
      </c>
      <c r="AX21" s="43" t="s">
        <v>157</v>
      </c>
      <c r="AY21" s="55" t="s">
        <v>5</v>
      </c>
      <c r="AZ21" s="56" t="s">
        <v>6</v>
      </c>
      <c r="BA21" s="57" t="s">
        <v>7</v>
      </c>
      <c r="BB21" s="58" t="s">
        <v>8</v>
      </c>
      <c r="BD21" t="s">
        <v>41</v>
      </c>
      <c r="BE21" s="43" t="s">
        <v>157</v>
      </c>
      <c r="BF21" s="55" t="s">
        <v>5</v>
      </c>
      <c r="BG21" s="56" t="s">
        <v>6</v>
      </c>
      <c r="BH21" s="57" t="s">
        <v>7</v>
      </c>
      <c r="BI21" s="58" t="s">
        <v>8</v>
      </c>
      <c r="BJ21" s="59"/>
      <c r="BK21" s="59"/>
    </row>
    <row r="22" spans="1:63">
      <c r="B22">
        <v>21</v>
      </c>
      <c r="C22" s="59">
        <f>B177-C177</f>
        <v>52.599999999999994</v>
      </c>
      <c r="D22">
        <f>B178-C178</f>
        <v>34.999999999999986</v>
      </c>
      <c r="E22">
        <f>E177-F177</f>
        <v>35.400000000000006</v>
      </c>
      <c r="F22">
        <f>E178-F178</f>
        <v>33.799999999999997</v>
      </c>
      <c r="G22">
        <f>E179-F179</f>
        <v>22.100000000000009</v>
      </c>
      <c r="H22">
        <f>H177-I177</f>
        <v>37.400000000000006</v>
      </c>
      <c r="I22">
        <f>H178-I178</f>
        <v>34.099999999999994</v>
      </c>
      <c r="J22">
        <f>K177-L177</f>
        <v>15.199999999999989</v>
      </c>
      <c r="K22">
        <f>K178-L178</f>
        <v>41.199999999999989</v>
      </c>
      <c r="N22">
        <v>21</v>
      </c>
      <c r="O22" s="59">
        <f t="shared" si="2"/>
        <v>238.27799999999999</v>
      </c>
      <c r="P22" s="59">
        <f t="shared" si="2"/>
        <v>158.54999999999995</v>
      </c>
      <c r="Q22" s="59">
        <f t="shared" si="2"/>
        <v>160.36200000000002</v>
      </c>
      <c r="R22" s="59">
        <f t="shared" si="3"/>
        <v>153.114</v>
      </c>
      <c r="S22" s="59">
        <f t="shared" si="3"/>
        <v>100.11300000000004</v>
      </c>
      <c r="T22" s="59">
        <f t="shared" si="3"/>
        <v>169.42200000000003</v>
      </c>
      <c r="U22" s="59">
        <f t="shared" si="3"/>
        <v>154.47299999999998</v>
      </c>
      <c r="V22" s="59">
        <f t="shared" si="3"/>
        <v>68.855999999999952</v>
      </c>
      <c r="W22" s="59">
        <f t="shared" si="3"/>
        <v>186.63599999999997</v>
      </c>
      <c r="Z22">
        <v>1</v>
      </c>
      <c r="AA22" s="59">
        <f>AA2/4</f>
        <v>46.092750000000052</v>
      </c>
      <c r="AB22" s="59">
        <f>AB2/2</f>
        <v>29.218499999999949</v>
      </c>
      <c r="AC22" s="59">
        <f>AC2/4</f>
        <v>17.780249999999988</v>
      </c>
      <c r="AD22" s="59">
        <f>AD2/2</f>
        <v>18.346500000000052</v>
      </c>
      <c r="AE22" s="59">
        <v>0</v>
      </c>
      <c r="AF22" s="59">
        <f>AF2/3</f>
        <v>28.69</v>
      </c>
      <c r="AG22" s="59">
        <f>AG2/3</f>
        <v>27.481999999999985</v>
      </c>
      <c r="AH22" s="59">
        <f>AH2/3</f>
        <v>23.103000000000019</v>
      </c>
      <c r="AI22" s="59">
        <f>AI2/3</f>
        <v>21.14</v>
      </c>
      <c r="AL22">
        <v>1</v>
      </c>
      <c r="AM22">
        <f>AA22</f>
        <v>46.092750000000052</v>
      </c>
      <c r="AN22">
        <f t="shared" ref="AN22:AU22" si="30">AB22</f>
        <v>29.218499999999949</v>
      </c>
      <c r="AO22">
        <f t="shared" si="30"/>
        <v>17.780249999999988</v>
      </c>
      <c r="AP22">
        <f t="shared" si="30"/>
        <v>18.346500000000052</v>
      </c>
      <c r="AQ22">
        <f>AO22</f>
        <v>17.780249999999988</v>
      </c>
      <c r="AR22">
        <f>AF22</f>
        <v>28.69</v>
      </c>
      <c r="AS22">
        <f t="shared" si="30"/>
        <v>27.481999999999985</v>
      </c>
      <c r="AT22">
        <f t="shared" si="30"/>
        <v>23.103000000000019</v>
      </c>
      <c r="AU22">
        <f t="shared" si="30"/>
        <v>21.14</v>
      </c>
      <c r="AX22" s="24">
        <v>1</v>
      </c>
      <c r="AY22" s="81">
        <f>AVERAGE(AM22:AN22)</f>
        <v>37.655625000000001</v>
      </c>
      <c r="AZ22">
        <f>AVERAGE(AO22:AP22)</f>
        <v>18.063375000000022</v>
      </c>
      <c r="BA22" s="81">
        <f>AVERAGE(AR22:AS22)</f>
        <v>28.085999999999991</v>
      </c>
      <c r="BB22" s="81">
        <f>AVERAGE(AT22:AU22)</f>
        <v>22.121500000000012</v>
      </c>
      <c r="BE22">
        <v>1</v>
      </c>
      <c r="BF22" s="59">
        <f t="shared" ref="BF22:BF39" si="31">STDEV(AM22:AN22)/SQRT(COUNT(AM22:AN22))</f>
        <v>8.4371250000000515</v>
      </c>
      <c r="BG22" s="81">
        <f t="shared" ref="BG22:BG28" si="32">STDEV(AO22:AP22)/SQRT(COUNT(AO22:AP22))</f>
        <v>0.28312500000003205</v>
      </c>
      <c r="BH22" s="59">
        <f>STDEV(AR22:AS22)/SQRT(COUNT(AR22:AS22))</f>
        <v>0.60400000000000809</v>
      </c>
      <c r="BI22" s="59">
        <f>STDEV(AT22:AU22)/SQRT(COUNT(AT22:AU22))</f>
        <v>0.98150000000000925</v>
      </c>
      <c r="BJ22" s="59"/>
      <c r="BK22" s="59"/>
    </row>
    <row r="23" spans="1:63">
      <c r="B23" s="45">
        <v>22</v>
      </c>
      <c r="C23" s="59">
        <f>B185-C185</f>
        <v>73.8</v>
      </c>
      <c r="D23">
        <f>B186-C186</f>
        <v>105.7</v>
      </c>
      <c r="E23">
        <f>E185-F185</f>
        <v>78.400000000000006</v>
      </c>
      <c r="F23">
        <f>E186-F186</f>
        <v>107.8</v>
      </c>
      <c r="G23">
        <f>E187-F187</f>
        <v>71.8</v>
      </c>
      <c r="H23">
        <f>H185-I185</f>
        <v>89.8</v>
      </c>
      <c r="I23">
        <f>H186-I186</f>
        <v>119.9</v>
      </c>
      <c r="J23">
        <f>K185-L185</f>
        <v>93.4</v>
      </c>
      <c r="K23">
        <f>K186-L186</f>
        <v>90.9</v>
      </c>
      <c r="N23" s="45">
        <v>22</v>
      </c>
      <c r="O23" s="59">
        <f t="shared" si="2"/>
        <v>334.31400000000002</v>
      </c>
      <c r="P23" s="59">
        <f t="shared" si="2"/>
        <v>478.82100000000003</v>
      </c>
      <c r="Q23" s="59">
        <f t="shared" si="2"/>
        <v>355.15200000000004</v>
      </c>
      <c r="R23" s="59">
        <f t="shared" si="3"/>
        <v>488.334</v>
      </c>
      <c r="S23" s="59">
        <f t="shared" si="3"/>
        <v>325.25400000000002</v>
      </c>
      <c r="T23" s="59">
        <f t="shared" si="3"/>
        <v>406.79399999999998</v>
      </c>
      <c r="U23" s="59">
        <f t="shared" si="3"/>
        <v>543.14700000000005</v>
      </c>
      <c r="V23" s="59">
        <f t="shared" si="3"/>
        <v>423.10200000000003</v>
      </c>
      <c r="W23" s="59">
        <f t="shared" si="3"/>
        <v>411.77700000000004</v>
      </c>
      <c r="Z23">
        <v>2</v>
      </c>
      <c r="AA23" s="59">
        <f t="shared" ref="AA23:AA34" si="33">AA3/4</f>
        <v>70.441499999999991</v>
      </c>
      <c r="AB23" s="59">
        <f t="shared" ref="AB23:AC39" si="34">AB3/2</f>
        <v>57.077999999999975</v>
      </c>
      <c r="AC23" s="59">
        <f t="shared" ref="AC23:AC28" si="35">AC3/4</f>
        <v>139.75050000000005</v>
      </c>
      <c r="AD23" s="59">
        <f t="shared" ref="AD23:AE39" si="36">AD3/2</f>
        <v>81.540000000000006</v>
      </c>
      <c r="AE23" s="59">
        <v>0</v>
      </c>
      <c r="AF23" s="59">
        <f>AF3/3</f>
        <v>61.155000000000001</v>
      </c>
      <c r="AG23" s="59">
        <f t="shared" ref="AG23:AI29" si="37">AG3/3</f>
        <v>74.443000000000026</v>
      </c>
      <c r="AH23" s="59">
        <f t="shared" si="37"/>
        <v>71.725000000000009</v>
      </c>
      <c r="AI23" s="59">
        <f t="shared" si="37"/>
        <v>51.792999999999928</v>
      </c>
      <c r="AL23">
        <v>2</v>
      </c>
      <c r="AM23">
        <f>SUM(AA22:AA23)</f>
        <v>116.53425000000004</v>
      </c>
      <c r="AN23">
        <f t="shared" ref="AN23:AU23" si="38">SUM(AB22:AB23)</f>
        <v>86.296499999999924</v>
      </c>
      <c r="AO23">
        <f t="shared" si="38"/>
        <v>157.53075000000004</v>
      </c>
      <c r="AP23">
        <f t="shared" si="38"/>
        <v>99.886500000000055</v>
      </c>
      <c r="AQ23">
        <f t="shared" ref="AQ23:AQ28" si="39">AO23</f>
        <v>157.53075000000004</v>
      </c>
      <c r="AR23">
        <f t="shared" si="38"/>
        <v>89.844999999999999</v>
      </c>
      <c r="AS23">
        <f t="shared" si="38"/>
        <v>101.92500000000001</v>
      </c>
      <c r="AT23">
        <f t="shared" si="38"/>
        <v>94.828000000000031</v>
      </c>
      <c r="AU23">
        <f t="shared" si="38"/>
        <v>72.932999999999936</v>
      </c>
      <c r="AX23" s="24">
        <v>2</v>
      </c>
      <c r="AY23" s="81">
        <f t="shared" ref="AY23:AY39" si="40">AVERAGE(AM23:AN23)</f>
        <v>101.41537499999998</v>
      </c>
      <c r="AZ23">
        <f t="shared" ref="AZ23:AZ28" si="41">AVERAGE(AO23:AP23)</f>
        <v>128.70862500000004</v>
      </c>
      <c r="BA23" s="81">
        <f t="shared" ref="BA23:BA39" si="42">AVERAGE(AR23:AS23)</f>
        <v>95.885000000000005</v>
      </c>
      <c r="BB23" s="81">
        <f t="shared" ref="BB23:BB39" si="43">AVERAGE(AT23:AU23)</f>
        <v>83.880499999999984</v>
      </c>
      <c r="BE23">
        <v>2</v>
      </c>
      <c r="BF23" s="59">
        <f t="shared" si="31"/>
        <v>15.118875000000058</v>
      </c>
      <c r="BG23" s="81">
        <f t="shared" si="32"/>
        <v>28.82212500000005</v>
      </c>
      <c r="BH23" s="59">
        <f t="shared" ref="BH23:BH39" si="44">STDEV(AR23:AS23)/SQRT(COUNT(AR23:AS23))</f>
        <v>6.0400000000000054</v>
      </c>
      <c r="BI23" s="59">
        <f t="shared" ref="BI23:BI39" si="45">STDEV(AT23:AU23)/SQRT(COUNT(AT23:AU23))</f>
        <v>10.947500000000009</v>
      </c>
      <c r="BJ23" s="59"/>
      <c r="BK23" s="59"/>
    </row>
    <row r="24" spans="1:63">
      <c r="B24" s="71">
        <v>23</v>
      </c>
      <c r="C24" s="59">
        <f>B193-C193</f>
        <v>39.200000000000003</v>
      </c>
      <c r="D24">
        <f>B194-C194</f>
        <v>31.599999999999994</v>
      </c>
      <c r="E24">
        <f>E193-F193</f>
        <v>42.599999999999994</v>
      </c>
      <c r="F24">
        <f>E194-F194</f>
        <v>46.200000000000017</v>
      </c>
      <c r="H24">
        <f>H193-I193</f>
        <v>41.700000000000017</v>
      </c>
      <c r="I24">
        <f>H194-I194</f>
        <v>36.099999999999994</v>
      </c>
      <c r="J24">
        <f>K193-L193</f>
        <v>16.600000000000009</v>
      </c>
      <c r="K24">
        <f>K194-L194</f>
        <v>34.5</v>
      </c>
      <c r="N24" s="71">
        <v>23</v>
      </c>
      <c r="O24" s="59">
        <f t="shared" si="2"/>
        <v>177.57600000000002</v>
      </c>
      <c r="P24" s="59">
        <f t="shared" si="2"/>
        <v>143.148</v>
      </c>
      <c r="Q24" s="59">
        <f t="shared" si="2"/>
        <v>192.97799999999998</v>
      </c>
      <c r="R24" s="59">
        <f t="shared" si="3"/>
        <v>209.28600000000009</v>
      </c>
      <c r="S24" s="59">
        <f t="shared" si="3"/>
        <v>0</v>
      </c>
      <c r="T24" s="59">
        <f t="shared" si="3"/>
        <v>188.9010000000001</v>
      </c>
      <c r="U24" s="59">
        <f t="shared" si="3"/>
        <v>163.53299999999999</v>
      </c>
      <c r="V24" s="59">
        <f t="shared" si="3"/>
        <v>75.198000000000036</v>
      </c>
      <c r="W24" s="59">
        <f t="shared" si="3"/>
        <v>156.285</v>
      </c>
      <c r="Z24">
        <v>3</v>
      </c>
      <c r="AA24" s="59">
        <f t="shared" si="33"/>
        <v>117.21375</v>
      </c>
      <c r="AB24" s="59">
        <f t="shared" si="34"/>
        <v>102.37800000000011</v>
      </c>
      <c r="AC24" s="59">
        <f t="shared" si="35"/>
        <v>63.986250000000005</v>
      </c>
      <c r="AD24" s="59">
        <f t="shared" si="36"/>
        <v>113.70299999999997</v>
      </c>
      <c r="AE24" s="59">
        <v>0</v>
      </c>
      <c r="AF24" s="59">
        <f t="shared" ref="AF24:AF34" si="46">AF4/3</f>
        <v>101.62299999999993</v>
      </c>
      <c r="AG24" s="59">
        <f t="shared" si="37"/>
        <v>84.106999999999985</v>
      </c>
      <c r="AH24" s="59">
        <f t="shared" si="37"/>
        <v>90.751000000000033</v>
      </c>
      <c r="AI24" s="59">
        <f t="shared" si="37"/>
        <v>96.790999999999954</v>
      </c>
      <c r="AL24">
        <v>3</v>
      </c>
      <c r="AM24">
        <f>SUM(AA22:AA24)</f>
        <v>233.74800000000005</v>
      </c>
      <c r="AN24">
        <f t="shared" ref="AN24:AU24" si="47">SUM(AB22:AB24)</f>
        <v>188.67450000000002</v>
      </c>
      <c r="AO24">
        <f t="shared" si="47"/>
        <v>221.51700000000005</v>
      </c>
      <c r="AP24">
        <f t="shared" si="47"/>
        <v>213.58950000000004</v>
      </c>
      <c r="AQ24">
        <f t="shared" si="39"/>
        <v>221.51700000000005</v>
      </c>
      <c r="AR24">
        <f t="shared" si="47"/>
        <v>191.46799999999993</v>
      </c>
      <c r="AS24">
        <f t="shared" si="47"/>
        <v>186.03199999999998</v>
      </c>
      <c r="AT24">
        <f t="shared" si="47"/>
        <v>185.57900000000006</v>
      </c>
      <c r="AU24">
        <f t="shared" si="47"/>
        <v>169.72399999999988</v>
      </c>
      <c r="AX24" s="24">
        <v>3</v>
      </c>
      <c r="AY24" s="81">
        <f t="shared" si="40"/>
        <v>211.21125000000004</v>
      </c>
      <c r="AZ24">
        <f t="shared" si="41"/>
        <v>217.55325000000005</v>
      </c>
      <c r="BA24" s="81">
        <f t="shared" si="42"/>
        <v>188.74999999999994</v>
      </c>
      <c r="BB24" s="81">
        <f t="shared" si="43"/>
        <v>177.65149999999997</v>
      </c>
      <c r="BE24">
        <v>3</v>
      </c>
      <c r="BF24" s="59">
        <f t="shared" si="31"/>
        <v>22.536750000000172</v>
      </c>
      <c r="BG24" s="81">
        <f t="shared" si="32"/>
        <v>3.9637500000000041</v>
      </c>
      <c r="BH24" s="59">
        <f t="shared" si="44"/>
        <v>2.7179999999999751</v>
      </c>
      <c r="BI24" s="59">
        <f t="shared" si="45"/>
        <v>7.9275000000000944</v>
      </c>
      <c r="BJ24" s="59"/>
      <c r="BK24" s="59"/>
    </row>
    <row r="25" spans="1:63">
      <c r="Z25">
        <v>4</v>
      </c>
      <c r="AA25" s="59">
        <f t="shared" si="33"/>
        <v>253.68</v>
      </c>
      <c r="AB25" s="59">
        <f t="shared" si="34"/>
        <v>56.398499999999949</v>
      </c>
      <c r="AC25" s="59">
        <f t="shared" si="35"/>
        <v>295.01625000000001</v>
      </c>
      <c r="AD25" s="59">
        <f t="shared" si="36"/>
        <v>106.22849999999995</v>
      </c>
      <c r="AE25" s="59">
        <v>0</v>
      </c>
      <c r="AF25" s="59">
        <f t="shared" si="46"/>
        <v>73.688000000000017</v>
      </c>
      <c r="AG25" s="59">
        <f t="shared" si="37"/>
        <v>70.365999999999957</v>
      </c>
      <c r="AH25" s="59">
        <f t="shared" si="37"/>
        <v>90.751000000000033</v>
      </c>
      <c r="AI25" s="59">
        <f t="shared" si="37"/>
        <v>54.813000000000017</v>
      </c>
      <c r="AL25">
        <v>4</v>
      </c>
      <c r="AM25">
        <f>SUM(AA22:AA25)</f>
        <v>487.42800000000005</v>
      </c>
      <c r="AN25">
        <f t="shared" ref="AN25:AU25" si="48">SUM(AB22:AB25)</f>
        <v>245.07299999999998</v>
      </c>
      <c r="AO25">
        <f t="shared" si="48"/>
        <v>516.53325000000007</v>
      </c>
      <c r="AP25">
        <f t="shared" si="48"/>
        <v>319.81799999999998</v>
      </c>
      <c r="AQ25">
        <f t="shared" si="39"/>
        <v>516.53325000000007</v>
      </c>
      <c r="AR25">
        <f t="shared" si="48"/>
        <v>265.15599999999995</v>
      </c>
      <c r="AS25">
        <f t="shared" si="48"/>
        <v>256.39799999999991</v>
      </c>
      <c r="AT25">
        <f t="shared" si="48"/>
        <v>276.3300000000001</v>
      </c>
      <c r="AU25">
        <f t="shared" si="48"/>
        <v>224.53699999999989</v>
      </c>
      <c r="AX25" s="24">
        <v>4</v>
      </c>
      <c r="AY25" s="81">
        <f t="shared" si="40"/>
        <v>366.25049999999999</v>
      </c>
      <c r="AZ25">
        <f t="shared" si="41"/>
        <v>418.17562500000003</v>
      </c>
      <c r="BA25" s="81">
        <f t="shared" si="42"/>
        <v>260.77699999999993</v>
      </c>
      <c r="BB25" s="81">
        <f t="shared" si="43"/>
        <v>250.43349999999998</v>
      </c>
      <c r="BE25">
        <v>4</v>
      </c>
      <c r="BF25" s="59">
        <f t="shared" si="31"/>
        <v>121.17750000000005</v>
      </c>
      <c r="BG25" s="81">
        <f t="shared" si="32"/>
        <v>98.357624999999985</v>
      </c>
      <c r="BH25" s="59">
        <f t="shared" si="44"/>
        <v>4.3790000000000191</v>
      </c>
      <c r="BI25" s="59">
        <f t="shared" si="45"/>
        <v>25.896500000000277</v>
      </c>
      <c r="BJ25" s="59"/>
      <c r="BK25" s="59"/>
    </row>
    <row r="26" spans="1:63">
      <c r="A26" s="62" t="s">
        <v>0</v>
      </c>
      <c r="B26" s="63" t="s">
        <v>90</v>
      </c>
      <c r="C26" s="63" t="s">
        <v>87</v>
      </c>
      <c r="D26" s="64" t="s">
        <v>89</v>
      </c>
      <c r="E26" s="65" t="s">
        <v>91</v>
      </c>
      <c r="F26" s="63" t="s">
        <v>86</v>
      </c>
      <c r="G26" s="64" t="s">
        <v>88</v>
      </c>
      <c r="H26" s="65" t="s">
        <v>93</v>
      </c>
      <c r="I26" s="63" t="s">
        <v>94</v>
      </c>
      <c r="J26" s="64" t="s">
        <v>92</v>
      </c>
      <c r="K26" s="65" t="s">
        <v>95</v>
      </c>
      <c r="L26" s="63" t="s">
        <v>96</v>
      </c>
      <c r="M26" s="64" t="s">
        <v>97</v>
      </c>
      <c r="N26" s="66" t="s">
        <v>102</v>
      </c>
      <c r="Z26">
        <v>5</v>
      </c>
      <c r="AA26" s="59">
        <f t="shared" si="33"/>
        <v>86.183250000000029</v>
      </c>
      <c r="AB26" s="59">
        <f t="shared" si="34"/>
        <v>71.574000000000055</v>
      </c>
      <c r="AC26" s="59">
        <f t="shared" si="35"/>
        <v>233.0685</v>
      </c>
      <c r="AD26" s="59">
        <f t="shared" si="36"/>
        <v>76.330499999999972</v>
      </c>
      <c r="AE26" s="59">
        <v>0</v>
      </c>
      <c r="AF26" s="59">
        <f t="shared" si="46"/>
        <v>75.046999999999983</v>
      </c>
      <c r="AG26" s="59">
        <f t="shared" si="37"/>
        <v>77.312000000000069</v>
      </c>
      <c r="AH26" s="59">
        <f t="shared" si="37"/>
        <v>127.89699999999999</v>
      </c>
      <c r="AI26" s="59">
        <f t="shared" si="37"/>
        <v>67.798999999999964</v>
      </c>
      <c r="AL26">
        <v>5</v>
      </c>
      <c r="AM26">
        <f>SUM(AA22:AA26)</f>
        <v>573.61125000000004</v>
      </c>
      <c r="AN26">
        <f t="shared" ref="AN26:AU26" si="49">SUM(AB22:AB26)</f>
        <v>316.64700000000005</v>
      </c>
      <c r="AO26">
        <f t="shared" si="49"/>
        <v>749.60175000000004</v>
      </c>
      <c r="AP26">
        <f t="shared" si="49"/>
        <v>396.14849999999996</v>
      </c>
      <c r="AQ26">
        <f t="shared" si="39"/>
        <v>749.60175000000004</v>
      </c>
      <c r="AR26">
        <f t="shared" si="49"/>
        <v>340.20299999999992</v>
      </c>
      <c r="AS26">
        <f t="shared" si="49"/>
        <v>333.71</v>
      </c>
      <c r="AT26">
        <f t="shared" si="49"/>
        <v>404.22700000000009</v>
      </c>
      <c r="AU26">
        <f t="shared" si="49"/>
        <v>292.33599999999984</v>
      </c>
      <c r="AX26" s="24">
        <v>5</v>
      </c>
      <c r="AY26" s="81">
        <f t="shared" si="40"/>
        <v>445.12912500000004</v>
      </c>
      <c r="AZ26">
        <f t="shared" si="41"/>
        <v>572.87512500000003</v>
      </c>
      <c r="BA26" s="81">
        <f t="shared" si="42"/>
        <v>336.95649999999995</v>
      </c>
      <c r="BB26" s="81">
        <f t="shared" si="43"/>
        <v>348.28149999999994</v>
      </c>
      <c r="BE26">
        <v>5</v>
      </c>
      <c r="BF26" s="59">
        <f t="shared" si="31"/>
        <v>128.482125</v>
      </c>
      <c r="BG26" s="81">
        <f t="shared" si="32"/>
        <v>176.72662499999979</v>
      </c>
      <c r="BH26" s="59">
        <f t="shared" si="44"/>
        <v>3.2464999999999691</v>
      </c>
      <c r="BI26" s="59">
        <f t="shared" si="45"/>
        <v>55.945500000000358</v>
      </c>
    </row>
    <row r="27" spans="1:63">
      <c r="A27" s="67">
        <v>1</v>
      </c>
      <c r="B27" s="68">
        <v>353.6</v>
      </c>
      <c r="C27" s="68">
        <v>312.89999999999998</v>
      </c>
      <c r="D27" s="67">
        <v>10.175000000000011</v>
      </c>
      <c r="E27" s="69">
        <v>408</v>
      </c>
      <c r="F27" s="68">
        <v>392.3</v>
      </c>
      <c r="G27" s="67">
        <v>3.9249999999999972</v>
      </c>
      <c r="H27" s="69">
        <v>409.4</v>
      </c>
      <c r="I27" s="68">
        <v>390.4</v>
      </c>
      <c r="J27" s="67">
        <v>6.333333333333333</v>
      </c>
      <c r="K27" s="69">
        <v>387</v>
      </c>
      <c r="L27" s="68">
        <v>371.7</v>
      </c>
      <c r="M27" s="67">
        <v>5.1000000000000041</v>
      </c>
      <c r="N27" s="70" t="s">
        <v>54</v>
      </c>
      <c r="Z27">
        <v>8</v>
      </c>
      <c r="AA27" s="59">
        <f t="shared" si="33"/>
        <v>98.640749999999997</v>
      </c>
      <c r="AB27" s="59">
        <f t="shared" si="34"/>
        <v>98.980499999999978</v>
      </c>
      <c r="AC27" s="59">
        <f t="shared" si="35"/>
        <v>95.583000000000013</v>
      </c>
      <c r="AD27" s="59">
        <f t="shared" si="36"/>
        <v>91.052999999999983</v>
      </c>
      <c r="AE27" s="59">
        <v>0</v>
      </c>
      <c r="AF27" s="59">
        <f t="shared" si="46"/>
        <v>122.15900000000001</v>
      </c>
      <c r="AG27" s="59">
        <f t="shared" si="37"/>
        <v>122.91399999999997</v>
      </c>
      <c r="AH27" s="59">
        <f t="shared" si="37"/>
        <v>89.694000000000017</v>
      </c>
      <c r="AI27" s="59">
        <f t="shared" si="37"/>
        <v>108.41800000000002</v>
      </c>
      <c r="AL27">
        <v>8</v>
      </c>
      <c r="AM27">
        <f>SUM(AA22:AA27)</f>
        <v>672.25200000000007</v>
      </c>
      <c r="AN27">
        <f t="shared" ref="AN27:AU27" si="50">SUM(AB22:AB27)</f>
        <v>415.62750000000005</v>
      </c>
      <c r="AO27">
        <f t="shared" si="50"/>
        <v>845.18475000000001</v>
      </c>
      <c r="AP27">
        <f t="shared" si="50"/>
        <v>487.20149999999995</v>
      </c>
      <c r="AQ27">
        <f t="shared" si="39"/>
        <v>845.18475000000001</v>
      </c>
      <c r="AR27">
        <f t="shared" si="50"/>
        <v>462.36199999999991</v>
      </c>
      <c r="AS27">
        <f t="shared" si="50"/>
        <v>456.62399999999997</v>
      </c>
      <c r="AT27">
        <f t="shared" si="50"/>
        <v>493.92100000000011</v>
      </c>
      <c r="AU27">
        <f t="shared" si="50"/>
        <v>400.75399999999985</v>
      </c>
      <c r="AX27" s="24">
        <v>8</v>
      </c>
      <c r="AY27" s="81">
        <f t="shared" si="40"/>
        <v>543.93975</v>
      </c>
      <c r="AZ27">
        <f t="shared" si="41"/>
        <v>666.19312500000001</v>
      </c>
      <c r="BA27" s="81">
        <f t="shared" si="42"/>
        <v>459.49299999999994</v>
      </c>
      <c r="BB27" s="81">
        <f t="shared" si="43"/>
        <v>447.33749999999998</v>
      </c>
      <c r="BE27">
        <v>8</v>
      </c>
      <c r="BF27" s="59">
        <f t="shared" si="31"/>
        <v>128.31225000000035</v>
      </c>
      <c r="BG27" s="81">
        <f t="shared" si="32"/>
        <v>178.99162499999986</v>
      </c>
      <c r="BH27" s="59">
        <f t="shared" si="44"/>
        <v>2.8689999999999714</v>
      </c>
      <c r="BI27" s="59">
        <f t="shared" si="45"/>
        <v>46.583500000000136</v>
      </c>
    </row>
    <row r="28" spans="1:63">
      <c r="A28" s="67">
        <v>2</v>
      </c>
      <c r="B28" s="68">
        <v>334.2</v>
      </c>
      <c r="C28" s="68">
        <v>321.3</v>
      </c>
      <c r="D28" s="67">
        <v>6.4499999999999886</v>
      </c>
      <c r="E28" s="69">
        <v>388</v>
      </c>
      <c r="F28" s="68">
        <v>379.9</v>
      </c>
      <c r="G28" s="67">
        <v>4.0500000000000114</v>
      </c>
      <c r="H28" s="69">
        <v>376.4</v>
      </c>
      <c r="I28" s="68">
        <v>358.2</v>
      </c>
      <c r="J28" s="67">
        <v>6.0666666666666629</v>
      </c>
      <c r="K28" s="69">
        <v>363.4</v>
      </c>
      <c r="L28" s="68">
        <v>349.4</v>
      </c>
      <c r="M28" s="67">
        <v>4.666666666666667</v>
      </c>
      <c r="N28" s="70"/>
      <c r="Z28">
        <v>10</v>
      </c>
      <c r="AA28" s="59">
        <f t="shared" si="33"/>
        <v>93.544500000000014</v>
      </c>
      <c r="AB28" s="59">
        <f t="shared" si="34"/>
        <v>87.202500000000001</v>
      </c>
      <c r="AC28" s="82">
        <f t="shared" si="35"/>
        <v>86.636250000000018</v>
      </c>
      <c r="AD28" s="59">
        <f t="shared" si="36"/>
        <v>75.197999999999979</v>
      </c>
      <c r="AE28" s="59">
        <v>0</v>
      </c>
      <c r="AF28" s="59">
        <f t="shared" si="46"/>
        <v>98.30100000000003</v>
      </c>
      <c r="AG28" s="59">
        <f t="shared" si="37"/>
        <v>109.47500000000002</v>
      </c>
      <c r="AH28" s="59">
        <f t="shared" si="37"/>
        <v>88.033000000000015</v>
      </c>
      <c r="AI28" s="59">
        <f t="shared" si="37"/>
        <v>103.73699999999998</v>
      </c>
      <c r="AL28">
        <v>10</v>
      </c>
      <c r="AM28">
        <f>SUM(AA22:AA28)</f>
        <v>765.79650000000004</v>
      </c>
      <c r="AN28">
        <f t="shared" ref="AN28:AU28" si="51">SUM(AB22:AB28)</f>
        <v>502.83000000000004</v>
      </c>
      <c r="AO28">
        <f t="shared" si="51"/>
        <v>931.82100000000003</v>
      </c>
      <c r="AP28">
        <f t="shared" si="51"/>
        <v>562.39949999999999</v>
      </c>
      <c r="AQ28" s="82">
        <f t="shared" si="39"/>
        <v>931.82100000000003</v>
      </c>
      <c r="AR28">
        <f t="shared" si="51"/>
        <v>560.6629999999999</v>
      </c>
      <c r="AS28">
        <f t="shared" si="51"/>
        <v>566.09899999999993</v>
      </c>
      <c r="AT28">
        <f t="shared" si="51"/>
        <v>581.95400000000018</v>
      </c>
      <c r="AU28">
        <f t="shared" si="51"/>
        <v>504.49099999999981</v>
      </c>
      <c r="AX28" s="24">
        <v>10</v>
      </c>
      <c r="AY28" s="81">
        <f t="shared" si="40"/>
        <v>634.31325000000004</v>
      </c>
      <c r="AZ28">
        <f t="shared" si="41"/>
        <v>747.11024999999995</v>
      </c>
      <c r="BA28" s="81">
        <f t="shared" si="42"/>
        <v>563.38099999999986</v>
      </c>
      <c r="BB28" s="81">
        <f t="shared" si="43"/>
        <v>543.22249999999997</v>
      </c>
      <c r="BE28">
        <v>10</v>
      </c>
      <c r="BF28" s="59">
        <f t="shared" si="31"/>
        <v>131.48324999999994</v>
      </c>
      <c r="BG28" s="81">
        <f t="shared" si="32"/>
        <v>184.71074999999993</v>
      </c>
      <c r="BH28" s="59">
        <f t="shared" si="44"/>
        <v>2.7180000000000177</v>
      </c>
      <c r="BI28" s="59">
        <f t="shared" si="45"/>
        <v>38.731500000000182</v>
      </c>
    </row>
    <row r="29" spans="1:63">
      <c r="A29" s="70" t="s">
        <v>98</v>
      </c>
      <c r="B29" s="70"/>
      <c r="C29" s="70"/>
      <c r="D29" s="70">
        <v>8.3125</v>
      </c>
      <c r="E29" s="70"/>
      <c r="F29" s="70"/>
      <c r="G29" s="70">
        <v>3.9875000000000043</v>
      </c>
      <c r="H29" s="70"/>
      <c r="I29" s="70"/>
      <c r="J29" s="70">
        <v>6.1999999999999975</v>
      </c>
      <c r="K29" s="70"/>
      <c r="L29" s="70"/>
      <c r="M29" s="70">
        <v>4.8833333333333355</v>
      </c>
      <c r="N29" s="70"/>
      <c r="Z29" s="71">
        <v>11</v>
      </c>
      <c r="AA29" s="59">
        <f t="shared" si="33"/>
        <v>62.740500000000011</v>
      </c>
      <c r="AB29" s="59">
        <f t="shared" si="34"/>
        <v>64.325999999999951</v>
      </c>
      <c r="AC29" s="59">
        <f>AC9/2</f>
        <v>43.035000000000004</v>
      </c>
      <c r="AD29" s="59">
        <f t="shared" si="36"/>
        <v>55.945500000000038</v>
      </c>
      <c r="AE29" s="59">
        <f>AE9/2</f>
        <v>52.095000000000006</v>
      </c>
      <c r="AF29" s="59">
        <f t="shared" si="46"/>
        <v>62.51400000000001</v>
      </c>
      <c r="AG29" s="59">
        <f t="shared" si="37"/>
        <v>67.044000000000011</v>
      </c>
      <c r="AH29" s="59">
        <f t="shared" si="37"/>
        <v>54.813000000000017</v>
      </c>
      <c r="AI29" s="59">
        <f t="shared" si="37"/>
        <v>63.118000000000023</v>
      </c>
      <c r="AL29" s="71">
        <v>11</v>
      </c>
      <c r="AM29">
        <f>SUM(AA22:AA29)</f>
        <v>828.53700000000003</v>
      </c>
      <c r="AN29">
        <f t="shared" ref="AN29:AU29" si="52">SUM(AB22:AB29)</f>
        <v>567.15599999999995</v>
      </c>
      <c r="AO29">
        <f t="shared" si="52"/>
        <v>974.85599999999999</v>
      </c>
      <c r="AP29">
        <f t="shared" si="52"/>
        <v>618.34500000000003</v>
      </c>
      <c r="AQ29">
        <f>SUM(AC22:AC28,AE29)</f>
        <v>983.91600000000005</v>
      </c>
      <c r="AR29">
        <f t="shared" si="52"/>
        <v>623.17699999999991</v>
      </c>
      <c r="AS29">
        <f t="shared" si="52"/>
        <v>633.14299999999992</v>
      </c>
      <c r="AT29">
        <f t="shared" si="52"/>
        <v>636.76700000000017</v>
      </c>
      <c r="AU29">
        <f t="shared" si="52"/>
        <v>567.60899999999981</v>
      </c>
      <c r="AX29" s="24">
        <v>11</v>
      </c>
      <c r="AY29" s="81">
        <f t="shared" si="40"/>
        <v>697.84649999999999</v>
      </c>
      <c r="AZ29">
        <f>AVERAGE(AO29:AQ29)</f>
        <v>859.0390000000001</v>
      </c>
      <c r="BA29" s="81">
        <f t="shared" si="42"/>
        <v>628.15999999999985</v>
      </c>
      <c r="BB29" s="81">
        <f t="shared" si="43"/>
        <v>602.18799999999999</v>
      </c>
      <c r="BE29">
        <v>11</v>
      </c>
      <c r="BF29" s="59">
        <f t="shared" si="31"/>
        <v>130.69050000000004</v>
      </c>
      <c r="BG29" s="81">
        <f t="shared" ref="BG29:BG38" si="53">STDEV(AO29:AQ29)/SQRT(COUNT(AO29:AQ29))</f>
        <v>120.3754157168313</v>
      </c>
      <c r="BH29" s="59">
        <f t="shared" si="44"/>
        <v>4.9830000000000041</v>
      </c>
      <c r="BI29" s="59">
        <f t="shared" si="45"/>
        <v>34.579000000000178</v>
      </c>
    </row>
    <row r="30" spans="1:63">
      <c r="A30" s="70" t="s">
        <v>99</v>
      </c>
      <c r="B30" s="70"/>
      <c r="C30" s="70"/>
      <c r="D30" s="70">
        <v>2.6339727599199017</v>
      </c>
      <c r="E30" s="70"/>
      <c r="F30" s="70"/>
      <c r="G30" s="70">
        <v>8.8388347648328494E-2</v>
      </c>
      <c r="H30" s="70"/>
      <c r="I30" s="70"/>
      <c r="J30" s="70">
        <v>0.18856180831641514</v>
      </c>
      <c r="K30" s="70"/>
      <c r="L30" s="70"/>
      <c r="M30" s="70">
        <v>0.30641293851417328</v>
      </c>
      <c r="N30" s="70"/>
      <c r="Z30">
        <v>12</v>
      </c>
      <c r="AA30" s="59">
        <f t="shared" si="33"/>
        <v>91.505999999999986</v>
      </c>
      <c r="AB30" s="59">
        <f t="shared" si="34"/>
        <v>99.660000000000011</v>
      </c>
      <c r="AC30" s="59">
        <f t="shared" si="34"/>
        <v>96.036000000000016</v>
      </c>
      <c r="AD30" s="59">
        <f t="shared" si="36"/>
        <v>79.501499999999993</v>
      </c>
      <c r="AE30" s="59">
        <f t="shared" si="36"/>
        <v>73.838999999999984</v>
      </c>
      <c r="AF30" s="59">
        <f t="shared" si="46"/>
        <v>96.186999999999998</v>
      </c>
      <c r="AG30" s="59">
        <f>AG10/2</f>
        <v>107.13449999999997</v>
      </c>
      <c r="AH30" s="59">
        <f t="shared" ref="AH30:AI34" si="54">AH10/3</f>
        <v>86.070000000000007</v>
      </c>
      <c r="AI30" s="59">
        <f t="shared" si="54"/>
        <v>104.79399999999997</v>
      </c>
      <c r="AL30">
        <v>12</v>
      </c>
      <c r="AM30">
        <f>SUM(AA22:AA30)</f>
        <v>920.04300000000001</v>
      </c>
      <c r="AN30">
        <f t="shared" ref="AN30:AU30" si="55">SUM(AB22:AB30)</f>
        <v>666.81599999999992</v>
      </c>
      <c r="AO30">
        <f t="shared" si="55"/>
        <v>1070.8920000000001</v>
      </c>
      <c r="AP30">
        <f t="shared" si="55"/>
        <v>697.84649999999999</v>
      </c>
      <c r="AQ30">
        <f>SUM(AC22:AC28,AE29:AE30)</f>
        <v>1057.7550000000001</v>
      </c>
      <c r="AR30">
        <f>SUM(AF22:AF30)</f>
        <v>719.36399999999992</v>
      </c>
      <c r="AS30">
        <f t="shared" si="55"/>
        <v>740.27749999999992</v>
      </c>
      <c r="AT30">
        <f t="shared" si="55"/>
        <v>722.83700000000022</v>
      </c>
      <c r="AU30">
        <f t="shared" si="55"/>
        <v>672.40299999999979</v>
      </c>
      <c r="AX30" s="24">
        <v>12</v>
      </c>
      <c r="AY30" s="81">
        <f t="shared" si="40"/>
        <v>793.42949999999996</v>
      </c>
      <c r="AZ30">
        <f t="shared" ref="AZ30:AZ38" si="56">AVERAGE(AO30:AQ30)</f>
        <v>942.16449999999998</v>
      </c>
      <c r="BA30" s="81">
        <f t="shared" si="42"/>
        <v>729.82074999999986</v>
      </c>
      <c r="BB30" s="81">
        <f t="shared" si="43"/>
        <v>697.62</v>
      </c>
      <c r="BE30">
        <v>12</v>
      </c>
      <c r="BF30" s="59">
        <f t="shared" si="31"/>
        <v>126.61349999999977</v>
      </c>
      <c r="BG30" s="81">
        <f t="shared" si="53"/>
        <v>122.21785062645347</v>
      </c>
      <c r="BH30" s="59">
        <f t="shared" si="44"/>
        <v>10.456749999999998</v>
      </c>
      <c r="BI30" s="59">
        <f t="shared" si="45"/>
        <v>25.217000000000212</v>
      </c>
    </row>
    <row r="31" spans="1:63">
      <c r="A31" s="70" t="s">
        <v>41</v>
      </c>
      <c r="B31" s="70"/>
      <c r="C31" s="70"/>
      <c r="D31" s="70">
        <v>1.8625000000000085</v>
      </c>
      <c r="E31" s="70"/>
      <c r="F31" s="70"/>
      <c r="G31" s="70">
        <v>6.2500000000007105E-2</v>
      </c>
      <c r="H31" s="70"/>
      <c r="I31" s="70"/>
      <c r="J31" s="70">
        <v>0.13333333333333508</v>
      </c>
      <c r="K31" s="70"/>
      <c r="L31" s="70"/>
      <c r="M31" s="70">
        <v>0.21666666666666856</v>
      </c>
      <c r="N31" s="70"/>
      <c r="Z31">
        <v>13</v>
      </c>
      <c r="AA31" s="59">
        <f t="shared" si="33"/>
        <v>98.754000000000019</v>
      </c>
      <c r="AB31" s="59">
        <f t="shared" si="34"/>
        <v>88.561500000000052</v>
      </c>
      <c r="AC31" s="59">
        <f t="shared" si="34"/>
        <v>123.44250000000001</v>
      </c>
      <c r="AD31" s="59">
        <f t="shared" si="36"/>
        <v>87.655500000000046</v>
      </c>
      <c r="AE31" s="59">
        <f t="shared" si="36"/>
        <v>119.139</v>
      </c>
      <c r="AF31" s="59">
        <f t="shared" si="46"/>
        <v>90.600000000000009</v>
      </c>
      <c r="AG31" s="59">
        <f t="shared" ref="AG31:AG38" si="57">AG11/2</f>
        <v>111.89100000000002</v>
      </c>
      <c r="AH31" s="59">
        <f t="shared" si="54"/>
        <v>80.482999999999976</v>
      </c>
      <c r="AI31" s="59">
        <f t="shared" si="54"/>
        <v>94.677000000000035</v>
      </c>
      <c r="AL31">
        <v>13</v>
      </c>
      <c r="AM31">
        <f>SUM(AA22:AA31)</f>
        <v>1018.797</v>
      </c>
      <c r="AN31">
        <f t="shared" ref="AN31:AU31" si="58">SUM(AB22:AB31)</f>
        <v>755.37749999999994</v>
      </c>
      <c r="AO31">
        <f t="shared" si="58"/>
        <v>1194.3345000000002</v>
      </c>
      <c r="AP31">
        <f t="shared" si="58"/>
        <v>785.50200000000007</v>
      </c>
      <c r="AQ31">
        <f>SUM(AC22:AC28,AE29:AE31)</f>
        <v>1176.894</v>
      </c>
      <c r="AR31">
        <f t="shared" si="58"/>
        <v>809.96399999999994</v>
      </c>
      <c r="AS31">
        <f t="shared" si="58"/>
        <v>852.16849999999999</v>
      </c>
      <c r="AT31">
        <f t="shared" si="58"/>
        <v>803.32000000000016</v>
      </c>
      <c r="AU31">
        <f t="shared" si="58"/>
        <v>767.07999999999981</v>
      </c>
      <c r="AX31" s="24">
        <v>13</v>
      </c>
      <c r="AY31" s="81">
        <f t="shared" si="40"/>
        <v>887.08725000000004</v>
      </c>
      <c r="AZ31">
        <f t="shared" si="56"/>
        <v>1052.2435000000003</v>
      </c>
      <c r="BA31" s="81">
        <f t="shared" si="42"/>
        <v>831.06624999999997</v>
      </c>
      <c r="BB31" s="81">
        <f t="shared" si="43"/>
        <v>785.2</v>
      </c>
      <c r="BE31">
        <v>13</v>
      </c>
      <c r="BF31" s="59">
        <f t="shared" si="31"/>
        <v>131.70974999999956</v>
      </c>
      <c r="BG31" s="81">
        <f t="shared" si="53"/>
        <v>133.46574295395044</v>
      </c>
      <c r="BH31" s="59">
        <f t="shared" si="44"/>
        <v>21.102250000000026</v>
      </c>
      <c r="BI31" s="59">
        <f t="shared" si="45"/>
        <v>18.120000000000175</v>
      </c>
    </row>
    <row r="32" spans="1:63">
      <c r="Z32">
        <v>14</v>
      </c>
      <c r="AA32" s="59">
        <f t="shared" si="33"/>
        <v>83.578500000000005</v>
      </c>
      <c r="AB32" s="59">
        <f t="shared" si="34"/>
        <v>75.424499999999966</v>
      </c>
      <c r="AC32" s="59">
        <f t="shared" si="34"/>
        <v>100.33950000000003</v>
      </c>
      <c r="AD32" s="59">
        <f t="shared" si="36"/>
        <v>67.043999999999997</v>
      </c>
      <c r="AE32" s="59">
        <f t="shared" si="36"/>
        <v>79.275000000000006</v>
      </c>
      <c r="AF32" s="59">
        <f t="shared" si="46"/>
        <v>86.674000000000021</v>
      </c>
      <c r="AG32" s="59">
        <f t="shared" si="57"/>
        <v>78.822000000000031</v>
      </c>
      <c r="AH32" s="59">
        <f t="shared" si="54"/>
        <v>71.423000000000016</v>
      </c>
      <c r="AI32" s="59">
        <f t="shared" si="54"/>
        <v>73.989999999999995</v>
      </c>
      <c r="AL32">
        <v>14</v>
      </c>
      <c r="AM32">
        <f>SUM(AA22:AA32)</f>
        <v>1102.3755000000001</v>
      </c>
      <c r="AN32">
        <f t="shared" ref="AN32:AU32" si="59">SUM(AB22:AB32)</f>
        <v>830.80199999999991</v>
      </c>
      <c r="AO32">
        <f t="shared" si="59"/>
        <v>1294.6740000000002</v>
      </c>
      <c r="AP32">
        <f t="shared" si="59"/>
        <v>852.54600000000005</v>
      </c>
      <c r="AQ32">
        <f>SUM(AC22:AC28,AE29:AE32)</f>
        <v>1256.1690000000001</v>
      </c>
      <c r="AR32">
        <f t="shared" si="59"/>
        <v>896.63799999999992</v>
      </c>
      <c r="AS32">
        <f t="shared" si="59"/>
        <v>930.9905</v>
      </c>
      <c r="AT32">
        <f t="shared" si="59"/>
        <v>874.74300000000017</v>
      </c>
      <c r="AU32">
        <f t="shared" si="59"/>
        <v>841.06999999999982</v>
      </c>
      <c r="AX32" s="24">
        <v>14</v>
      </c>
      <c r="AY32" s="81">
        <f t="shared" si="40"/>
        <v>966.58875</v>
      </c>
      <c r="AZ32">
        <f t="shared" si="56"/>
        <v>1134.463</v>
      </c>
      <c r="BA32" s="81">
        <f t="shared" si="42"/>
        <v>913.8142499999999</v>
      </c>
      <c r="BB32" s="81">
        <f t="shared" si="43"/>
        <v>857.90650000000005</v>
      </c>
      <c r="BE32">
        <v>14</v>
      </c>
      <c r="BF32" s="59">
        <f t="shared" si="31"/>
        <v>135.78674999999998</v>
      </c>
      <c r="BG32" s="81">
        <f t="shared" si="53"/>
        <v>141.39608071300992</v>
      </c>
      <c r="BH32" s="59">
        <f t="shared" si="44"/>
        <v>17.176250000000039</v>
      </c>
      <c r="BI32" s="59">
        <f t="shared" si="45"/>
        <v>16.836500000000171</v>
      </c>
    </row>
    <row r="33" spans="1:61">
      <c r="A33" s="62" t="s">
        <v>52</v>
      </c>
      <c r="B33" s="63" t="s">
        <v>90</v>
      </c>
      <c r="C33" s="63" t="s">
        <v>87</v>
      </c>
      <c r="D33" s="64" t="s">
        <v>89</v>
      </c>
      <c r="E33" s="65" t="s">
        <v>91</v>
      </c>
      <c r="F33" s="63" t="s">
        <v>86</v>
      </c>
      <c r="G33" s="64" t="s">
        <v>88</v>
      </c>
      <c r="H33" s="65" t="s">
        <v>93</v>
      </c>
      <c r="I33" s="63" t="s">
        <v>94</v>
      </c>
      <c r="J33" s="64" t="s">
        <v>92</v>
      </c>
      <c r="K33" s="65" t="s">
        <v>95</v>
      </c>
      <c r="L33" s="63" t="s">
        <v>96</v>
      </c>
      <c r="M33" s="64" t="s">
        <v>97</v>
      </c>
      <c r="N33" s="66" t="s">
        <v>104</v>
      </c>
      <c r="Z33">
        <v>16</v>
      </c>
      <c r="AA33" s="59">
        <f t="shared" si="33"/>
        <v>96.828749999999999</v>
      </c>
      <c r="AB33" s="59">
        <f t="shared" si="34"/>
        <v>89.694000000000031</v>
      </c>
      <c r="AC33" s="59">
        <f t="shared" si="34"/>
        <v>115.74149999999999</v>
      </c>
      <c r="AD33" s="59">
        <f t="shared" si="36"/>
        <v>86.749500000000026</v>
      </c>
      <c r="AE33" s="59">
        <f t="shared" si="36"/>
        <v>101.47199999999997</v>
      </c>
      <c r="AF33" s="59">
        <f t="shared" si="46"/>
        <v>88.334999999999994</v>
      </c>
      <c r="AG33" s="59">
        <f t="shared" si="57"/>
        <v>96.941999999999965</v>
      </c>
      <c r="AH33" s="59">
        <f t="shared" si="54"/>
        <v>79.275000000000006</v>
      </c>
      <c r="AI33" s="59">
        <f t="shared" si="54"/>
        <v>76.405999999999992</v>
      </c>
      <c r="AL33">
        <v>16</v>
      </c>
      <c r="AM33">
        <f>SUM(AA22:AA33)</f>
        <v>1199.20425</v>
      </c>
      <c r="AN33">
        <f t="shared" ref="AN33:AU33" si="60">SUM(AB22:AB33)</f>
        <v>920.49599999999998</v>
      </c>
      <c r="AO33">
        <f t="shared" si="60"/>
        <v>1410.4155000000003</v>
      </c>
      <c r="AP33">
        <f t="shared" si="60"/>
        <v>939.29550000000006</v>
      </c>
      <c r="AQ33">
        <f>SUM(AC22:AC28,AE29:AE33)</f>
        <v>1357.6410000000001</v>
      </c>
      <c r="AR33">
        <f t="shared" si="60"/>
        <v>984.97299999999996</v>
      </c>
      <c r="AS33">
        <f t="shared" si="60"/>
        <v>1027.9324999999999</v>
      </c>
      <c r="AT33">
        <f t="shared" si="60"/>
        <v>954.01800000000014</v>
      </c>
      <c r="AU33">
        <f t="shared" si="60"/>
        <v>917.47599999999977</v>
      </c>
      <c r="AX33" s="24">
        <v>16</v>
      </c>
      <c r="AY33" s="81">
        <f t="shared" si="40"/>
        <v>1059.8501249999999</v>
      </c>
      <c r="AZ33">
        <f t="shared" si="56"/>
        <v>1235.7840000000001</v>
      </c>
      <c r="BA33" s="81">
        <f t="shared" si="42"/>
        <v>1006.4527499999999</v>
      </c>
      <c r="BB33" s="81">
        <f t="shared" si="43"/>
        <v>935.74699999999996</v>
      </c>
      <c r="BE33">
        <v>16</v>
      </c>
      <c r="BF33" s="59">
        <f t="shared" si="31"/>
        <v>139.3541250000001</v>
      </c>
      <c r="BG33" s="81">
        <f t="shared" si="53"/>
        <v>149.02500901610443</v>
      </c>
      <c r="BH33" s="59">
        <f t="shared" si="44"/>
        <v>21.479749999999964</v>
      </c>
      <c r="BI33" s="59">
        <f t="shared" si="45"/>
        <v>18.271000000000182</v>
      </c>
    </row>
    <row r="34" spans="1:61">
      <c r="A34" s="67">
        <v>1</v>
      </c>
      <c r="B34" s="68">
        <v>312.89999999999998</v>
      </c>
      <c r="C34" s="68">
        <v>250.7</v>
      </c>
      <c r="D34" s="67">
        <v>15.549999999999997</v>
      </c>
      <c r="E34" s="68">
        <v>392.3</v>
      </c>
      <c r="F34" s="68">
        <v>268.89999999999998</v>
      </c>
      <c r="G34" s="67">
        <v>30.850000000000009</v>
      </c>
      <c r="H34" s="68">
        <v>390.4</v>
      </c>
      <c r="I34" s="68">
        <v>349.9</v>
      </c>
      <c r="J34" s="67">
        <v>13.5</v>
      </c>
      <c r="K34" s="68">
        <v>371.7</v>
      </c>
      <c r="L34" s="68">
        <v>324.2</v>
      </c>
      <c r="M34" s="67">
        <v>15.833333333333334</v>
      </c>
      <c r="N34" s="70" t="s">
        <v>60</v>
      </c>
      <c r="Z34">
        <v>17</v>
      </c>
      <c r="AA34" s="59">
        <f t="shared" si="33"/>
        <v>90.939750000000018</v>
      </c>
      <c r="AB34" s="59">
        <f t="shared" si="34"/>
        <v>93.544499999999999</v>
      </c>
      <c r="AC34" s="59">
        <f t="shared" si="34"/>
        <v>74.745000000000005</v>
      </c>
      <c r="AD34" s="59">
        <f t="shared" si="36"/>
        <v>76.783499999999947</v>
      </c>
      <c r="AE34" s="59">
        <f t="shared" si="36"/>
        <v>79.275000000000034</v>
      </c>
      <c r="AF34" s="59">
        <f t="shared" si="46"/>
        <v>84.106999999999999</v>
      </c>
      <c r="AG34" s="59">
        <f t="shared" si="57"/>
        <v>98.301000000000002</v>
      </c>
      <c r="AH34" s="59">
        <f t="shared" si="54"/>
        <v>64.779000000000011</v>
      </c>
      <c r="AI34" s="59">
        <f t="shared" si="54"/>
        <v>63.571000000000005</v>
      </c>
      <c r="AL34">
        <v>17</v>
      </c>
      <c r="AM34">
        <f>SUM(AA22:AA34)</f>
        <v>1290.144</v>
      </c>
      <c r="AN34">
        <f t="shared" ref="AN34:AU34" si="61">SUM(AB22:AB34)</f>
        <v>1014.0405</v>
      </c>
      <c r="AO34">
        <f t="shared" si="61"/>
        <v>1485.1605000000004</v>
      </c>
      <c r="AP34">
        <f t="shared" si="61"/>
        <v>1016.079</v>
      </c>
      <c r="AQ34">
        <f>SUM(AC22:AC28,AE29:AE34)</f>
        <v>1436.9160000000002</v>
      </c>
      <c r="AR34">
        <f t="shared" si="61"/>
        <v>1069.08</v>
      </c>
      <c r="AS34">
        <f t="shared" si="61"/>
        <v>1126.2334999999998</v>
      </c>
      <c r="AT34">
        <f t="shared" si="61"/>
        <v>1018.7970000000001</v>
      </c>
      <c r="AU34">
        <f t="shared" si="61"/>
        <v>981.0469999999998</v>
      </c>
      <c r="AX34" s="24">
        <v>17</v>
      </c>
      <c r="AY34" s="81">
        <f t="shared" si="40"/>
        <v>1152.0922499999999</v>
      </c>
      <c r="AZ34">
        <f t="shared" si="56"/>
        <v>1312.7185000000002</v>
      </c>
      <c r="BA34" s="81">
        <f t="shared" si="42"/>
        <v>1097.6567499999999</v>
      </c>
      <c r="BB34" s="81">
        <f t="shared" si="43"/>
        <v>999.92200000000003</v>
      </c>
      <c r="BE34">
        <v>17</v>
      </c>
      <c r="BF34" s="59">
        <f t="shared" si="31"/>
        <v>138.05175000000116</v>
      </c>
      <c r="BG34" s="81">
        <f t="shared" si="53"/>
        <v>148.97217599857325</v>
      </c>
      <c r="BH34" s="59">
        <f t="shared" si="44"/>
        <v>28.576749999999944</v>
      </c>
      <c r="BI34" s="59">
        <f t="shared" si="45"/>
        <v>18.875000000000171</v>
      </c>
    </row>
    <row r="35" spans="1:61">
      <c r="A35" s="67">
        <v>2</v>
      </c>
      <c r="B35" s="68">
        <v>321.3</v>
      </c>
      <c r="C35" s="68">
        <v>296.10000000000002</v>
      </c>
      <c r="D35" s="67">
        <v>12.599999999999994</v>
      </c>
      <c r="E35" s="68">
        <v>379.9</v>
      </c>
      <c r="F35" s="68">
        <v>343.9</v>
      </c>
      <c r="G35" s="67">
        <v>18</v>
      </c>
      <c r="H35" s="68">
        <v>358.2</v>
      </c>
      <c r="I35" s="68">
        <v>308.89999999999998</v>
      </c>
      <c r="J35" s="67">
        <v>16.433333333333337</v>
      </c>
      <c r="K35" s="68">
        <v>349.4</v>
      </c>
      <c r="L35" s="68">
        <v>315.10000000000002</v>
      </c>
      <c r="M35" s="67">
        <v>11.433333333333318</v>
      </c>
      <c r="N35" s="70"/>
      <c r="Z35">
        <v>18</v>
      </c>
      <c r="AA35" s="59">
        <f>AA15/3</f>
        <v>96.48899999999999</v>
      </c>
      <c r="AB35" s="59">
        <f t="shared" si="34"/>
        <v>122.08350000000002</v>
      </c>
      <c r="AC35" s="59">
        <f t="shared" si="34"/>
        <v>97.168500000000023</v>
      </c>
      <c r="AD35" s="59">
        <f t="shared" si="36"/>
        <v>84.484500000000025</v>
      </c>
      <c r="AE35" s="59">
        <f>AE15/1</f>
        <v>151.30199999999991</v>
      </c>
      <c r="AF35" s="59">
        <f>AF15/2</f>
        <v>100.7925</v>
      </c>
      <c r="AG35" s="59">
        <f t="shared" si="57"/>
        <v>96.942000000000036</v>
      </c>
      <c r="AH35" s="59">
        <f>AH15/2</f>
        <v>84.711000000000013</v>
      </c>
      <c r="AI35" s="59">
        <f t="shared" ref="AI35:AI38" si="62">AI15/3</f>
        <v>72.48</v>
      </c>
      <c r="AL35">
        <v>18</v>
      </c>
      <c r="AM35">
        <f>SUM(AA22:AA34)</f>
        <v>1290.144</v>
      </c>
      <c r="AN35">
        <f t="shared" ref="AN35:AU35" si="63">SUM(AB22:AB34)</f>
        <v>1014.0405</v>
      </c>
      <c r="AO35">
        <f t="shared" si="63"/>
        <v>1485.1605000000004</v>
      </c>
      <c r="AP35">
        <f t="shared" si="63"/>
        <v>1016.079</v>
      </c>
      <c r="AQ35">
        <f>SUM(AC22:AC28,AE29:AE35)</f>
        <v>1588.2180000000001</v>
      </c>
      <c r="AR35">
        <f t="shared" si="63"/>
        <v>1069.08</v>
      </c>
      <c r="AS35">
        <f t="shared" si="63"/>
        <v>1126.2334999999998</v>
      </c>
      <c r="AT35">
        <f t="shared" si="63"/>
        <v>1018.7970000000001</v>
      </c>
      <c r="AU35">
        <f t="shared" si="63"/>
        <v>981.0469999999998</v>
      </c>
      <c r="AX35" s="24">
        <v>18</v>
      </c>
      <c r="AY35" s="81">
        <f t="shared" si="40"/>
        <v>1152.0922499999999</v>
      </c>
      <c r="AZ35">
        <f t="shared" si="56"/>
        <v>1363.1525000000001</v>
      </c>
      <c r="BA35" s="81">
        <f t="shared" si="42"/>
        <v>1097.6567499999999</v>
      </c>
      <c r="BB35" s="81">
        <f t="shared" si="43"/>
        <v>999.92200000000003</v>
      </c>
      <c r="BE35">
        <v>18</v>
      </c>
      <c r="BF35" s="59">
        <f t="shared" si="31"/>
        <v>138.05175000000116</v>
      </c>
      <c r="BG35" s="81">
        <f t="shared" si="53"/>
        <v>176.06837959369633</v>
      </c>
      <c r="BH35" s="59">
        <f t="shared" si="44"/>
        <v>28.576749999999944</v>
      </c>
      <c r="BI35" s="59">
        <f t="shared" si="45"/>
        <v>18.875000000000171</v>
      </c>
    </row>
    <row r="36" spans="1:61">
      <c r="A36" s="70" t="s">
        <v>98</v>
      </c>
      <c r="B36" s="70"/>
      <c r="C36" s="70"/>
      <c r="D36" s="70">
        <v>14.074999999999996</v>
      </c>
      <c r="E36" s="70"/>
      <c r="F36" s="70"/>
      <c r="G36" s="70">
        <v>24.425000000000004</v>
      </c>
      <c r="H36" s="70"/>
      <c r="I36" s="70"/>
      <c r="J36" s="70">
        <v>14.966666666666669</v>
      </c>
      <c r="K36" s="70"/>
      <c r="L36" s="70"/>
      <c r="M36" s="70">
        <v>13.633333333333326</v>
      </c>
      <c r="N36" s="70"/>
      <c r="Z36">
        <v>19</v>
      </c>
      <c r="AA36" s="59">
        <f t="shared" ref="AA36:AA39" si="64">AA16/3</f>
        <v>141.48700000000005</v>
      </c>
      <c r="AB36" s="59">
        <f t="shared" si="34"/>
        <v>164.66550000000001</v>
      </c>
      <c r="AC36" s="59">
        <f t="shared" si="34"/>
        <v>144.28050000000002</v>
      </c>
      <c r="AD36" s="59">
        <f t="shared" si="36"/>
        <v>117.10049999999998</v>
      </c>
      <c r="AE36" s="59">
        <f t="shared" ref="AE36:AE38" si="65">AE16/1</f>
        <v>147.22500000000008</v>
      </c>
      <c r="AF36" s="59">
        <f t="shared" ref="AF36:AF39" si="66">AF16/2</f>
        <v>144.96</v>
      </c>
      <c r="AG36" s="59">
        <f t="shared" si="57"/>
        <v>141.33600000000001</v>
      </c>
      <c r="AH36" s="59">
        <f>AH16/1</f>
        <v>139.07099999999997</v>
      </c>
      <c r="AI36" s="59">
        <f t="shared" si="62"/>
        <v>93.167000000000016</v>
      </c>
      <c r="AL36">
        <v>19</v>
      </c>
      <c r="AM36">
        <f>SUM(AA22:AA36)</f>
        <v>1528.1200000000001</v>
      </c>
      <c r="AN36">
        <f t="shared" ref="AN36:AU36" si="67">SUM(AB22:AB36)</f>
        <v>1300.7895000000001</v>
      </c>
      <c r="AO36">
        <f t="shared" si="67"/>
        <v>1726.6095000000005</v>
      </c>
      <c r="AP36">
        <f t="shared" si="67"/>
        <v>1217.664</v>
      </c>
      <c r="AQ36">
        <f>SUM(AC22:AC28,AE29:AE36)</f>
        <v>1735.4430000000002</v>
      </c>
      <c r="AR36">
        <f t="shared" si="67"/>
        <v>1314.8325</v>
      </c>
      <c r="AS36">
        <f t="shared" si="67"/>
        <v>1364.5114999999998</v>
      </c>
      <c r="AT36">
        <f t="shared" si="67"/>
        <v>1242.5790000000002</v>
      </c>
      <c r="AU36">
        <f t="shared" si="67"/>
        <v>1146.6939999999997</v>
      </c>
      <c r="AX36" s="24">
        <v>19</v>
      </c>
      <c r="AY36" s="81">
        <f t="shared" si="40"/>
        <v>1414.4547500000001</v>
      </c>
      <c r="AZ36">
        <f t="shared" si="56"/>
        <v>1559.9055000000001</v>
      </c>
      <c r="BA36" s="81">
        <f t="shared" si="42"/>
        <v>1339.672</v>
      </c>
      <c r="BB36" s="81">
        <f t="shared" si="43"/>
        <v>1194.6365000000001</v>
      </c>
      <c r="BE36">
        <v>19</v>
      </c>
      <c r="BF36" s="59">
        <f t="shared" si="31"/>
        <v>113.66525</v>
      </c>
      <c r="BG36" s="81">
        <f t="shared" si="53"/>
        <v>171.13974886258987</v>
      </c>
      <c r="BH36" s="59">
        <f t="shared" si="44"/>
        <v>24.83949999999993</v>
      </c>
      <c r="BI36" s="59">
        <f t="shared" si="45"/>
        <v>47.942500000000223</v>
      </c>
    </row>
    <row r="37" spans="1:61">
      <c r="A37" s="70" t="s">
        <v>99</v>
      </c>
      <c r="B37" s="70"/>
      <c r="C37" s="70"/>
      <c r="D37" s="70">
        <v>2.0859650045003137</v>
      </c>
      <c r="E37" s="70"/>
      <c r="F37" s="70"/>
      <c r="G37" s="70">
        <v>9.0863221382471462</v>
      </c>
      <c r="H37" s="70"/>
      <c r="I37" s="70"/>
      <c r="J37" s="70">
        <v>2.0741798914805418</v>
      </c>
      <c r="K37" s="70"/>
      <c r="L37" s="70"/>
      <c r="M37" s="70">
        <v>3.1112698372208194</v>
      </c>
      <c r="N37" s="70"/>
      <c r="Z37">
        <v>20</v>
      </c>
      <c r="AA37" s="59">
        <f t="shared" si="64"/>
        <v>76.708000000000013</v>
      </c>
      <c r="AB37" s="59">
        <f t="shared" si="34"/>
        <v>74.518500000000017</v>
      </c>
      <c r="AC37" s="59">
        <f t="shared" si="34"/>
        <v>74.292000000000002</v>
      </c>
      <c r="AD37" s="59">
        <f t="shared" si="36"/>
        <v>74.518500000000017</v>
      </c>
      <c r="AE37" s="59">
        <f t="shared" si="65"/>
        <v>96.941999999999965</v>
      </c>
      <c r="AF37" s="59">
        <f t="shared" si="66"/>
        <v>78.822000000000003</v>
      </c>
      <c r="AG37" s="59">
        <f t="shared" si="57"/>
        <v>74.065499999999972</v>
      </c>
      <c r="AH37" s="59">
        <f t="shared" ref="AH37:AH38" si="68">AH17/1</f>
        <v>69.762000000000029</v>
      </c>
      <c r="AI37" s="59">
        <f t="shared" si="62"/>
        <v>63.873000000000019</v>
      </c>
      <c r="AL37">
        <v>20</v>
      </c>
      <c r="AM37">
        <f>SUM(AA22:AA37)</f>
        <v>1604.8280000000002</v>
      </c>
      <c r="AN37">
        <f t="shared" ref="AN37:AU37" si="69">SUM(AB22:AB37)</f>
        <v>1375.308</v>
      </c>
      <c r="AO37">
        <f t="shared" si="69"/>
        <v>1800.9015000000004</v>
      </c>
      <c r="AP37">
        <f t="shared" si="69"/>
        <v>1292.1824999999999</v>
      </c>
      <c r="AQ37">
        <f>SUM(AC22:AC28,AE29:AE37)</f>
        <v>1832.3850000000002</v>
      </c>
      <c r="AR37">
        <f t="shared" si="69"/>
        <v>1393.6545000000001</v>
      </c>
      <c r="AS37">
        <f t="shared" si="69"/>
        <v>1438.5769999999998</v>
      </c>
      <c r="AT37">
        <f t="shared" si="69"/>
        <v>1312.3410000000001</v>
      </c>
      <c r="AU37">
        <f t="shared" si="69"/>
        <v>1210.5669999999998</v>
      </c>
      <c r="AX37" s="24">
        <v>20</v>
      </c>
      <c r="AY37" s="81">
        <f t="shared" si="40"/>
        <v>1490.0680000000002</v>
      </c>
      <c r="AZ37">
        <f t="shared" si="56"/>
        <v>1641.8230000000003</v>
      </c>
      <c r="BA37" s="81">
        <f t="shared" si="42"/>
        <v>1416.1157499999999</v>
      </c>
      <c r="BB37" s="81">
        <f t="shared" si="43"/>
        <v>1261.454</v>
      </c>
      <c r="BE37">
        <v>20</v>
      </c>
      <c r="BF37" s="59">
        <f t="shared" si="31"/>
        <v>114.76000000000009</v>
      </c>
      <c r="BG37" s="81">
        <f t="shared" si="53"/>
        <v>175.05633581150371</v>
      </c>
      <c r="BH37" s="59">
        <f t="shared" si="44"/>
        <v>22.461249999999833</v>
      </c>
      <c r="BI37" s="59">
        <f t="shared" si="45"/>
        <v>50.887000000000171</v>
      </c>
    </row>
    <row r="38" spans="1:61">
      <c r="A38" s="70" t="s">
        <v>41</v>
      </c>
      <c r="B38" s="70"/>
      <c r="C38" s="70"/>
      <c r="D38" s="70">
        <v>1.474999999999999</v>
      </c>
      <c r="E38" s="70"/>
      <c r="F38" s="70"/>
      <c r="G38" s="70">
        <v>6.4250000000000069</v>
      </c>
      <c r="H38" s="70"/>
      <c r="I38" s="70"/>
      <c r="J38" s="70">
        <v>1.4666666666666683</v>
      </c>
      <c r="K38" s="70"/>
      <c r="L38" s="70"/>
      <c r="M38" s="70">
        <v>2.2000000000000073</v>
      </c>
      <c r="N38" s="70"/>
      <c r="Z38">
        <v>21</v>
      </c>
      <c r="AA38" s="59">
        <f t="shared" si="64"/>
        <v>79.426000000000002</v>
      </c>
      <c r="AB38" s="59">
        <f t="shared" si="34"/>
        <v>79.274999999999977</v>
      </c>
      <c r="AC38" s="59">
        <f t="shared" si="34"/>
        <v>80.181000000000012</v>
      </c>
      <c r="AD38" s="59">
        <f t="shared" si="36"/>
        <v>76.557000000000002</v>
      </c>
      <c r="AE38" s="59">
        <f t="shared" si="65"/>
        <v>100.11300000000004</v>
      </c>
      <c r="AF38" s="59">
        <f t="shared" si="66"/>
        <v>84.711000000000013</v>
      </c>
      <c r="AG38" s="59">
        <f t="shared" si="57"/>
        <v>77.236499999999992</v>
      </c>
      <c r="AH38" s="59">
        <f t="shared" si="68"/>
        <v>68.855999999999952</v>
      </c>
      <c r="AI38" s="59">
        <f t="shared" si="62"/>
        <v>62.211999999999989</v>
      </c>
      <c r="AL38">
        <v>21</v>
      </c>
      <c r="AM38">
        <f>SUM(AA22:AA38)</f>
        <v>1684.2540000000001</v>
      </c>
      <c r="AN38">
        <f t="shared" ref="AN38:AU38" si="70">SUM(AB22:AB38)</f>
        <v>1454.5830000000001</v>
      </c>
      <c r="AO38">
        <f t="shared" si="70"/>
        <v>1881.0825000000004</v>
      </c>
      <c r="AP38">
        <f t="shared" si="70"/>
        <v>1368.7394999999999</v>
      </c>
      <c r="AQ38">
        <f>SUM(AC22:AC28,AE29:AE38)</f>
        <v>1932.4980000000003</v>
      </c>
      <c r="AR38">
        <f t="shared" si="70"/>
        <v>1478.3655000000001</v>
      </c>
      <c r="AS38">
        <f t="shared" si="70"/>
        <v>1515.8134999999997</v>
      </c>
      <c r="AT38">
        <f t="shared" si="70"/>
        <v>1381.1970000000001</v>
      </c>
      <c r="AU38">
        <f t="shared" si="70"/>
        <v>1272.7789999999998</v>
      </c>
      <c r="AX38" s="24">
        <v>21</v>
      </c>
      <c r="AY38" s="81">
        <f t="shared" si="40"/>
        <v>1569.4185000000002</v>
      </c>
      <c r="AZ38">
        <f t="shared" si="56"/>
        <v>1727.4400000000003</v>
      </c>
      <c r="BA38" s="81">
        <f t="shared" si="42"/>
        <v>1497.0895</v>
      </c>
      <c r="BB38" s="81">
        <f t="shared" si="43"/>
        <v>1326.9879999999998</v>
      </c>
      <c r="BE38">
        <v>21</v>
      </c>
      <c r="BF38" s="59">
        <f t="shared" si="31"/>
        <v>114.83550000000002</v>
      </c>
      <c r="BG38" s="81">
        <f t="shared" si="53"/>
        <v>179.96335269090255</v>
      </c>
      <c r="BH38" s="59">
        <f t="shared" si="44"/>
        <v>18.723999999999815</v>
      </c>
      <c r="BI38" s="59">
        <f t="shared" si="45"/>
        <v>54.209000000000174</v>
      </c>
    </row>
    <row r="39" spans="1:61">
      <c r="Z39" s="71">
        <v>23</v>
      </c>
      <c r="AA39" s="59">
        <f t="shared" si="64"/>
        <v>59.192000000000007</v>
      </c>
      <c r="AB39" s="59">
        <f t="shared" si="34"/>
        <v>71.573999999999998</v>
      </c>
      <c r="AC39" s="59">
        <f t="shared" si="34"/>
        <v>96.48899999999999</v>
      </c>
      <c r="AD39" s="59">
        <f t="shared" si="36"/>
        <v>104.64300000000004</v>
      </c>
      <c r="AE39" s="59">
        <f t="shared" si="36"/>
        <v>0</v>
      </c>
      <c r="AF39" s="59">
        <f t="shared" si="66"/>
        <v>94.450500000000048</v>
      </c>
      <c r="AG39" s="59">
        <f>AG19/2</f>
        <v>81.766499999999994</v>
      </c>
      <c r="AH39" s="59">
        <f>AH19/1</f>
        <v>75.198000000000036</v>
      </c>
      <c r="AI39" s="59">
        <f>AI19/2</f>
        <v>78.142499999999998</v>
      </c>
      <c r="AL39" s="71">
        <v>23</v>
      </c>
      <c r="AM39">
        <f>SUM(AA22:AA39)</f>
        <v>1743.4460000000001</v>
      </c>
      <c r="AN39">
        <f t="shared" ref="AN39:AU39" si="71">SUM(AB22:AB39)</f>
        <v>1526.1570000000002</v>
      </c>
      <c r="AO39">
        <f t="shared" si="71"/>
        <v>1977.5715000000005</v>
      </c>
      <c r="AP39">
        <f>SUM(AD22:AD39)</f>
        <v>1473.3824999999999</v>
      </c>
      <c r="AQ39" s="45" t="s">
        <v>156</v>
      </c>
      <c r="AR39">
        <f t="shared" si="71"/>
        <v>1572.8160000000003</v>
      </c>
      <c r="AS39">
        <f t="shared" si="71"/>
        <v>1597.5799999999997</v>
      </c>
      <c r="AT39">
        <f t="shared" si="71"/>
        <v>1456.3950000000002</v>
      </c>
      <c r="AU39">
        <f t="shared" si="71"/>
        <v>1350.9214999999997</v>
      </c>
      <c r="AX39" s="24">
        <v>23</v>
      </c>
      <c r="AY39" s="81">
        <f t="shared" si="40"/>
        <v>1634.8015</v>
      </c>
      <c r="AZ39">
        <f>AVERAGE(AO39:AP39)</f>
        <v>1725.4770000000003</v>
      </c>
      <c r="BA39" s="81">
        <f t="shared" si="42"/>
        <v>1585.1979999999999</v>
      </c>
      <c r="BB39" s="81">
        <f t="shared" si="43"/>
        <v>1403.65825</v>
      </c>
      <c r="BE39">
        <v>23</v>
      </c>
      <c r="BF39" s="59">
        <f t="shared" si="31"/>
        <v>108.64449999999999</v>
      </c>
      <c r="BG39" s="81">
        <f>STDEV(AO39:AP39)/SQRT(COUNT(AO39:AP39))</f>
        <v>252.09450000000018</v>
      </c>
      <c r="BH39" s="59">
        <f t="shared" si="44"/>
        <v>12.381999999999719</v>
      </c>
      <c r="BI39" s="59">
        <f t="shared" si="45"/>
        <v>52.736750000000256</v>
      </c>
    </row>
    <row r="40" spans="1:61">
      <c r="A40" s="62" t="s">
        <v>55</v>
      </c>
      <c r="B40" s="63" t="s">
        <v>90</v>
      </c>
      <c r="C40" s="63" t="s">
        <v>87</v>
      </c>
      <c r="D40" s="64" t="s">
        <v>89</v>
      </c>
      <c r="E40" s="65" t="s">
        <v>91</v>
      </c>
      <c r="F40" s="63" t="s">
        <v>86</v>
      </c>
      <c r="G40" s="64" t="s">
        <v>88</v>
      </c>
      <c r="H40" s="65" t="s">
        <v>93</v>
      </c>
      <c r="I40" s="63" t="s">
        <v>94</v>
      </c>
      <c r="J40" s="64" t="s">
        <v>92</v>
      </c>
      <c r="K40" s="65" t="s">
        <v>95</v>
      </c>
      <c r="L40" s="63" t="s">
        <v>96</v>
      </c>
      <c r="M40" s="64" t="s">
        <v>97</v>
      </c>
      <c r="N40" s="66" t="s">
        <v>105</v>
      </c>
      <c r="AF40" s="59"/>
    </row>
    <row r="41" spans="1:61">
      <c r="A41" s="67">
        <v>1</v>
      </c>
      <c r="B41" s="68">
        <v>562</v>
      </c>
      <c r="C41" s="70">
        <v>458.5</v>
      </c>
      <c r="D41" s="67">
        <v>25.875</v>
      </c>
      <c r="E41" s="70">
        <v>504.5</v>
      </c>
      <c r="F41" s="68">
        <v>448</v>
      </c>
      <c r="G41" s="67">
        <v>14.125</v>
      </c>
      <c r="H41" s="70">
        <v>515.29999999999995</v>
      </c>
      <c r="I41" s="68">
        <v>448</v>
      </c>
      <c r="J41" s="67">
        <v>22.433333333333319</v>
      </c>
      <c r="K41" s="68">
        <v>539.79999999999995</v>
      </c>
      <c r="L41" s="68">
        <v>445.3</v>
      </c>
      <c r="M41" s="67">
        <v>31.499999999999982</v>
      </c>
      <c r="N41" s="70" t="s">
        <v>58</v>
      </c>
      <c r="AF41" s="59"/>
    </row>
    <row r="42" spans="1:61">
      <c r="A42" s="67">
        <v>2</v>
      </c>
      <c r="B42" s="68">
        <v>520.6</v>
      </c>
      <c r="C42" s="70">
        <v>475.4</v>
      </c>
      <c r="D42" s="67">
        <v>22.600000000000023</v>
      </c>
      <c r="E42" s="70">
        <v>556.9</v>
      </c>
      <c r="F42" s="68">
        <v>506.7</v>
      </c>
      <c r="G42" s="67">
        <v>25.099999999999994</v>
      </c>
      <c r="H42" s="70">
        <v>562.4</v>
      </c>
      <c r="I42" s="68">
        <v>506.7</v>
      </c>
      <c r="J42" s="67">
        <v>18.566666666666663</v>
      </c>
      <c r="K42" s="68">
        <v>522.79999999999995</v>
      </c>
      <c r="L42" s="68">
        <v>458.7</v>
      </c>
      <c r="M42" s="67">
        <v>21.366666666666656</v>
      </c>
      <c r="N42" s="70"/>
      <c r="AF42" s="59"/>
    </row>
    <row r="43" spans="1:61">
      <c r="A43" s="70" t="s">
        <v>98</v>
      </c>
      <c r="B43" s="70"/>
      <c r="C43" s="70"/>
      <c r="D43" s="70">
        <v>24.237500000000011</v>
      </c>
      <c r="E43" s="70"/>
      <c r="F43" s="70"/>
      <c r="G43" s="70">
        <v>19.612499999999997</v>
      </c>
      <c r="H43" s="70"/>
      <c r="I43" s="70"/>
      <c r="J43" s="70">
        <v>20.499999999999993</v>
      </c>
      <c r="K43" s="70"/>
      <c r="L43" s="70"/>
      <c r="M43" s="70">
        <v>26.433333333333319</v>
      </c>
      <c r="N43" s="70"/>
      <c r="AF43" s="59"/>
    </row>
    <row r="44" spans="1:61">
      <c r="A44" s="70" t="s">
        <v>99</v>
      </c>
      <c r="B44" s="70"/>
      <c r="C44" s="70"/>
      <c r="D44" s="70">
        <v>2.315774708385927</v>
      </c>
      <c r="E44" s="70"/>
      <c r="F44" s="70"/>
      <c r="G44" s="70">
        <v>7.7604969235223571</v>
      </c>
      <c r="H44" s="70"/>
      <c r="I44" s="70"/>
      <c r="J44" s="70">
        <v>2.7341462205879767</v>
      </c>
      <c r="K44" s="70"/>
      <c r="L44" s="70"/>
      <c r="M44" s="70">
        <v>7.1653487160236704</v>
      </c>
      <c r="N44" s="70"/>
      <c r="AF44" s="59"/>
    </row>
    <row r="45" spans="1:61">
      <c r="A45" s="70" t="s">
        <v>41</v>
      </c>
      <c r="B45" s="70"/>
      <c r="C45" s="70"/>
      <c r="D45" s="70">
        <v>1.6374999999999884</v>
      </c>
      <c r="E45" s="70"/>
      <c r="F45" s="70"/>
      <c r="G45" s="70">
        <v>5.487499999999998</v>
      </c>
      <c r="H45" s="70"/>
      <c r="I45" s="70"/>
      <c r="J45" s="70">
        <v>1.9333333333333282</v>
      </c>
      <c r="K45" s="70"/>
      <c r="L45" s="70"/>
      <c r="M45" s="70">
        <v>5.0666666666666584</v>
      </c>
      <c r="N45" s="70"/>
    </row>
    <row r="47" spans="1:61">
      <c r="A47" s="62" t="s">
        <v>57</v>
      </c>
      <c r="B47" s="63" t="s">
        <v>90</v>
      </c>
      <c r="C47" s="63" t="s">
        <v>87</v>
      </c>
      <c r="D47" s="64" t="s">
        <v>89</v>
      </c>
      <c r="E47" s="65" t="s">
        <v>91</v>
      </c>
      <c r="F47" s="63" t="s">
        <v>86</v>
      </c>
      <c r="G47" s="64" t="s">
        <v>88</v>
      </c>
      <c r="H47" s="65" t="s">
        <v>93</v>
      </c>
      <c r="I47" s="63" t="s">
        <v>94</v>
      </c>
      <c r="J47" s="64" t="s">
        <v>92</v>
      </c>
      <c r="K47" s="65" t="s">
        <v>95</v>
      </c>
      <c r="L47" s="63" t="s">
        <v>96</v>
      </c>
      <c r="M47" s="64" t="s">
        <v>97</v>
      </c>
      <c r="N47" s="66" t="s">
        <v>106</v>
      </c>
    </row>
    <row r="48" spans="1:61">
      <c r="A48" s="67">
        <v>1</v>
      </c>
      <c r="B48" s="70">
        <v>458.5</v>
      </c>
      <c r="C48" s="70">
        <v>234.5</v>
      </c>
      <c r="D48" s="67">
        <v>56</v>
      </c>
      <c r="E48" s="68">
        <v>448</v>
      </c>
      <c r="F48" s="68">
        <v>187.5</v>
      </c>
      <c r="G48" s="67">
        <v>65.125</v>
      </c>
      <c r="H48" s="68">
        <v>448</v>
      </c>
      <c r="I48" s="68">
        <v>399.2</v>
      </c>
      <c r="J48" s="67">
        <v>16.266666666666669</v>
      </c>
      <c r="K48" s="68">
        <v>445.3</v>
      </c>
      <c r="L48" s="68">
        <v>385.2</v>
      </c>
      <c r="M48" s="67">
        <v>20.033333333333342</v>
      </c>
      <c r="N48" s="70" t="s">
        <v>60</v>
      </c>
    </row>
    <row r="49" spans="1:14">
      <c r="A49" s="67">
        <v>2</v>
      </c>
      <c r="B49" s="70">
        <v>475.4</v>
      </c>
      <c r="C49" s="70">
        <v>450.5</v>
      </c>
      <c r="D49" s="67">
        <v>12.449999999999989</v>
      </c>
      <c r="E49" s="68">
        <v>506.7</v>
      </c>
      <c r="F49" s="68">
        <v>459.8</v>
      </c>
      <c r="G49" s="67">
        <v>23.449999999999989</v>
      </c>
      <c r="H49" s="68">
        <v>506.7</v>
      </c>
      <c r="I49" s="68">
        <v>460.1</v>
      </c>
      <c r="J49" s="67">
        <v>15.533333333333323</v>
      </c>
      <c r="K49" s="68">
        <v>458.7</v>
      </c>
      <c r="L49" s="68">
        <v>422.4</v>
      </c>
      <c r="M49" s="67">
        <v>12.100000000000003</v>
      </c>
      <c r="N49" s="70" t="s">
        <v>107</v>
      </c>
    </row>
    <row r="50" spans="1:14">
      <c r="A50" s="70" t="s">
        <v>98</v>
      </c>
      <c r="B50" s="70"/>
      <c r="C50" s="70"/>
      <c r="D50" s="70">
        <v>34.224999999999994</v>
      </c>
      <c r="E50" s="70"/>
      <c r="F50" s="70"/>
      <c r="G50" s="70">
        <v>44.287499999999994</v>
      </c>
      <c r="H50" s="70"/>
      <c r="I50" s="70"/>
      <c r="J50" s="70">
        <v>15.899999999999995</v>
      </c>
      <c r="K50" s="70"/>
      <c r="L50" s="70"/>
      <c r="M50" s="70">
        <v>16.066666666666674</v>
      </c>
      <c r="N50" s="70" t="s">
        <v>108</v>
      </c>
    </row>
    <row r="51" spans="1:14">
      <c r="A51" s="70" t="s">
        <v>99</v>
      </c>
      <c r="B51" s="70"/>
      <c r="C51" s="70"/>
      <c r="D51" s="70">
        <v>30.794500320674153</v>
      </c>
      <c r="E51" s="70"/>
      <c r="F51" s="70"/>
      <c r="G51" s="70">
        <v>29.468675105949377</v>
      </c>
      <c r="H51" s="70"/>
      <c r="I51" s="70"/>
      <c r="J51" s="70">
        <v>0.51854497287014434</v>
      </c>
      <c r="K51" s="70"/>
      <c r="L51" s="70"/>
      <c r="M51" s="70">
        <v>5.6097137974132725</v>
      </c>
      <c r="N51" s="70"/>
    </row>
    <row r="52" spans="1:14">
      <c r="A52" s="70" t="s">
        <v>41</v>
      </c>
      <c r="B52" s="70"/>
      <c r="C52" s="70"/>
      <c r="D52" s="70">
        <v>21.775000000000006</v>
      </c>
      <c r="E52" s="70"/>
      <c r="F52" s="70"/>
      <c r="G52" s="70">
        <v>20.837500000000006</v>
      </c>
      <c r="H52" s="70"/>
      <c r="I52" s="70"/>
      <c r="J52" s="70">
        <v>0.36666666666667336</v>
      </c>
      <c r="K52" s="70"/>
      <c r="L52" s="70"/>
      <c r="M52" s="70">
        <v>3.9666666666666632</v>
      </c>
      <c r="N52" s="70"/>
    </row>
    <row r="53" spans="1:14">
      <c r="A53" s="25"/>
      <c r="B53" s="25"/>
      <c r="C53" s="25"/>
      <c r="D53" s="25"/>
      <c r="E53" s="70"/>
      <c r="F53" s="70"/>
      <c r="G53" s="70"/>
    </row>
    <row r="54" spans="1:14">
      <c r="A54" s="62" t="s">
        <v>59</v>
      </c>
      <c r="B54" s="63" t="s">
        <v>90</v>
      </c>
      <c r="C54" s="63" t="s">
        <v>87</v>
      </c>
      <c r="D54" s="64" t="s">
        <v>89</v>
      </c>
      <c r="E54" s="65" t="s">
        <v>91</v>
      </c>
      <c r="F54" s="63" t="s">
        <v>86</v>
      </c>
      <c r="G54" s="64" t="s">
        <v>88</v>
      </c>
      <c r="H54" s="65" t="s">
        <v>93</v>
      </c>
      <c r="I54" s="63" t="s">
        <v>94</v>
      </c>
      <c r="J54" s="64" t="s">
        <v>92</v>
      </c>
      <c r="K54" s="65" t="s">
        <v>95</v>
      </c>
      <c r="L54" s="63" t="s">
        <v>96</v>
      </c>
      <c r="M54" s="64" t="s">
        <v>97</v>
      </c>
      <c r="N54" s="66" t="s">
        <v>109</v>
      </c>
    </row>
    <row r="55" spans="1:14">
      <c r="A55" s="67">
        <v>1</v>
      </c>
      <c r="B55" s="70">
        <v>484</v>
      </c>
      <c r="C55" s="68">
        <v>407.9</v>
      </c>
      <c r="D55" s="67">
        <v>19.025000000000006</v>
      </c>
      <c r="E55" s="68">
        <v>448.7</v>
      </c>
      <c r="F55" s="68">
        <v>242.9</v>
      </c>
      <c r="G55" s="67">
        <v>51.449999999999996</v>
      </c>
      <c r="H55" s="68">
        <v>399.2</v>
      </c>
      <c r="I55" s="68">
        <v>349.5</v>
      </c>
      <c r="J55" s="67">
        <v>16.566666666666663</v>
      </c>
      <c r="K55" s="68">
        <v>385.2</v>
      </c>
      <c r="L55" s="70">
        <v>300.5</v>
      </c>
      <c r="M55" s="67">
        <v>28.233333333333331</v>
      </c>
      <c r="N55" s="70" t="s">
        <v>60</v>
      </c>
    </row>
    <row r="56" spans="1:14">
      <c r="A56" s="67">
        <v>2</v>
      </c>
      <c r="B56" s="70">
        <v>450.5</v>
      </c>
      <c r="C56" s="68">
        <v>418.9</v>
      </c>
      <c r="D56" s="67">
        <v>15.800000000000011</v>
      </c>
      <c r="E56" s="68">
        <v>459.8</v>
      </c>
      <c r="F56" s="68">
        <v>426.1</v>
      </c>
      <c r="G56" s="67">
        <v>16.849999999999994</v>
      </c>
      <c r="H56" s="68">
        <v>460.1</v>
      </c>
      <c r="I56" s="68">
        <v>408.9</v>
      </c>
      <c r="J56" s="67">
        <v>17.066666666666681</v>
      </c>
      <c r="K56" s="68">
        <v>422.4</v>
      </c>
      <c r="L56" s="70">
        <v>377.5</v>
      </c>
      <c r="M56" s="67">
        <v>14.96666666666666</v>
      </c>
      <c r="N56" s="70" t="s">
        <v>110</v>
      </c>
    </row>
    <row r="57" spans="1:14">
      <c r="A57" s="70" t="s">
        <v>98</v>
      </c>
      <c r="B57" s="70"/>
      <c r="C57" s="70"/>
      <c r="D57" s="70">
        <v>17.412500000000009</v>
      </c>
      <c r="E57" s="70"/>
      <c r="F57" s="70"/>
      <c r="G57" s="70">
        <v>34.149999999999991</v>
      </c>
      <c r="H57" s="70"/>
      <c r="I57" s="70"/>
      <c r="J57" s="70">
        <v>16.81666666666667</v>
      </c>
      <c r="K57" s="70"/>
      <c r="L57" s="70"/>
      <c r="M57" s="70">
        <v>21.599999999999994</v>
      </c>
      <c r="N57" s="70" t="s">
        <v>108</v>
      </c>
    </row>
    <row r="58" spans="1:14">
      <c r="A58" s="70" t="s">
        <v>99</v>
      </c>
      <c r="B58" s="70"/>
      <c r="C58" s="70"/>
      <c r="D58" s="70">
        <v>2.2804193693266117</v>
      </c>
      <c r="E58" s="70"/>
      <c r="F58" s="70"/>
      <c r="G58" s="70">
        <v>24.465894629054553</v>
      </c>
      <c r="H58" s="70"/>
      <c r="I58" s="70"/>
      <c r="J58" s="70">
        <v>0.35355339059328633</v>
      </c>
      <c r="K58" s="70"/>
      <c r="L58" s="70"/>
      <c r="M58" s="70">
        <v>9.3809499637415321</v>
      </c>
      <c r="N58" s="70"/>
    </row>
    <row r="59" spans="1:14">
      <c r="A59" s="70" t="s">
        <v>41</v>
      </c>
      <c r="B59" s="70"/>
      <c r="C59" s="70"/>
      <c r="D59" s="70">
        <v>1.6124999999999969</v>
      </c>
      <c r="E59" s="70"/>
      <c r="F59" s="70"/>
      <c r="G59" s="70">
        <v>17.300000000000004</v>
      </c>
      <c r="H59" s="70"/>
      <c r="I59" s="70"/>
      <c r="J59" s="70">
        <v>0.25000000000000888</v>
      </c>
      <c r="K59" s="70"/>
      <c r="L59" s="70"/>
      <c r="M59" s="70">
        <v>6.6333333333333337</v>
      </c>
      <c r="N59" s="70"/>
    </row>
    <row r="60" spans="1:14">
      <c r="A60" s="25"/>
      <c r="B60" s="25"/>
      <c r="C60" s="25"/>
      <c r="D60" s="25"/>
    </row>
    <row r="61" spans="1:14">
      <c r="A61" s="62" t="s">
        <v>61</v>
      </c>
      <c r="B61" s="63" t="s">
        <v>90</v>
      </c>
      <c r="C61" s="63" t="s">
        <v>87</v>
      </c>
      <c r="D61" s="64" t="s">
        <v>89</v>
      </c>
      <c r="E61" s="65" t="s">
        <v>91</v>
      </c>
      <c r="F61" s="63" t="s">
        <v>86</v>
      </c>
      <c r="G61" s="64" t="s">
        <v>88</v>
      </c>
      <c r="H61" s="65" t="s">
        <v>93</v>
      </c>
      <c r="I61" s="63" t="s">
        <v>94</v>
      </c>
      <c r="J61" s="64" t="s">
        <v>92</v>
      </c>
      <c r="K61" s="65" t="s">
        <v>95</v>
      </c>
      <c r="L61" s="63" t="s">
        <v>96</v>
      </c>
      <c r="M61" s="64" t="s">
        <v>97</v>
      </c>
      <c r="N61" s="66" t="s">
        <v>111</v>
      </c>
    </row>
    <row r="62" spans="1:14">
      <c r="A62" s="67">
        <v>1</v>
      </c>
      <c r="B62" s="68">
        <v>407.9</v>
      </c>
      <c r="C62" s="68">
        <v>335.9</v>
      </c>
      <c r="D62" s="67">
        <v>18</v>
      </c>
      <c r="E62" s="68">
        <v>242.9</v>
      </c>
      <c r="F62" s="68">
        <v>371.7</v>
      </c>
      <c r="G62" s="67">
        <v>-32.199999999999996</v>
      </c>
      <c r="H62" s="68">
        <v>349.5</v>
      </c>
      <c r="I62" s="68">
        <v>296.10000000000002</v>
      </c>
      <c r="J62" s="67">
        <v>17.799999999999994</v>
      </c>
      <c r="K62" s="70">
        <v>300.5</v>
      </c>
      <c r="L62" s="70">
        <v>248.7</v>
      </c>
      <c r="M62" s="67">
        <v>17.266666666666669</v>
      </c>
      <c r="N62" s="70" t="s">
        <v>60</v>
      </c>
    </row>
    <row r="63" spans="1:14">
      <c r="A63" s="67">
        <v>2</v>
      </c>
      <c r="B63" s="68">
        <v>418.9</v>
      </c>
      <c r="C63" s="68">
        <v>387.1</v>
      </c>
      <c r="D63" s="67">
        <v>15.899999999999977</v>
      </c>
      <c r="E63" s="68">
        <v>426.1</v>
      </c>
      <c r="F63" s="68">
        <v>192.6</v>
      </c>
      <c r="G63" s="67">
        <v>116.75000000000001</v>
      </c>
      <c r="H63" s="68">
        <v>408.9</v>
      </c>
      <c r="I63" s="68">
        <v>357.4</v>
      </c>
      <c r="J63" s="67">
        <v>17.166666666666668</v>
      </c>
      <c r="K63" s="70">
        <v>377.5</v>
      </c>
      <c r="L63" s="70">
        <v>281.5</v>
      </c>
      <c r="M63" s="67">
        <v>32</v>
      </c>
      <c r="N63" s="70" t="s">
        <v>110</v>
      </c>
    </row>
    <row r="64" spans="1:14">
      <c r="A64" s="70" t="s">
        <v>98</v>
      </c>
      <c r="B64" s="70"/>
      <c r="C64" s="70"/>
      <c r="D64" s="70">
        <v>16.949999999999989</v>
      </c>
      <c r="E64" s="70"/>
      <c r="F64" s="70"/>
      <c r="G64" s="70">
        <v>42.275000000000006</v>
      </c>
      <c r="H64" s="70"/>
      <c r="I64" s="70"/>
      <c r="J64" s="70">
        <v>17.483333333333331</v>
      </c>
      <c r="K64" s="70"/>
      <c r="L64" s="70"/>
      <c r="M64" s="70">
        <v>24.633333333333333</v>
      </c>
      <c r="N64" s="70" t="s">
        <v>108</v>
      </c>
    </row>
    <row r="65" spans="1:14">
      <c r="A65" s="70" t="s">
        <v>99</v>
      </c>
      <c r="B65" s="70"/>
      <c r="C65" s="70"/>
      <c r="D65" s="70">
        <v>1.4849242404917657</v>
      </c>
      <c r="E65" s="70"/>
      <c r="F65" s="70"/>
      <c r="G65" s="70">
        <v>105.32355505773626</v>
      </c>
      <c r="H65" s="70"/>
      <c r="I65" s="70"/>
      <c r="J65" s="70">
        <v>0.44783429475147474</v>
      </c>
      <c r="K65" s="70"/>
      <c r="L65" s="70"/>
      <c r="M65" s="70">
        <v>10.418039909481806</v>
      </c>
      <c r="N65" s="70" t="s">
        <v>112</v>
      </c>
    </row>
    <row r="66" spans="1:14">
      <c r="A66" s="70" t="s">
        <v>41</v>
      </c>
      <c r="B66" s="70"/>
      <c r="C66" s="70"/>
      <c r="D66" s="70">
        <v>1.0500000000000111</v>
      </c>
      <c r="E66" s="70"/>
      <c r="F66" s="70"/>
      <c r="G66" s="70">
        <v>74.474999999999994</v>
      </c>
      <c r="H66" s="70"/>
      <c r="I66" s="70"/>
      <c r="J66" s="70">
        <v>0.31666666666666288</v>
      </c>
      <c r="K66" s="70"/>
      <c r="L66" s="70"/>
      <c r="M66" s="70">
        <v>7.3666666666666698</v>
      </c>
      <c r="N66" s="70"/>
    </row>
    <row r="68" spans="1:14">
      <c r="A68" s="62" t="s">
        <v>62</v>
      </c>
      <c r="B68" s="63" t="s">
        <v>90</v>
      </c>
      <c r="C68" s="63" t="s">
        <v>87</v>
      </c>
      <c r="D68" s="64" t="s">
        <v>89</v>
      </c>
      <c r="E68" s="65" t="s">
        <v>91</v>
      </c>
      <c r="F68" s="63" t="s">
        <v>86</v>
      </c>
      <c r="G68" s="64" t="s">
        <v>88</v>
      </c>
      <c r="H68" s="65" t="s">
        <v>93</v>
      </c>
      <c r="I68" s="63" t="s">
        <v>94</v>
      </c>
      <c r="J68" s="64" t="s">
        <v>92</v>
      </c>
      <c r="K68" s="65" t="s">
        <v>95</v>
      </c>
      <c r="L68" s="63" t="s">
        <v>96</v>
      </c>
      <c r="M68" s="64" t="s">
        <v>97</v>
      </c>
      <c r="N68" s="66" t="s">
        <v>113</v>
      </c>
    </row>
    <row r="69" spans="1:14">
      <c r="A69" s="67">
        <v>1</v>
      </c>
      <c r="B69" s="68">
        <v>335.9</v>
      </c>
      <c r="C69" s="68">
        <v>270</v>
      </c>
      <c r="D69" s="67">
        <v>16.474999999999994</v>
      </c>
      <c r="E69" s="68">
        <v>371.7</v>
      </c>
      <c r="F69" s="68">
        <v>227.6</v>
      </c>
      <c r="G69" s="67">
        <v>36.024999999999999</v>
      </c>
      <c r="H69" s="68">
        <v>296.10000000000002</v>
      </c>
      <c r="I69" s="68">
        <v>241.3</v>
      </c>
      <c r="J69" s="67">
        <v>18.266666666666669</v>
      </c>
      <c r="K69" s="70">
        <v>248.7</v>
      </c>
      <c r="L69" s="70">
        <v>202.6</v>
      </c>
      <c r="M69" s="67">
        <v>15.366666666666665</v>
      </c>
      <c r="N69" s="70" t="s">
        <v>60</v>
      </c>
    </row>
    <row r="70" spans="1:14">
      <c r="A70" s="67">
        <v>2</v>
      </c>
      <c r="B70" s="68">
        <v>387.1</v>
      </c>
      <c r="C70" s="68">
        <v>352</v>
      </c>
      <c r="D70" s="67">
        <v>17.550000000000011</v>
      </c>
      <c r="E70" s="68">
        <v>192.6</v>
      </c>
      <c r="F70" s="68">
        <v>364.7</v>
      </c>
      <c r="G70" s="67">
        <v>-86.05</v>
      </c>
      <c r="H70" s="68">
        <v>357.4</v>
      </c>
      <c r="I70" s="68">
        <v>301.39999999999998</v>
      </c>
      <c r="J70" s="67">
        <v>18.666666666666668</v>
      </c>
      <c r="K70" s="70">
        <v>281.5</v>
      </c>
      <c r="L70" s="70">
        <v>217.8</v>
      </c>
      <c r="M70" s="67">
        <v>21.233333333333331</v>
      </c>
      <c r="N70" s="70" t="s">
        <v>114</v>
      </c>
    </row>
    <row r="71" spans="1:14">
      <c r="A71" s="70" t="s">
        <v>98</v>
      </c>
      <c r="B71" s="70"/>
      <c r="C71" s="70"/>
      <c r="D71" s="70">
        <v>17.012500000000003</v>
      </c>
      <c r="E71" s="70"/>
      <c r="F71" s="70"/>
      <c r="G71" s="70">
        <v>-25.012499999999999</v>
      </c>
      <c r="H71" s="70"/>
      <c r="I71" s="70"/>
      <c r="J71" s="70">
        <v>18.466666666666669</v>
      </c>
      <c r="K71" s="70"/>
      <c r="L71" s="70"/>
      <c r="M71" s="70">
        <v>18.299999999999997</v>
      </c>
      <c r="N71" s="70" t="s">
        <v>112</v>
      </c>
    </row>
    <row r="72" spans="1:14">
      <c r="A72" s="70" t="s">
        <v>99</v>
      </c>
      <c r="B72" s="70"/>
      <c r="C72" s="70"/>
      <c r="D72" s="70">
        <v>0.76013978977555063</v>
      </c>
      <c r="E72" s="70"/>
      <c r="F72" s="70"/>
      <c r="G72" s="70">
        <v>86.320060313347795</v>
      </c>
      <c r="H72" s="70"/>
      <c r="I72" s="70"/>
      <c r="J72" s="70">
        <v>0.28284271247461801</v>
      </c>
      <c r="K72" s="70"/>
      <c r="L72" s="70"/>
      <c r="M72" s="70">
        <v>4.1483597829610881</v>
      </c>
      <c r="N72" s="70"/>
    </row>
    <row r="73" spans="1:14">
      <c r="A73" s="70" t="s">
        <v>41</v>
      </c>
      <c r="B73" s="70"/>
      <c r="C73" s="70"/>
      <c r="D73" s="70">
        <v>0.53750000000000853</v>
      </c>
      <c r="E73" s="70"/>
      <c r="F73" s="70"/>
      <c r="G73" s="70">
        <v>61.037500000000001</v>
      </c>
      <c r="H73" s="70"/>
      <c r="I73" s="70"/>
      <c r="J73" s="70">
        <v>0.19999999999999929</v>
      </c>
      <c r="K73" s="70"/>
      <c r="L73" s="70"/>
      <c r="M73" s="70">
        <v>2.9333333333333398</v>
      </c>
      <c r="N73" s="70"/>
    </row>
    <row r="75" spans="1:14">
      <c r="A75" s="62" t="s">
        <v>63</v>
      </c>
      <c r="B75" s="63" t="s">
        <v>90</v>
      </c>
      <c r="C75" s="63" t="s">
        <v>87</v>
      </c>
      <c r="D75" s="64" t="s">
        <v>89</v>
      </c>
      <c r="E75" s="65" t="s">
        <v>91</v>
      </c>
      <c r="F75" s="63" t="s">
        <v>86</v>
      </c>
      <c r="G75" s="64" t="s">
        <v>88</v>
      </c>
      <c r="H75" s="65" t="s">
        <v>93</v>
      </c>
      <c r="I75" s="63" t="s">
        <v>94</v>
      </c>
      <c r="J75" s="64" t="s">
        <v>92</v>
      </c>
      <c r="K75" s="65" t="s">
        <v>95</v>
      </c>
      <c r="L75" s="63" t="s">
        <v>96</v>
      </c>
      <c r="M75" s="64" t="s">
        <v>97</v>
      </c>
      <c r="N75" s="66" t="s">
        <v>115</v>
      </c>
    </row>
    <row r="76" spans="1:14">
      <c r="A76" s="67">
        <v>1</v>
      </c>
      <c r="B76" s="68">
        <v>270</v>
      </c>
      <c r="C76" s="68">
        <v>182.9</v>
      </c>
      <c r="D76" s="67">
        <v>21.774999999999999</v>
      </c>
      <c r="E76" s="68">
        <v>227.6</v>
      </c>
      <c r="F76" s="68">
        <v>143.19999999999999</v>
      </c>
      <c r="G76" s="67">
        <v>21.1</v>
      </c>
      <c r="H76" s="68">
        <v>241.3</v>
      </c>
      <c r="I76" s="68">
        <v>160.4</v>
      </c>
      <c r="J76" s="67">
        <v>26.966666666666669</v>
      </c>
      <c r="K76" s="70">
        <v>202.6</v>
      </c>
      <c r="L76" s="70">
        <v>143.19999999999999</v>
      </c>
      <c r="M76" s="67">
        <v>19.8</v>
      </c>
      <c r="N76" s="70" t="s">
        <v>58</v>
      </c>
    </row>
    <row r="77" spans="1:14">
      <c r="A77" s="67">
        <v>2</v>
      </c>
      <c r="B77" s="68">
        <v>352</v>
      </c>
      <c r="C77" s="68">
        <v>308.3</v>
      </c>
      <c r="D77" s="67">
        <v>21.849999999999994</v>
      </c>
      <c r="E77" s="68">
        <v>364.7</v>
      </c>
      <c r="F77" s="68">
        <v>324.5</v>
      </c>
      <c r="G77" s="67">
        <v>20.099999999999994</v>
      </c>
      <c r="H77" s="68">
        <v>301.39999999999998</v>
      </c>
      <c r="I77" s="68">
        <v>220</v>
      </c>
      <c r="J77" s="67">
        <v>27.133333333333326</v>
      </c>
      <c r="K77" s="70">
        <v>217.8</v>
      </c>
      <c r="L77" s="70">
        <v>146</v>
      </c>
      <c r="M77" s="67">
        <v>23.933333333333337</v>
      </c>
      <c r="N77" s="70"/>
    </row>
    <row r="78" spans="1:14">
      <c r="A78" s="70" t="s">
        <v>98</v>
      </c>
      <c r="B78" s="70"/>
      <c r="C78" s="70"/>
      <c r="D78" s="70">
        <v>21.812499999999996</v>
      </c>
      <c r="E78" s="70"/>
      <c r="F78" s="70"/>
      <c r="G78" s="70">
        <v>20.599999999999998</v>
      </c>
      <c r="H78" s="70"/>
      <c r="I78" s="70"/>
      <c r="J78" s="70">
        <v>27.049999999999997</v>
      </c>
      <c r="K78" s="70"/>
      <c r="L78" s="70"/>
      <c r="M78" s="70">
        <v>21.866666666666667</v>
      </c>
      <c r="N78" s="70"/>
    </row>
    <row r="79" spans="1:14">
      <c r="A79" s="70" t="s">
        <v>99</v>
      </c>
      <c r="B79" s="70"/>
      <c r="C79" s="70"/>
      <c r="D79" s="70">
        <v>5.3033008588988052E-2</v>
      </c>
      <c r="E79" s="70"/>
      <c r="F79" s="70"/>
      <c r="G79" s="70">
        <v>0.70710678118655257</v>
      </c>
      <c r="H79" s="70"/>
      <c r="I79" s="70"/>
      <c r="J79" s="70">
        <v>0.11785113019775122</v>
      </c>
      <c r="K79" s="70"/>
      <c r="L79" s="70"/>
      <c r="M79" s="70">
        <v>2.922708028904399</v>
      </c>
      <c r="N79" s="70"/>
    </row>
    <row r="80" spans="1:14">
      <c r="A80" s="70" t="s">
        <v>41</v>
      </c>
      <c r="B80" s="70"/>
      <c r="C80" s="70"/>
      <c r="D80" s="70">
        <v>3.7499999999997868E-2</v>
      </c>
      <c r="E80" s="70"/>
      <c r="F80" s="70"/>
      <c r="G80" s="70">
        <v>0.50000000000000355</v>
      </c>
      <c r="H80" s="70"/>
      <c r="I80" s="70"/>
      <c r="J80" s="70">
        <v>8.3333333333328583E-2</v>
      </c>
      <c r="K80" s="70"/>
      <c r="L80" s="70"/>
      <c r="M80" s="70">
        <v>2.0666666666666682</v>
      </c>
      <c r="N80" s="70"/>
    </row>
    <row r="82" spans="1:14">
      <c r="A82" s="62" t="s">
        <v>64</v>
      </c>
      <c r="B82" s="63" t="s">
        <v>90</v>
      </c>
      <c r="C82" s="63" t="s">
        <v>87</v>
      </c>
      <c r="D82" s="64" t="s">
        <v>89</v>
      </c>
      <c r="E82" s="65" t="s">
        <v>91</v>
      </c>
      <c r="F82" s="63" t="s">
        <v>86</v>
      </c>
      <c r="G82" s="64" t="s">
        <v>88</v>
      </c>
      <c r="H82" s="65" t="s">
        <v>93</v>
      </c>
      <c r="I82" s="63" t="s">
        <v>94</v>
      </c>
      <c r="J82" s="64" t="s">
        <v>92</v>
      </c>
      <c r="K82" s="65" t="s">
        <v>95</v>
      </c>
      <c r="L82" s="63" t="s">
        <v>96</v>
      </c>
      <c r="M82" s="64" t="s">
        <v>97</v>
      </c>
      <c r="N82" s="66" t="s">
        <v>116</v>
      </c>
    </row>
    <row r="83" spans="1:14">
      <c r="A83" s="67">
        <v>1</v>
      </c>
      <c r="B83" s="68">
        <v>182.9</v>
      </c>
      <c r="C83" s="68">
        <v>156.30000000000001</v>
      </c>
      <c r="D83" s="67">
        <v>6.6499999999999986</v>
      </c>
      <c r="E83" s="68">
        <v>143.19999999999999</v>
      </c>
      <c r="F83" s="68">
        <v>163.80000000000001</v>
      </c>
      <c r="G83" s="67">
        <v>-5.1500000000000057</v>
      </c>
      <c r="H83" s="68">
        <v>160.4</v>
      </c>
      <c r="I83" s="68">
        <v>172.3</v>
      </c>
      <c r="J83" s="67">
        <v>-3.9666666666666686</v>
      </c>
      <c r="K83" s="70">
        <v>143.19999999999999</v>
      </c>
      <c r="L83" s="70">
        <v>210.8</v>
      </c>
      <c r="M83" s="67">
        <v>-22.533333333333342</v>
      </c>
      <c r="N83" s="70" t="s">
        <v>66</v>
      </c>
    </row>
    <row r="84" spans="1:14">
      <c r="A84" s="67">
        <v>2</v>
      </c>
      <c r="B84" s="68">
        <v>308.3</v>
      </c>
      <c r="C84" s="68">
        <v>278.2</v>
      </c>
      <c r="D84" s="67">
        <v>15.050000000000011</v>
      </c>
      <c r="E84" s="68">
        <v>324.5</v>
      </c>
      <c r="F84" s="68">
        <v>295.8</v>
      </c>
      <c r="G84" s="67">
        <v>14.349999999999994</v>
      </c>
      <c r="H84" s="68">
        <v>220</v>
      </c>
      <c r="I84" s="68">
        <v>171.8</v>
      </c>
      <c r="J84" s="67">
        <v>16.066666666666663</v>
      </c>
      <c r="K84" s="70">
        <v>146</v>
      </c>
      <c r="L84" s="70">
        <v>166.7</v>
      </c>
      <c r="M84" s="67">
        <v>-6.8999999999999959</v>
      </c>
      <c r="N84" s="70" t="s">
        <v>119</v>
      </c>
    </row>
    <row r="85" spans="1:14">
      <c r="A85" s="70" t="s">
        <v>98</v>
      </c>
      <c r="B85" s="70"/>
      <c r="C85" s="70"/>
      <c r="D85" s="70">
        <v>10.850000000000005</v>
      </c>
      <c r="E85" s="70"/>
      <c r="F85" s="70"/>
      <c r="G85" s="70">
        <v>4.5999999999999943</v>
      </c>
      <c r="H85" s="70"/>
      <c r="I85" s="70"/>
      <c r="J85" s="70">
        <v>6.0499999999999972</v>
      </c>
      <c r="K85" s="70"/>
      <c r="L85" s="70"/>
      <c r="M85" s="70">
        <v>-14.716666666666669</v>
      </c>
      <c r="N85" s="70" t="s">
        <v>117</v>
      </c>
    </row>
    <row r="86" spans="1:14">
      <c r="A86" s="70" t="s">
        <v>99</v>
      </c>
      <c r="B86" s="70"/>
      <c r="C86" s="70"/>
      <c r="D86" s="70">
        <v>5.9396969619670061</v>
      </c>
      <c r="E86" s="70"/>
      <c r="F86" s="70"/>
      <c r="G86" s="70">
        <v>13.788582233137676</v>
      </c>
      <c r="H86" s="70"/>
      <c r="I86" s="70"/>
      <c r="J86" s="70">
        <v>14.165705849770502</v>
      </c>
      <c r="K86" s="70"/>
      <c r="L86" s="70"/>
      <c r="M86" s="70">
        <v>11.054436012549703</v>
      </c>
      <c r="N86" s="70"/>
    </row>
    <row r="87" spans="1:14">
      <c r="A87" s="70" t="s">
        <v>41</v>
      </c>
      <c r="B87" s="70"/>
      <c r="C87" s="70"/>
      <c r="D87" s="70">
        <v>4.2000000000000046</v>
      </c>
      <c r="E87" s="70"/>
      <c r="F87" s="70"/>
      <c r="G87" s="70">
        <v>9.7499999999999982</v>
      </c>
      <c r="H87" s="70"/>
      <c r="I87" s="70"/>
      <c r="J87" s="70">
        <v>10.016666666666666</v>
      </c>
      <c r="K87" s="70"/>
      <c r="L87" s="70"/>
      <c r="M87" s="70">
        <v>7.8166666666666726</v>
      </c>
      <c r="N87" s="70"/>
    </row>
    <row r="89" spans="1:14">
      <c r="A89" s="62" t="s">
        <v>65</v>
      </c>
      <c r="B89" s="63" t="s">
        <v>90</v>
      </c>
      <c r="C89" s="63" t="s">
        <v>87</v>
      </c>
      <c r="D89" s="64" t="s">
        <v>89</v>
      </c>
      <c r="E89" s="65" t="s">
        <v>91</v>
      </c>
      <c r="F89" s="63" t="s">
        <v>86</v>
      </c>
      <c r="G89" s="64" t="s">
        <v>88</v>
      </c>
      <c r="H89" s="65" t="s">
        <v>93</v>
      </c>
      <c r="I89" s="63" t="s">
        <v>94</v>
      </c>
      <c r="J89" s="64" t="s">
        <v>92</v>
      </c>
      <c r="K89" s="65" t="s">
        <v>95</v>
      </c>
      <c r="L89" s="63" t="s">
        <v>96</v>
      </c>
      <c r="M89" s="64" t="s">
        <v>97</v>
      </c>
      <c r="N89" s="66" t="s">
        <v>118</v>
      </c>
    </row>
    <row r="90" spans="1:14">
      <c r="A90" s="67">
        <v>1</v>
      </c>
      <c r="B90" s="68">
        <v>156.30000000000001</v>
      </c>
      <c r="C90" s="68">
        <v>73.7</v>
      </c>
      <c r="D90" s="67">
        <v>20.650000000000002</v>
      </c>
      <c r="E90" s="68">
        <v>163.80000000000001</v>
      </c>
      <c r="F90" s="68">
        <v>87.3</v>
      </c>
      <c r="G90" s="67">
        <v>19.125000000000004</v>
      </c>
      <c r="H90" s="68">
        <v>172.3</v>
      </c>
      <c r="I90" s="68">
        <v>107.2</v>
      </c>
      <c r="J90" s="67">
        <v>21.700000000000003</v>
      </c>
      <c r="K90" s="70">
        <v>210.8</v>
      </c>
      <c r="L90" s="70">
        <v>152.5</v>
      </c>
      <c r="M90" s="67">
        <v>19.433333333333337</v>
      </c>
      <c r="N90" s="70" t="s">
        <v>68</v>
      </c>
    </row>
    <row r="91" spans="1:14">
      <c r="A91" s="67">
        <v>2</v>
      </c>
      <c r="B91" s="68">
        <v>278.2</v>
      </c>
      <c r="C91" s="68">
        <v>239.7</v>
      </c>
      <c r="D91" s="67">
        <v>19.25</v>
      </c>
      <c r="E91" s="68">
        <v>295.8</v>
      </c>
      <c r="F91" s="68">
        <v>262.60000000000002</v>
      </c>
      <c r="G91" s="67">
        <v>16.599999999999994</v>
      </c>
      <c r="H91" s="68">
        <v>171.8</v>
      </c>
      <c r="I91" s="68">
        <v>99.3</v>
      </c>
      <c r="J91" s="67">
        <v>24.166666666666671</v>
      </c>
      <c r="K91" s="70">
        <v>166.7</v>
      </c>
      <c r="L91" s="70">
        <v>98</v>
      </c>
      <c r="M91" s="67">
        <v>22.899999999999995</v>
      </c>
      <c r="N91" s="70"/>
    </row>
    <row r="92" spans="1:14">
      <c r="A92" s="70" t="s">
        <v>98</v>
      </c>
      <c r="B92" s="70"/>
      <c r="C92" s="70"/>
      <c r="D92" s="70">
        <v>19.950000000000003</v>
      </c>
      <c r="E92" s="70"/>
      <c r="F92" s="70"/>
      <c r="G92" s="70">
        <v>17.862499999999997</v>
      </c>
      <c r="H92" s="70"/>
      <c r="I92" s="70"/>
      <c r="J92" s="70">
        <v>22.933333333333337</v>
      </c>
      <c r="K92" s="70"/>
      <c r="L92" s="70"/>
      <c r="M92" s="70">
        <v>21.166666666666664</v>
      </c>
      <c r="N92" s="70"/>
    </row>
    <row r="93" spans="1:14">
      <c r="A93" s="70" t="s">
        <v>99</v>
      </c>
      <c r="B93" s="70"/>
      <c r="C93" s="70"/>
      <c r="D93" s="70">
        <v>0.98994949366116802</v>
      </c>
      <c r="E93" s="70"/>
      <c r="F93" s="70"/>
      <c r="G93" s="70">
        <v>1.785444622496039</v>
      </c>
      <c r="H93" s="70"/>
      <c r="I93" s="70"/>
      <c r="J93" s="70">
        <v>1.7441967269268186</v>
      </c>
      <c r="K93" s="70"/>
      <c r="L93" s="70"/>
      <c r="M93" s="70">
        <v>2.4513035081133587</v>
      </c>
      <c r="N93" s="70"/>
    </row>
    <row r="94" spans="1:14">
      <c r="A94" s="70" t="s">
        <v>41</v>
      </c>
      <c r="B94" s="70"/>
      <c r="C94" s="70"/>
      <c r="D94" s="70">
        <v>0.70000000000000095</v>
      </c>
      <c r="E94" s="70"/>
      <c r="F94" s="70"/>
      <c r="G94" s="70">
        <v>1.2625000000000044</v>
      </c>
      <c r="H94" s="70"/>
      <c r="I94" s="70"/>
      <c r="J94" s="70">
        <v>1.2333333333333343</v>
      </c>
      <c r="K94" s="70"/>
      <c r="L94" s="70"/>
      <c r="M94" s="70">
        <v>1.733333333333329</v>
      </c>
      <c r="N94" s="70"/>
    </row>
    <row r="96" spans="1:14">
      <c r="A96" s="62" t="s">
        <v>67</v>
      </c>
      <c r="B96" s="63" t="s">
        <v>90</v>
      </c>
      <c r="C96" s="63" t="s">
        <v>87</v>
      </c>
      <c r="D96" s="64" t="s">
        <v>89</v>
      </c>
      <c r="E96" s="65" t="s">
        <v>91</v>
      </c>
      <c r="F96" s="63" t="s">
        <v>86</v>
      </c>
      <c r="G96" s="64" t="s">
        <v>88</v>
      </c>
      <c r="H96" s="65" t="s">
        <v>93</v>
      </c>
      <c r="I96" s="63" t="s">
        <v>94</v>
      </c>
      <c r="J96" s="64" t="s">
        <v>92</v>
      </c>
      <c r="K96" s="65" t="s">
        <v>95</v>
      </c>
      <c r="L96" s="63" t="s">
        <v>96</v>
      </c>
      <c r="M96" s="64" t="s">
        <v>97</v>
      </c>
      <c r="N96" s="66" t="s">
        <v>120</v>
      </c>
    </row>
    <row r="97" spans="1:14">
      <c r="A97" s="67">
        <v>1</v>
      </c>
      <c r="B97" s="68">
        <v>220.6</v>
      </c>
      <c r="C97" s="68">
        <v>165.2</v>
      </c>
      <c r="D97" s="67">
        <v>13.850000000000001</v>
      </c>
      <c r="E97" s="68">
        <v>158.5</v>
      </c>
      <c r="F97" s="72">
        <v>139.5</v>
      </c>
      <c r="G97" s="67">
        <v>9.5</v>
      </c>
      <c r="H97" s="68">
        <v>231.5</v>
      </c>
      <c r="I97" s="68">
        <v>190.1</v>
      </c>
      <c r="J97" s="67">
        <v>13.800000000000002</v>
      </c>
      <c r="K97" s="70">
        <v>310.5</v>
      </c>
      <c r="L97" s="70">
        <v>274.2</v>
      </c>
      <c r="M97" s="67">
        <v>12.100000000000003</v>
      </c>
      <c r="N97" s="70" t="s">
        <v>70</v>
      </c>
    </row>
    <row r="98" spans="1:14">
      <c r="A98" s="67">
        <v>2</v>
      </c>
      <c r="B98" s="68">
        <v>239.7</v>
      </c>
      <c r="C98" s="68">
        <v>211.3</v>
      </c>
      <c r="D98" s="67">
        <v>14.199999999999989</v>
      </c>
      <c r="E98" s="68">
        <v>262.60000000000002</v>
      </c>
      <c r="F98" s="68">
        <v>237.9</v>
      </c>
      <c r="G98" s="67">
        <v>12.350000000000009</v>
      </c>
      <c r="H98" s="68">
        <v>292.5</v>
      </c>
      <c r="I98" s="68">
        <v>248.1</v>
      </c>
      <c r="J98" s="67">
        <v>14.800000000000002</v>
      </c>
      <c r="K98" s="70">
        <v>252.5</v>
      </c>
      <c r="L98" s="70">
        <v>210.7</v>
      </c>
      <c r="M98" s="67">
        <v>13.933333333333337</v>
      </c>
      <c r="N98" s="73" t="s">
        <v>122</v>
      </c>
    </row>
    <row r="99" spans="1:14">
      <c r="A99" s="68">
        <v>3</v>
      </c>
      <c r="B99" s="68"/>
      <c r="C99" s="68"/>
      <c r="D99" s="68"/>
      <c r="E99" s="68">
        <v>104.3</v>
      </c>
      <c r="F99" s="68">
        <v>81.3</v>
      </c>
      <c r="G99" s="67">
        <v>11.5</v>
      </c>
      <c r="H99" s="68"/>
      <c r="I99" s="68"/>
      <c r="J99" s="68"/>
      <c r="K99" s="70"/>
      <c r="L99" s="70"/>
      <c r="M99" s="68"/>
      <c r="N99" s="70"/>
    </row>
    <row r="100" spans="1:14">
      <c r="A100" s="70" t="s">
        <v>98</v>
      </c>
      <c r="B100" s="70"/>
      <c r="C100" s="70"/>
      <c r="D100" s="70">
        <v>14.024999999999995</v>
      </c>
      <c r="E100" s="70"/>
      <c r="F100" s="70"/>
      <c r="G100" s="70">
        <v>11.116666666666669</v>
      </c>
      <c r="H100" s="70"/>
      <c r="I100" s="70"/>
      <c r="J100" s="70">
        <v>14.300000000000002</v>
      </c>
      <c r="K100" s="70"/>
      <c r="L100" s="70"/>
      <c r="M100" s="70">
        <v>13.016666666666669</v>
      </c>
      <c r="N100" s="70"/>
    </row>
    <row r="101" spans="1:14">
      <c r="A101" s="70" t="s">
        <v>99</v>
      </c>
      <c r="B101" s="70"/>
      <c r="C101" s="70"/>
      <c r="D101" s="70">
        <v>0.2474873734152826</v>
      </c>
      <c r="E101" s="70"/>
      <c r="F101" s="70"/>
      <c r="G101" s="70">
        <v>1.4631586835792443</v>
      </c>
      <c r="H101" s="70"/>
      <c r="I101" s="70"/>
      <c r="J101" s="70">
        <v>0.70710678118654757</v>
      </c>
      <c r="K101" s="70"/>
      <c r="L101" s="70"/>
      <c r="M101" s="70">
        <v>1.2963624321753375</v>
      </c>
      <c r="N101" s="70"/>
    </row>
    <row r="102" spans="1:14">
      <c r="A102" s="70" t="s">
        <v>41</v>
      </c>
      <c r="B102" s="70"/>
      <c r="C102" s="70"/>
      <c r="D102" s="70">
        <v>0.17499999999999361</v>
      </c>
      <c r="E102" s="70"/>
      <c r="F102" s="70"/>
      <c r="G102" s="70">
        <v>0.84475505983161525</v>
      </c>
      <c r="H102" s="70"/>
      <c r="I102" s="70"/>
      <c r="J102" s="70">
        <v>0.5</v>
      </c>
      <c r="K102" s="70"/>
      <c r="L102" s="70"/>
      <c r="M102" s="70">
        <v>0.91666666666666685</v>
      </c>
      <c r="N102" s="70"/>
    </row>
    <row r="104" spans="1:14">
      <c r="A104" s="62" t="s">
        <v>69</v>
      </c>
      <c r="B104" s="63" t="s">
        <v>90</v>
      </c>
      <c r="C104" s="63" t="s">
        <v>87</v>
      </c>
      <c r="D104" s="64" t="s">
        <v>89</v>
      </c>
      <c r="E104" s="65" t="s">
        <v>91</v>
      </c>
      <c r="F104" s="63" t="s">
        <v>86</v>
      </c>
      <c r="G104" s="64" t="s">
        <v>88</v>
      </c>
      <c r="H104" s="65" t="s">
        <v>93</v>
      </c>
      <c r="I104" s="63" t="s">
        <v>94</v>
      </c>
      <c r="J104" s="64" t="s">
        <v>92</v>
      </c>
      <c r="K104" s="65" t="s">
        <v>95</v>
      </c>
      <c r="L104" s="63" t="s">
        <v>96</v>
      </c>
      <c r="M104" s="64" t="s">
        <v>97</v>
      </c>
      <c r="N104" s="66" t="s">
        <v>123</v>
      </c>
    </row>
    <row r="105" spans="1:14">
      <c r="A105" s="67">
        <v>1</v>
      </c>
      <c r="B105" s="68">
        <v>165.2</v>
      </c>
      <c r="C105" s="68">
        <v>84.4</v>
      </c>
      <c r="D105" s="67">
        <v>20.199999999999996</v>
      </c>
      <c r="E105" s="72">
        <v>139.5</v>
      </c>
      <c r="F105" s="72">
        <v>97.1</v>
      </c>
      <c r="G105" s="67">
        <v>21.200000000000003</v>
      </c>
      <c r="H105" s="68">
        <v>190.1</v>
      </c>
      <c r="I105" s="68">
        <v>126.4</v>
      </c>
      <c r="J105" s="67">
        <v>21.233333333333331</v>
      </c>
      <c r="K105" s="70">
        <v>274.2</v>
      </c>
      <c r="L105" s="70">
        <v>217.2</v>
      </c>
      <c r="M105" s="67">
        <v>19</v>
      </c>
      <c r="N105" s="70" t="s">
        <v>60</v>
      </c>
    </row>
    <row r="106" spans="1:14">
      <c r="A106" s="67">
        <v>2</v>
      </c>
      <c r="B106" s="68">
        <v>211.3</v>
      </c>
      <c r="C106" s="68">
        <v>167.3</v>
      </c>
      <c r="D106" s="67">
        <v>22</v>
      </c>
      <c r="E106" s="68">
        <v>237.9</v>
      </c>
      <c r="F106" s="68">
        <v>202.8</v>
      </c>
      <c r="G106" s="67">
        <v>17.549999999999997</v>
      </c>
      <c r="H106" s="68">
        <v>248.1</v>
      </c>
      <c r="I106" s="68">
        <v>200.8</v>
      </c>
      <c r="J106" s="67">
        <v>23.649999999999991</v>
      </c>
      <c r="K106" s="70">
        <v>210.7</v>
      </c>
      <c r="L106" s="70">
        <v>141.30000000000001</v>
      </c>
      <c r="M106" s="67">
        <v>23.133333333333326</v>
      </c>
      <c r="N106" s="73"/>
    </row>
    <row r="107" spans="1:14">
      <c r="A107" s="68">
        <v>3</v>
      </c>
      <c r="B107" s="68"/>
      <c r="C107" s="68"/>
      <c r="D107" s="68"/>
      <c r="E107" s="68">
        <v>81.3</v>
      </c>
      <c r="F107" s="68">
        <v>48.7</v>
      </c>
      <c r="G107" s="67">
        <v>16.299999999999997</v>
      </c>
      <c r="H107" s="68"/>
      <c r="I107" s="68"/>
      <c r="J107" s="68"/>
      <c r="K107" s="70"/>
      <c r="L107" s="70"/>
      <c r="M107" s="68"/>
      <c r="N107" s="70"/>
    </row>
    <row r="108" spans="1:14">
      <c r="A108" s="70" t="s">
        <v>98</v>
      </c>
      <c r="B108" s="70"/>
      <c r="C108" s="70"/>
      <c r="D108" s="70">
        <v>21.099999999999998</v>
      </c>
      <c r="E108" s="70"/>
      <c r="F108" s="70"/>
      <c r="G108" s="70">
        <v>18.349999999999998</v>
      </c>
      <c r="H108" s="70"/>
      <c r="I108" s="70"/>
      <c r="J108" s="70">
        <v>22.441666666666663</v>
      </c>
      <c r="K108" s="70"/>
      <c r="L108" s="70"/>
      <c r="M108" s="70">
        <v>21.066666666666663</v>
      </c>
      <c r="N108" s="70"/>
    </row>
    <row r="109" spans="1:14">
      <c r="A109" s="70" t="s">
        <v>99</v>
      </c>
      <c r="B109" s="70"/>
      <c r="C109" s="70"/>
      <c r="D109" s="70">
        <v>1.2727922061357886</v>
      </c>
      <c r="E109" s="70"/>
      <c r="F109" s="70"/>
      <c r="G109" s="70">
        <v>2.5460754112948059</v>
      </c>
      <c r="H109" s="70"/>
      <c r="I109" s="70"/>
      <c r="J109" s="70">
        <v>1.7088413878674857</v>
      </c>
      <c r="K109" s="70"/>
      <c r="L109" s="70"/>
      <c r="M109" s="70">
        <v>2.922708028904391</v>
      </c>
      <c r="N109" s="70"/>
    </row>
    <row r="110" spans="1:14">
      <c r="A110" s="70" t="s">
        <v>41</v>
      </c>
      <c r="B110" s="70"/>
      <c r="C110" s="70"/>
      <c r="D110" s="70">
        <v>0.90000000000000213</v>
      </c>
      <c r="E110" s="70"/>
      <c r="F110" s="70"/>
      <c r="G110" s="70">
        <v>1.4699773240881433</v>
      </c>
      <c r="H110" s="70"/>
      <c r="I110" s="70"/>
      <c r="J110" s="70">
        <v>1.2083333333333304</v>
      </c>
      <c r="K110" s="70"/>
      <c r="L110" s="70"/>
      <c r="M110" s="70">
        <v>2.0666666666666629</v>
      </c>
      <c r="N110" s="70"/>
    </row>
    <row r="112" spans="1:14">
      <c r="A112" s="62" t="s">
        <v>71</v>
      </c>
      <c r="B112" s="63" t="s">
        <v>90</v>
      </c>
      <c r="C112" s="63" t="s">
        <v>87</v>
      </c>
      <c r="D112" s="64" t="s">
        <v>89</v>
      </c>
      <c r="E112" s="65" t="s">
        <v>91</v>
      </c>
      <c r="F112" s="63" t="s">
        <v>86</v>
      </c>
      <c r="G112" s="64" t="s">
        <v>88</v>
      </c>
      <c r="H112" s="65" t="s">
        <v>93</v>
      </c>
      <c r="I112" s="63" t="s">
        <v>94</v>
      </c>
      <c r="J112" s="64" t="s">
        <v>92</v>
      </c>
      <c r="K112" s="65" t="s">
        <v>95</v>
      </c>
      <c r="L112" s="63" t="s">
        <v>96</v>
      </c>
      <c r="M112" s="64" t="s">
        <v>97</v>
      </c>
      <c r="N112" s="66" t="s">
        <v>125</v>
      </c>
    </row>
    <row r="113" spans="1:14">
      <c r="A113" s="67">
        <v>1</v>
      </c>
      <c r="B113" s="68">
        <v>187.3</v>
      </c>
      <c r="C113" s="68">
        <v>100.1</v>
      </c>
      <c r="D113" s="67">
        <v>21.800000000000004</v>
      </c>
      <c r="E113" s="72">
        <v>203.3</v>
      </c>
      <c r="F113" s="72">
        <v>148.80000000000001</v>
      </c>
      <c r="G113" s="67">
        <v>27.25</v>
      </c>
      <c r="H113" s="68">
        <v>191.4</v>
      </c>
      <c r="I113" s="68">
        <v>131.4</v>
      </c>
      <c r="J113" s="67">
        <v>20</v>
      </c>
      <c r="K113" s="70">
        <v>217.2</v>
      </c>
      <c r="L113" s="70">
        <v>163.9</v>
      </c>
      <c r="M113" s="67">
        <v>17.766666666666662</v>
      </c>
      <c r="N113" s="70" t="s">
        <v>60</v>
      </c>
    </row>
    <row r="114" spans="1:14">
      <c r="A114" s="67">
        <v>2</v>
      </c>
      <c r="B114" s="68">
        <v>167.3</v>
      </c>
      <c r="C114" s="68">
        <v>128.19999999999999</v>
      </c>
      <c r="D114" s="67">
        <v>19.550000000000011</v>
      </c>
      <c r="E114" s="68">
        <v>202.8</v>
      </c>
      <c r="F114" s="68">
        <v>164.1</v>
      </c>
      <c r="G114" s="67">
        <v>19.350000000000009</v>
      </c>
      <c r="H114" s="68">
        <v>200.8</v>
      </c>
      <c r="I114" s="68">
        <v>151.4</v>
      </c>
      <c r="J114" s="67">
        <v>24.700000000000003</v>
      </c>
      <c r="K114" s="70">
        <v>141.30000000000001</v>
      </c>
      <c r="L114" s="70">
        <v>78.599999999999994</v>
      </c>
      <c r="M114" s="67">
        <v>20.900000000000006</v>
      </c>
      <c r="N114" s="73"/>
    </row>
    <row r="115" spans="1:14">
      <c r="A115" s="68">
        <v>3</v>
      </c>
      <c r="B115" s="68"/>
      <c r="C115" s="68"/>
      <c r="D115" s="68"/>
      <c r="E115" s="68">
        <v>195.7</v>
      </c>
      <c r="F115" s="68">
        <v>143.1</v>
      </c>
      <c r="G115" s="67">
        <v>26.299999999999997</v>
      </c>
      <c r="H115" s="68"/>
      <c r="I115" s="68"/>
      <c r="J115" s="68"/>
      <c r="K115" s="70"/>
      <c r="L115" s="70"/>
      <c r="M115" s="68"/>
      <c r="N115" s="70"/>
    </row>
    <row r="116" spans="1:14">
      <c r="A116" s="70" t="s">
        <v>98</v>
      </c>
      <c r="B116" s="70"/>
      <c r="C116" s="70"/>
      <c r="D116" s="70">
        <v>20.675000000000008</v>
      </c>
      <c r="E116" s="70"/>
      <c r="F116" s="70"/>
      <c r="G116" s="70">
        <v>24.3</v>
      </c>
      <c r="H116" s="70"/>
      <c r="I116" s="70"/>
      <c r="J116" s="70">
        <v>22.35</v>
      </c>
      <c r="K116" s="70"/>
      <c r="L116" s="70"/>
      <c r="M116" s="70">
        <v>19.333333333333336</v>
      </c>
      <c r="N116" s="70"/>
    </row>
    <row r="117" spans="1:14">
      <c r="A117" s="70" t="s">
        <v>99</v>
      </c>
      <c r="B117" s="70"/>
      <c r="C117" s="70"/>
      <c r="D117" s="70">
        <v>1.590990257669727</v>
      </c>
      <c r="E117" s="70"/>
      <c r="F117" s="70"/>
      <c r="G117" s="70">
        <v>4.3130615576409248</v>
      </c>
      <c r="H117" s="70"/>
      <c r="I117" s="70"/>
      <c r="J117" s="70">
        <v>3.3234018715767841</v>
      </c>
      <c r="K117" s="70"/>
      <c r="L117" s="70"/>
      <c r="M117" s="70">
        <v>2.2156012477178559</v>
      </c>
      <c r="N117" s="70"/>
    </row>
    <row r="118" spans="1:14">
      <c r="A118" s="70" t="s">
        <v>41</v>
      </c>
      <c r="B118" s="70"/>
      <c r="C118" s="70"/>
      <c r="D118" s="70">
        <v>1.1249999999999964</v>
      </c>
      <c r="E118" s="70"/>
      <c r="F118" s="70"/>
      <c r="G118" s="70">
        <v>2.4901472513354146</v>
      </c>
      <c r="H118" s="70"/>
      <c r="I118" s="70"/>
      <c r="J118" s="70">
        <v>2.3500000000000076</v>
      </c>
      <c r="K118" s="70"/>
      <c r="L118" s="70"/>
      <c r="M118" s="70">
        <v>1.5666666666666715</v>
      </c>
      <c r="N118" s="70"/>
    </row>
    <row r="120" spans="1:14">
      <c r="A120" s="62" t="s">
        <v>72</v>
      </c>
      <c r="B120" s="63" t="s">
        <v>90</v>
      </c>
      <c r="C120" s="63" t="s">
        <v>87</v>
      </c>
      <c r="D120" s="64" t="s">
        <v>89</v>
      </c>
      <c r="E120" s="65" t="s">
        <v>91</v>
      </c>
      <c r="F120" s="63" t="s">
        <v>86</v>
      </c>
      <c r="G120" s="64" t="s">
        <v>88</v>
      </c>
      <c r="H120" s="65" t="s">
        <v>93</v>
      </c>
      <c r="I120" s="63" t="s">
        <v>94</v>
      </c>
      <c r="J120" s="64" t="s">
        <v>92</v>
      </c>
      <c r="K120" s="65" t="s">
        <v>95</v>
      </c>
      <c r="L120" s="63" t="s">
        <v>96</v>
      </c>
      <c r="M120" s="64" t="s">
        <v>97</v>
      </c>
      <c r="N120" s="66" t="s">
        <v>126</v>
      </c>
    </row>
    <row r="121" spans="1:14">
      <c r="A121" s="67">
        <v>1</v>
      </c>
      <c r="B121" s="68">
        <v>100.1</v>
      </c>
      <c r="C121" s="68">
        <v>26.3</v>
      </c>
      <c r="D121" s="67">
        <v>18.45</v>
      </c>
      <c r="E121" s="72">
        <v>148.80000000000001</v>
      </c>
      <c r="F121" s="72">
        <v>104.5</v>
      </c>
      <c r="G121" s="67">
        <v>22.150000000000006</v>
      </c>
      <c r="H121" s="68">
        <v>131.4</v>
      </c>
      <c r="I121" s="68">
        <v>74</v>
      </c>
      <c r="J121" s="67">
        <v>19.133333333333336</v>
      </c>
      <c r="K121" s="70">
        <v>163.9</v>
      </c>
      <c r="L121" s="70">
        <v>116.6</v>
      </c>
      <c r="M121" s="67">
        <v>15.766666666666671</v>
      </c>
      <c r="N121" s="70" t="s">
        <v>60</v>
      </c>
    </row>
    <row r="122" spans="1:14">
      <c r="A122" s="67">
        <v>2</v>
      </c>
      <c r="B122" s="68">
        <v>128.19999999999999</v>
      </c>
      <c r="C122" s="68">
        <v>94.9</v>
      </c>
      <c r="D122" s="67">
        <v>16.649999999999991</v>
      </c>
      <c r="E122" s="68">
        <v>164.1</v>
      </c>
      <c r="F122" s="68">
        <v>134.5</v>
      </c>
      <c r="G122" s="67">
        <v>14.799999999999997</v>
      </c>
      <c r="H122" s="68">
        <v>151.4</v>
      </c>
      <c r="I122" s="68">
        <v>116.6</v>
      </c>
      <c r="J122" s="67">
        <v>17.400000000000006</v>
      </c>
      <c r="K122" s="70">
        <v>78.599999999999994</v>
      </c>
      <c r="L122" s="70">
        <v>29.6</v>
      </c>
      <c r="M122" s="67">
        <v>16.333333333333332</v>
      </c>
      <c r="N122" s="73"/>
    </row>
    <row r="123" spans="1:14">
      <c r="A123" s="68">
        <v>3</v>
      </c>
      <c r="B123" s="68"/>
      <c r="C123" s="68"/>
      <c r="D123" s="68"/>
      <c r="E123" s="68">
        <v>143.1</v>
      </c>
      <c r="F123" s="68">
        <v>108.1</v>
      </c>
      <c r="G123" s="67">
        <v>17.5</v>
      </c>
      <c r="H123" s="68"/>
      <c r="I123" s="68"/>
      <c r="J123" s="68"/>
      <c r="K123" s="70"/>
      <c r="L123" s="70"/>
      <c r="M123" s="68"/>
      <c r="N123" s="70"/>
    </row>
    <row r="124" spans="1:14">
      <c r="A124" s="70" t="s">
        <v>98</v>
      </c>
      <c r="B124" s="70"/>
      <c r="C124" s="70"/>
      <c r="D124" s="70">
        <v>17.549999999999997</v>
      </c>
      <c r="E124" s="70"/>
      <c r="F124" s="70"/>
      <c r="G124" s="70">
        <v>18.150000000000002</v>
      </c>
      <c r="H124" s="70"/>
      <c r="I124" s="70"/>
      <c r="J124" s="70">
        <v>18.266666666666673</v>
      </c>
      <c r="K124" s="70"/>
      <c r="L124" s="70"/>
      <c r="M124" s="70">
        <v>16.05</v>
      </c>
      <c r="N124" s="70"/>
    </row>
    <row r="125" spans="1:14">
      <c r="A125" s="70" t="s">
        <v>99</v>
      </c>
      <c r="B125" s="70"/>
      <c r="C125" s="70"/>
      <c r="D125" s="70">
        <v>1.272792206135791</v>
      </c>
      <c r="E125" s="70"/>
      <c r="F125" s="70"/>
      <c r="G125" s="70">
        <v>3.717862289004267</v>
      </c>
      <c r="H125" s="70"/>
      <c r="I125" s="70"/>
      <c r="J125" s="70">
        <v>1.2256517540566805</v>
      </c>
      <c r="K125" s="70"/>
      <c r="L125" s="70"/>
      <c r="M125" s="70">
        <v>0.40069384267237301</v>
      </c>
      <c r="N125" s="70"/>
    </row>
    <row r="126" spans="1:14">
      <c r="A126" s="70" t="s">
        <v>41</v>
      </c>
      <c r="B126" s="70"/>
      <c r="C126" s="70"/>
      <c r="D126" s="70">
        <v>0.9000000000000038</v>
      </c>
      <c r="E126" s="70"/>
      <c r="F126" s="70"/>
      <c r="G126" s="70">
        <v>2.1465087933665719</v>
      </c>
      <c r="H126" s="70"/>
      <c r="I126" s="70"/>
      <c r="J126" s="70">
        <v>0.86666666666666525</v>
      </c>
      <c r="K126" s="70"/>
      <c r="L126" s="70"/>
      <c r="M126" s="70">
        <v>0.28333333333333055</v>
      </c>
      <c r="N126" s="70"/>
    </row>
    <row r="127" spans="1:14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</row>
    <row r="128" spans="1:14">
      <c r="A128" s="62" t="s">
        <v>73</v>
      </c>
      <c r="B128" s="63" t="s">
        <v>90</v>
      </c>
      <c r="C128" s="63" t="s">
        <v>87</v>
      </c>
      <c r="D128" s="64" t="s">
        <v>89</v>
      </c>
      <c r="E128" s="65" t="s">
        <v>91</v>
      </c>
      <c r="F128" s="63" t="s">
        <v>86</v>
      </c>
      <c r="G128" s="64" t="s">
        <v>88</v>
      </c>
      <c r="H128" s="65" t="s">
        <v>93</v>
      </c>
      <c r="I128" s="63" t="s">
        <v>94</v>
      </c>
      <c r="J128" s="64" t="s">
        <v>92</v>
      </c>
      <c r="K128" s="65" t="s">
        <v>95</v>
      </c>
      <c r="L128" s="63" t="s">
        <v>96</v>
      </c>
      <c r="M128" s="64" t="s">
        <v>97</v>
      </c>
      <c r="N128" s="66" t="s">
        <v>127</v>
      </c>
    </row>
    <row r="129" spans="1:14">
      <c r="A129" s="67">
        <v>1</v>
      </c>
      <c r="B129" s="68">
        <v>179.6</v>
      </c>
      <c r="C129" s="68">
        <v>103</v>
      </c>
      <c r="D129" s="67">
        <v>19.149999999999999</v>
      </c>
      <c r="E129" s="72">
        <v>104.5</v>
      </c>
      <c r="F129" s="72">
        <v>62.1</v>
      </c>
      <c r="G129" s="67">
        <v>21.2</v>
      </c>
      <c r="H129" s="68">
        <v>219</v>
      </c>
      <c r="I129" s="68">
        <v>164.1</v>
      </c>
      <c r="J129" s="67">
        <v>18.3</v>
      </c>
      <c r="K129" s="70">
        <v>116.6</v>
      </c>
      <c r="L129" s="70">
        <v>73.3</v>
      </c>
      <c r="M129" s="67">
        <v>14.433333333333332</v>
      </c>
      <c r="N129" s="70" t="s">
        <v>60</v>
      </c>
    </row>
    <row r="130" spans="1:14">
      <c r="A130" s="67">
        <v>2</v>
      </c>
      <c r="B130" s="68">
        <v>175.4</v>
      </c>
      <c r="C130" s="68">
        <v>135.4</v>
      </c>
      <c r="D130" s="67">
        <v>20</v>
      </c>
      <c r="E130" s="68">
        <v>134.5</v>
      </c>
      <c r="F130" s="68">
        <v>103.3</v>
      </c>
      <c r="G130" s="67">
        <v>15.600000000000001</v>
      </c>
      <c r="H130" s="68">
        <v>116.6</v>
      </c>
      <c r="I130" s="68">
        <v>112.1</v>
      </c>
      <c r="J130" s="67">
        <v>2.25</v>
      </c>
      <c r="K130" s="70">
        <v>211.5</v>
      </c>
      <c r="L130" s="70">
        <v>142.1</v>
      </c>
      <c r="M130" s="67">
        <v>23.133333333333336</v>
      </c>
      <c r="N130" s="70" t="s">
        <v>128</v>
      </c>
    </row>
    <row r="131" spans="1:14">
      <c r="A131" s="68">
        <v>3</v>
      </c>
      <c r="B131" s="68"/>
      <c r="C131" s="68"/>
      <c r="D131" s="68"/>
      <c r="E131" s="68">
        <v>108.1</v>
      </c>
      <c r="F131" s="68">
        <v>76.3</v>
      </c>
      <c r="G131" s="67">
        <v>15.899999999999999</v>
      </c>
      <c r="H131" s="68"/>
      <c r="I131" s="68"/>
      <c r="J131" s="68"/>
      <c r="K131" s="70"/>
      <c r="L131" s="70"/>
      <c r="M131" s="68"/>
      <c r="N131" s="70"/>
    </row>
    <row r="132" spans="1:14">
      <c r="A132" s="70" t="s">
        <v>98</v>
      </c>
      <c r="B132" s="70"/>
      <c r="C132" s="70"/>
      <c r="D132" s="70">
        <v>19.574999999999999</v>
      </c>
      <c r="E132" s="70"/>
      <c r="F132" s="70"/>
      <c r="G132" s="70">
        <v>17.566666666666666</v>
      </c>
      <c r="H132" s="70"/>
      <c r="I132" s="70"/>
      <c r="J132" s="70">
        <v>10.275</v>
      </c>
      <c r="K132" s="70"/>
      <c r="L132" s="70"/>
      <c r="M132" s="70">
        <v>18.783333333333335</v>
      </c>
      <c r="N132" s="70"/>
    </row>
    <row r="133" spans="1:14">
      <c r="A133" s="70" t="s">
        <v>99</v>
      </c>
      <c r="B133" s="70"/>
      <c r="C133" s="70"/>
      <c r="D133" s="70">
        <v>0.60104076400856643</v>
      </c>
      <c r="E133" s="70"/>
      <c r="F133" s="70"/>
      <c r="G133" s="70">
        <v>3.150132272355147</v>
      </c>
      <c r="H133" s="70"/>
      <c r="I133" s="70"/>
      <c r="J133" s="70">
        <v>11.34906383804409</v>
      </c>
      <c r="K133" s="70"/>
      <c r="L133" s="70"/>
      <c r="M133" s="70">
        <v>6.1518289963229655</v>
      </c>
      <c r="N133" s="70"/>
    </row>
    <row r="134" spans="1:14">
      <c r="A134" s="70" t="s">
        <v>41</v>
      </c>
      <c r="B134" s="70"/>
      <c r="C134" s="70"/>
      <c r="D134" s="70">
        <v>0.42500000000000071</v>
      </c>
      <c r="E134" s="70"/>
      <c r="F134" s="70"/>
      <c r="G134" s="70">
        <v>1.8187297154271718</v>
      </c>
      <c r="H134" s="70"/>
      <c r="I134" s="70"/>
      <c r="J134" s="70">
        <v>8.0250000000000004</v>
      </c>
      <c r="K134" s="70"/>
      <c r="L134" s="70"/>
      <c r="M134" s="70">
        <v>4.3500000000000014</v>
      </c>
      <c r="N134" s="70"/>
    </row>
    <row r="135" spans="1:14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</row>
    <row r="136" spans="1:14">
      <c r="A136" s="62" t="s">
        <v>74</v>
      </c>
      <c r="B136" s="63" t="s">
        <v>90</v>
      </c>
      <c r="C136" s="63" t="s">
        <v>87</v>
      </c>
      <c r="D136" s="64" t="s">
        <v>89</v>
      </c>
      <c r="E136" s="65" t="s">
        <v>91</v>
      </c>
      <c r="F136" s="63" t="s">
        <v>86</v>
      </c>
      <c r="G136" s="64" t="s">
        <v>88</v>
      </c>
      <c r="H136" s="65" t="s">
        <v>93</v>
      </c>
      <c r="I136" s="63" t="s">
        <v>94</v>
      </c>
      <c r="J136" s="64" t="s">
        <v>92</v>
      </c>
      <c r="K136" s="65" t="s">
        <v>95</v>
      </c>
      <c r="L136" s="63" t="s">
        <v>96</v>
      </c>
      <c r="M136" s="64" t="s">
        <v>97</v>
      </c>
      <c r="N136" s="66" t="s">
        <v>129</v>
      </c>
    </row>
    <row r="137" spans="1:14">
      <c r="A137" s="67">
        <v>1</v>
      </c>
      <c r="B137" s="68">
        <v>222.9</v>
      </c>
      <c r="C137" s="68">
        <v>137.4</v>
      </c>
      <c r="D137" s="67">
        <v>21.375</v>
      </c>
      <c r="E137" s="72">
        <v>232.4</v>
      </c>
      <c r="F137" s="72">
        <v>181.3</v>
      </c>
      <c r="G137" s="67">
        <v>25.549999999999997</v>
      </c>
      <c r="H137" s="68">
        <v>164.1</v>
      </c>
      <c r="I137" s="68">
        <v>105.6</v>
      </c>
      <c r="J137" s="67">
        <v>19.5</v>
      </c>
      <c r="K137" s="70">
        <v>203.4</v>
      </c>
      <c r="L137" s="70">
        <v>150.9</v>
      </c>
      <c r="M137" s="67">
        <v>17.5</v>
      </c>
      <c r="N137" s="70" t="s">
        <v>60</v>
      </c>
    </row>
    <row r="138" spans="1:14">
      <c r="A138" s="67">
        <v>2</v>
      </c>
      <c r="B138" s="68">
        <v>135.4</v>
      </c>
      <c r="C138" s="68">
        <v>95.8</v>
      </c>
      <c r="D138" s="67">
        <v>19.800000000000004</v>
      </c>
      <c r="E138" s="68">
        <v>201.5</v>
      </c>
      <c r="F138" s="68">
        <v>163.19999999999999</v>
      </c>
      <c r="G138" s="67">
        <v>19.150000000000006</v>
      </c>
      <c r="H138" s="68">
        <v>221.1</v>
      </c>
      <c r="I138" s="68">
        <v>178.3</v>
      </c>
      <c r="J138" s="67">
        <v>21.399999999999991</v>
      </c>
      <c r="K138" s="70">
        <v>142.1</v>
      </c>
      <c r="L138" s="70">
        <v>91.5</v>
      </c>
      <c r="M138" s="67">
        <v>16.866666666666664</v>
      </c>
      <c r="N138" s="70"/>
    </row>
    <row r="139" spans="1:14">
      <c r="A139" s="68">
        <v>3</v>
      </c>
      <c r="B139" s="68"/>
      <c r="C139" s="68"/>
      <c r="D139" s="68"/>
      <c r="E139" s="68">
        <v>175.6</v>
      </c>
      <c r="F139" s="68">
        <v>130.80000000000001</v>
      </c>
      <c r="G139" s="67">
        <v>22.399999999999991</v>
      </c>
      <c r="H139" s="68"/>
      <c r="I139" s="68"/>
      <c r="J139" s="68"/>
      <c r="K139" s="70"/>
      <c r="L139" s="70"/>
      <c r="M139" s="68"/>
      <c r="N139" s="70"/>
    </row>
    <row r="140" spans="1:14">
      <c r="A140" s="70" t="s">
        <v>98</v>
      </c>
      <c r="B140" s="70"/>
      <c r="C140" s="70"/>
      <c r="D140" s="70">
        <v>20.587500000000002</v>
      </c>
      <c r="E140" s="70"/>
      <c r="F140" s="70"/>
      <c r="G140" s="70">
        <v>22.366666666666664</v>
      </c>
      <c r="H140" s="70"/>
      <c r="I140" s="70"/>
      <c r="J140" s="70">
        <v>20.449999999999996</v>
      </c>
      <c r="K140" s="70"/>
      <c r="L140" s="70"/>
      <c r="M140" s="70">
        <v>17.18333333333333</v>
      </c>
      <c r="N140" s="70"/>
    </row>
    <row r="141" spans="1:14">
      <c r="A141" s="70" t="s">
        <v>99</v>
      </c>
      <c r="B141" s="70"/>
      <c r="C141" s="70"/>
      <c r="D141" s="70">
        <v>1.1136931803688093</v>
      </c>
      <c r="E141" s="70"/>
      <c r="F141" s="70"/>
      <c r="G141" s="70">
        <v>3.2001302056843381</v>
      </c>
      <c r="H141" s="70"/>
      <c r="I141" s="70"/>
      <c r="J141" s="70">
        <v>1.3435028842544343</v>
      </c>
      <c r="K141" s="70"/>
      <c r="L141" s="70"/>
      <c r="M141" s="70">
        <v>0.44783429475148229</v>
      </c>
      <c r="N141" s="70"/>
    </row>
    <row r="142" spans="1:14">
      <c r="A142" s="70" t="s">
        <v>41</v>
      </c>
      <c r="B142" s="70"/>
      <c r="C142" s="70"/>
      <c r="D142" s="70">
        <v>0.78749999999999776</v>
      </c>
      <c r="E142" s="70"/>
      <c r="F142" s="70"/>
      <c r="G142" s="70">
        <v>1.8475960356937051</v>
      </c>
      <c r="H142" s="70"/>
      <c r="I142" s="70"/>
      <c r="J142" s="70">
        <v>0.94999999999999574</v>
      </c>
      <c r="K142" s="70"/>
      <c r="L142" s="70"/>
      <c r="M142" s="70">
        <v>0.31666666666666821</v>
      </c>
      <c r="N142" s="70"/>
    </row>
    <row r="144" spans="1:14">
      <c r="A144" s="62" t="s">
        <v>75</v>
      </c>
      <c r="B144" s="63" t="s">
        <v>90</v>
      </c>
      <c r="C144" s="63" t="s">
        <v>87</v>
      </c>
      <c r="D144" s="64" t="s">
        <v>89</v>
      </c>
      <c r="E144" s="65" t="s">
        <v>91</v>
      </c>
      <c r="F144" s="63" t="s">
        <v>86</v>
      </c>
      <c r="G144" s="64" t="s">
        <v>88</v>
      </c>
      <c r="H144" s="65" t="s">
        <v>93</v>
      </c>
      <c r="I144" s="63" t="s">
        <v>94</v>
      </c>
      <c r="J144" s="64" t="s">
        <v>92</v>
      </c>
      <c r="K144" s="65" t="s">
        <v>95</v>
      </c>
      <c r="L144" s="63" t="s">
        <v>96</v>
      </c>
      <c r="M144" s="64" t="s">
        <v>97</v>
      </c>
      <c r="N144" s="66" t="s">
        <v>130</v>
      </c>
    </row>
    <row r="145" spans="1:14">
      <c r="A145" s="67">
        <v>1</v>
      </c>
      <c r="B145" s="68">
        <v>137.4</v>
      </c>
      <c r="C145" s="68">
        <v>57.1</v>
      </c>
      <c r="D145" s="67">
        <v>20.075000000000003</v>
      </c>
      <c r="E145" s="72">
        <v>181.3</v>
      </c>
      <c r="F145" s="72">
        <v>148.30000000000001</v>
      </c>
      <c r="G145" s="67">
        <v>16.5</v>
      </c>
      <c r="H145" s="68">
        <v>105.6</v>
      </c>
      <c r="I145" s="68">
        <v>49.9</v>
      </c>
      <c r="J145" s="67">
        <v>18.566666666666666</v>
      </c>
      <c r="K145" s="70">
        <v>150.9</v>
      </c>
      <c r="L145" s="70">
        <v>108</v>
      </c>
      <c r="M145" s="67">
        <v>14.300000000000002</v>
      </c>
      <c r="N145" s="70" t="s">
        <v>60</v>
      </c>
    </row>
    <row r="146" spans="1:14">
      <c r="A146" s="67">
        <v>2</v>
      </c>
      <c r="B146" s="68">
        <v>95.8</v>
      </c>
      <c r="C146" s="68">
        <v>54.5</v>
      </c>
      <c r="D146" s="67">
        <v>20.65</v>
      </c>
      <c r="E146" s="68">
        <v>163.19999999999999</v>
      </c>
      <c r="F146" s="68">
        <v>129.30000000000001</v>
      </c>
      <c r="G146" s="67">
        <v>16.949999999999989</v>
      </c>
      <c r="H146" s="68">
        <v>178.3</v>
      </c>
      <c r="I146" s="68">
        <v>134.9</v>
      </c>
      <c r="J146" s="67">
        <v>21.700000000000003</v>
      </c>
      <c r="K146" s="70">
        <v>91.5</v>
      </c>
      <c r="L146" s="70">
        <v>49.4</v>
      </c>
      <c r="M146" s="67">
        <v>14.033333333333333</v>
      </c>
      <c r="N146" s="70"/>
    </row>
    <row r="147" spans="1:14">
      <c r="A147" s="68">
        <v>3</v>
      </c>
      <c r="B147" s="68"/>
      <c r="C147" s="68"/>
      <c r="D147" s="68"/>
      <c r="E147" s="68">
        <v>130.80000000000001</v>
      </c>
      <c r="F147" s="68">
        <v>95.8</v>
      </c>
      <c r="G147" s="67">
        <v>17.500000000000007</v>
      </c>
      <c r="H147" s="68"/>
      <c r="I147" s="68"/>
      <c r="J147" s="68"/>
      <c r="K147" s="70"/>
      <c r="L147" s="70"/>
      <c r="M147" s="68"/>
      <c r="N147" s="70"/>
    </row>
    <row r="148" spans="1:14">
      <c r="A148" s="70" t="s">
        <v>98</v>
      </c>
      <c r="B148" s="70"/>
      <c r="C148" s="70"/>
      <c r="D148" s="70">
        <v>20.362500000000001</v>
      </c>
      <c r="E148" s="70"/>
      <c r="F148" s="70"/>
      <c r="G148" s="70">
        <v>16.983333333333331</v>
      </c>
      <c r="H148" s="70"/>
      <c r="I148" s="70"/>
      <c r="J148" s="70">
        <v>20.133333333333333</v>
      </c>
      <c r="K148" s="70"/>
      <c r="L148" s="70"/>
      <c r="M148" s="70">
        <v>14.166666666666668</v>
      </c>
      <c r="N148" s="70"/>
    </row>
    <row r="149" spans="1:14">
      <c r="A149" s="70" t="s">
        <v>99</v>
      </c>
      <c r="B149" s="70"/>
      <c r="C149" s="70"/>
      <c r="D149" s="70">
        <v>0.4065863991822618</v>
      </c>
      <c r="E149" s="70"/>
      <c r="F149" s="70"/>
      <c r="G149" s="70">
        <v>0.50083264004389472</v>
      </c>
      <c r="H149" s="70"/>
      <c r="I149" s="70"/>
      <c r="J149" s="70">
        <v>2.2156012477178511</v>
      </c>
      <c r="K149" s="70"/>
      <c r="L149" s="70"/>
      <c r="M149" s="70">
        <v>0.1885618083164145</v>
      </c>
      <c r="N149" s="70"/>
    </row>
    <row r="150" spans="1:14">
      <c r="A150" s="70" t="s">
        <v>41</v>
      </c>
      <c r="B150" s="70"/>
      <c r="C150" s="70"/>
      <c r="D150" s="70">
        <v>0.28749999999999787</v>
      </c>
      <c r="E150" s="70"/>
      <c r="F150" s="70"/>
      <c r="G150" s="70">
        <v>0.28915585954829359</v>
      </c>
      <c r="H150" s="70"/>
      <c r="I150" s="70"/>
      <c r="J150" s="70">
        <v>1.566666666666668</v>
      </c>
      <c r="K150" s="70"/>
      <c r="L150" s="70"/>
      <c r="M150" s="70">
        <v>0.13333333333333461</v>
      </c>
      <c r="N150" s="70"/>
    </row>
    <row r="152" spans="1:14">
      <c r="A152" s="62" t="s">
        <v>76</v>
      </c>
      <c r="B152" s="63" t="s">
        <v>90</v>
      </c>
      <c r="C152" s="63" t="s">
        <v>87</v>
      </c>
      <c r="D152" s="64" t="s">
        <v>89</v>
      </c>
      <c r="E152" s="65" t="s">
        <v>91</v>
      </c>
      <c r="F152" s="63" t="s">
        <v>86</v>
      </c>
      <c r="G152" s="64" t="s">
        <v>88</v>
      </c>
      <c r="H152" s="65" t="s">
        <v>93</v>
      </c>
      <c r="I152" s="63" t="s">
        <v>94</v>
      </c>
      <c r="J152" s="64" t="s">
        <v>92</v>
      </c>
      <c r="K152" s="65" t="s">
        <v>95</v>
      </c>
      <c r="L152" s="63" t="s">
        <v>96</v>
      </c>
      <c r="M152" s="64" t="s">
        <v>97</v>
      </c>
      <c r="N152" s="66" t="s">
        <v>131</v>
      </c>
    </row>
    <row r="153" spans="1:14">
      <c r="A153" s="67">
        <v>1</v>
      </c>
      <c r="B153" s="68">
        <v>153.1</v>
      </c>
      <c r="C153" s="68">
        <v>89.2</v>
      </c>
      <c r="D153" s="67">
        <v>21.299999999999997</v>
      </c>
      <c r="E153" s="72">
        <v>148.30000000000001</v>
      </c>
      <c r="F153" s="72">
        <v>105.4</v>
      </c>
      <c r="G153" s="67">
        <v>21.450000000000003</v>
      </c>
      <c r="H153" s="68">
        <v>192.1</v>
      </c>
      <c r="I153" s="68">
        <v>147.6</v>
      </c>
      <c r="J153" s="67">
        <v>22.25</v>
      </c>
      <c r="K153" s="70">
        <v>192.1</v>
      </c>
      <c r="L153" s="70">
        <v>154.69999999999999</v>
      </c>
      <c r="M153" s="67">
        <v>18.700000000000003</v>
      </c>
      <c r="N153" s="70" t="s">
        <v>60</v>
      </c>
    </row>
    <row r="154" spans="1:14">
      <c r="A154" s="67">
        <v>2</v>
      </c>
      <c r="B154" s="68">
        <v>163.80000000000001</v>
      </c>
      <c r="C154" s="68">
        <v>109.9</v>
      </c>
      <c r="D154" s="67">
        <v>26.950000000000003</v>
      </c>
      <c r="E154" s="68">
        <v>129.30000000000001</v>
      </c>
      <c r="F154" s="68">
        <v>92</v>
      </c>
      <c r="G154" s="67">
        <v>18.650000000000006</v>
      </c>
      <c r="H154" s="68">
        <v>134.9</v>
      </c>
      <c r="I154" s="68">
        <v>92.1</v>
      </c>
      <c r="J154" s="67">
        <v>21.400000000000006</v>
      </c>
      <c r="K154" s="70">
        <v>200</v>
      </c>
      <c r="L154" s="70">
        <v>152</v>
      </c>
      <c r="M154" s="67">
        <v>16</v>
      </c>
      <c r="N154" s="70"/>
    </row>
    <row r="155" spans="1:14">
      <c r="A155" s="68">
        <v>3</v>
      </c>
      <c r="B155" s="68"/>
      <c r="C155" s="68"/>
      <c r="D155" s="68"/>
      <c r="E155" s="68">
        <v>181.2</v>
      </c>
      <c r="F155" s="68">
        <v>147.80000000000001</v>
      </c>
      <c r="G155" s="67">
        <v>33.399999999999977</v>
      </c>
      <c r="H155" s="68"/>
      <c r="I155" s="68"/>
      <c r="J155" s="68"/>
      <c r="K155" s="70"/>
      <c r="L155" s="70"/>
      <c r="M155" s="68"/>
      <c r="N155" s="70"/>
    </row>
    <row r="156" spans="1:14">
      <c r="A156" s="70" t="s">
        <v>98</v>
      </c>
      <c r="B156" s="70"/>
      <c r="C156" s="70"/>
      <c r="D156" s="70">
        <v>24.125</v>
      </c>
      <c r="E156" s="70"/>
      <c r="F156" s="70"/>
      <c r="G156" s="70">
        <v>24.499999999999996</v>
      </c>
      <c r="H156" s="70"/>
      <c r="I156" s="70"/>
      <c r="J156" s="70">
        <v>21.825000000000003</v>
      </c>
      <c r="K156" s="70"/>
      <c r="L156" s="70"/>
      <c r="M156" s="70">
        <v>17.350000000000001</v>
      </c>
      <c r="N156" s="70"/>
    </row>
    <row r="157" spans="1:14">
      <c r="A157" s="70" t="s">
        <v>99</v>
      </c>
      <c r="B157" s="70"/>
      <c r="C157" s="70"/>
      <c r="D157" s="70">
        <v>3.9951533137040016</v>
      </c>
      <c r="E157" s="70"/>
      <c r="F157" s="70"/>
      <c r="G157" s="70">
        <v>7.8337411241372941</v>
      </c>
      <c r="H157" s="70"/>
      <c r="I157" s="70"/>
      <c r="J157" s="70">
        <v>0.60104076400856143</v>
      </c>
      <c r="K157" s="70"/>
      <c r="L157" s="70"/>
      <c r="M157" s="70">
        <v>1.9091883092036803</v>
      </c>
      <c r="N157" s="70"/>
    </row>
    <row r="158" spans="1:14">
      <c r="A158" s="70" t="s">
        <v>41</v>
      </c>
      <c r="B158" s="70"/>
      <c r="C158" s="70"/>
      <c r="D158" s="70">
        <v>2.8250000000000055</v>
      </c>
      <c r="E158" s="70"/>
      <c r="F158" s="70"/>
      <c r="G158" s="70">
        <v>4.5228125467825082</v>
      </c>
      <c r="H158" s="70"/>
      <c r="I158" s="70"/>
      <c r="J158" s="70">
        <v>0.42499999999999716</v>
      </c>
      <c r="K158" s="70"/>
      <c r="L158" s="70"/>
      <c r="M158" s="70">
        <v>1.3500000000000014</v>
      </c>
      <c r="N158" s="70"/>
    </row>
    <row r="160" spans="1:14">
      <c r="A160" s="62" t="s">
        <v>77</v>
      </c>
      <c r="B160" s="63" t="s">
        <v>90</v>
      </c>
      <c r="C160" s="63" t="s">
        <v>87</v>
      </c>
      <c r="D160" s="64" t="s">
        <v>89</v>
      </c>
      <c r="E160" s="65" t="s">
        <v>91</v>
      </c>
      <c r="F160" s="63" t="s">
        <v>86</v>
      </c>
      <c r="G160" s="64" t="s">
        <v>88</v>
      </c>
      <c r="H160" s="65" t="s">
        <v>93</v>
      </c>
      <c r="I160" s="63" t="s">
        <v>94</v>
      </c>
      <c r="J160" s="64" t="s">
        <v>92</v>
      </c>
      <c r="K160" s="65" t="s">
        <v>95</v>
      </c>
      <c r="L160" s="63" t="s">
        <v>96</v>
      </c>
      <c r="M160" s="64" t="s">
        <v>97</v>
      </c>
      <c r="N160" s="66" t="s">
        <v>133</v>
      </c>
    </row>
    <row r="161" spans="1:14">
      <c r="A161" s="67">
        <v>1</v>
      </c>
      <c r="B161" s="68">
        <v>181.8</v>
      </c>
      <c r="C161" s="68">
        <v>88.1</v>
      </c>
      <c r="D161" s="67">
        <v>31.233333333333338</v>
      </c>
      <c r="E161" s="72">
        <v>105.4</v>
      </c>
      <c r="F161" s="72">
        <v>41.7</v>
      </c>
      <c r="G161" s="67">
        <v>31.85</v>
      </c>
      <c r="H161" s="68">
        <v>147.6</v>
      </c>
      <c r="I161" s="68">
        <v>83.6</v>
      </c>
      <c r="J161" s="67">
        <v>32</v>
      </c>
      <c r="K161" s="70">
        <v>154.69999999999999</v>
      </c>
      <c r="L161" s="70">
        <v>124</v>
      </c>
      <c r="M161" s="67">
        <v>30.699999999999989</v>
      </c>
      <c r="N161" s="70" t="s">
        <v>58</v>
      </c>
    </row>
    <row r="162" spans="1:14">
      <c r="A162" s="67">
        <v>2</v>
      </c>
      <c r="B162" s="68">
        <v>109.9</v>
      </c>
      <c r="C162" s="68">
        <v>37.200000000000003</v>
      </c>
      <c r="D162" s="67">
        <v>36.35</v>
      </c>
      <c r="E162" s="68">
        <v>148.69999999999999</v>
      </c>
      <c r="F162" s="68">
        <v>97</v>
      </c>
      <c r="G162" s="67">
        <v>25.849999999999994</v>
      </c>
      <c r="H162" s="68">
        <v>178.8</v>
      </c>
      <c r="I162" s="68">
        <v>116.4</v>
      </c>
      <c r="J162" s="67">
        <v>31.200000000000003</v>
      </c>
      <c r="K162" s="70">
        <v>152</v>
      </c>
      <c r="L162" s="70">
        <v>90.3</v>
      </c>
      <c r="M162" s="67">
        <v>20.566666666666666</v>
      </c>
      <c r="N162" s="70"/>
    </row>
    <row r="163" spans="1:14">
      <c r="A163" s="68">
        <v>3</v>
      </c>
      <c r="B163" s="68"/>
      <c r="C163" s="68"/>
      <c r="D163" s="68"/>
      <c r="E163" s="68">
        <v>147.80000000000001</v>
      </c>
      <c r="F163" s="68">
        <v>115.3</v>
      </c>
      <c r="G163" s="67">
        <v>32.500000000000014</v>
      </c>
      <c r="H163" s="68"/>
      <c r="I163" s="68"/>
      <c r="J163" s="68"/>
      <c r="K163" s="70"/>
      <c r="L163" s="70"/>
      <c r="M163" s="68"/>
      <c r="N163" s="70"/>
    </row>
    <row r="164" spans="1:14">
      <c r="A164" s="70" t="s">
        <v>98</v>
      </c>
      <c r="B164" s="70"/>
      <c r="C164" s="70"/>
      <c r="D164" s="70">
        <v>33.791666666666671</v>
      </c>
      <c r="E164" s="70"/>
      <c r="F164" s="70"/>
      <c r="G164" s="70">
        <v>30.066666666666674</v>
      </c>
      <c r="H164" s="70"/>
      <c r="I164" s="70"/>
      <c r="J164" s="70">
        <v>31.6</v>
      </c>
      <c r="K164" s="70"/>
      <c r="L164" s="70"/>
      <c r="M164" s="70">
        <v>25.633333333333326</v>
      </c>
      <c r="N164" s="70"/>
    </row>
    <row r="165" spans="1:14">
      <c r="A165" s="70" t="s">
        <v>99</v>
      </c>
      <c r="B165" s="70"/>
      <c r="C165" s="70"/>
      <c r="D165" s="70">
        <v>3.6180296970711661</v>
      </c>
      <c r="E165" s="70"/>
      <c r="F165" s="70"/>
      <c r="G165" s="70">
        <v>3.6661742093541321</v>
      </c>
      <c r="H165" s="70"/>
      <c r="I165" s="70"/>
      <c r="J165" s="70">
        <v>0.56568542494923602</v>
      </c>
      <c r="K165" s="70"/>
      <c r="L165" s="70"/>
      <c r="M165" s="70">
        <v>7.1653487160237024</v>
      </c>
      <c r="N165" s="70"/>
    </row>
    <row r="166" spans="1:14">
      <c r="A166" s="70" t="s">
        <v>41</v>
      </c>
      <c r="B166" s="70"/>
      <c r="C166" s="70"/>
      <c r="D166" s="70">
        <v>2.5583333333333318</v>
      </c>
      <c r="E166" s="70"/>
      <c r="F166" s="70"/>
      <c r="G166" s="70">
        <v>2.1166666666666716</v>
      </c>
      <c r="H166" s="70"/>
      <c r="I166" s="70"/>
      <c r="J166" s="70">
        <v>0.39999999999999858</v>
      </c>
      <c r="K166" s="70"/>
      <c r="L166" s="70"/>
      <c r="M166" s="70">
        <v>5.0666666666666806</v>
      </c>
      <c r="N166" s="70"/>
    </row>
    <row r="168" spans="1:14">
      <c r="A168" s="62" t="s">
        <v>78</v>
      </c>
      <c r="B168" s="63" t="s">
        <v>90</v>
      </c>
      <c r="C168" s="63" t="s">
        <v>87</v>
      </c>
      <c r="D168" s="64" t="s">
        <v>89</v>
      </c>
      <c r="E168" s="65" t="s">
        <v>91</v>
      </c>
      <c r="F168" s="63" t="s">
        <v>86</v>
      </c>
      <c r="G168" s="64" t="s">
        <v>88</v>
      </c>
      <c r="H168" s="65" t="s">
        <v>93</v>
      </c>
      <c r="I168" s="63" t="s">
        <v>94</v>
      </c>
      <c r="J168" s="64" t="s">
        <v>92</v>
      </c>
      <c r="K168" s="65" t="s">
        <v>95</v>
      </c>
      <c r="L168" s="63" t="s">
        <v>96</v>
      </c>
      <c r="M168" s="64" t="s">
        <v>97</v>
      </c>
      <c r="N168" s="66" t="s">
        <v>134</v>
      </c>
    </row>
    <row r="169" spans="1:14">
      <c r="A169" s="67">
        <v>1</v>
      </c>
      <c r="B169" s="68">
        <v>155.4</v>
      </c>
      <c r="C169" s="68">
        <v>104.6</v>
      </c>
      <c r="D169" s="67">
        <v>16.933333333333337</v>
      </c>
      <c r="E169" s="72">
        <v>125.7</v>
      </c>
      <c r="F169" s="72">
        <v>92.9</v>
      </c>
      <c r="G169" s="67">
        <v>16.399999999999999</v>
      </c>
      <c r="H169" s="68">
        <v>162</v>
      </c>
      <c r="I169" s="68">
        <v>127.2</v>
      </c>
      <c r="J169" s="67">
        <v>17.399999999999999</v>
      </c>
      <c r="K169" s="70">
        <v>124</v>
      </c>
      <c r="L169" s="70">
        <v>108.6</v>
      </c>
      <c r="M169" s="67">
        <v>15.400000000000006</v>
      </c>
      <c r="N169" s="70" t="s">
        <v>70</v>
      </c>
    </row>
    <row r="170" spans="1:14">
      <c r="A170" s="67">
        <v>2</v>
      </c>
      <c r="B170" s="68">
        <v>173.6</v>
      </c>
      <c r="C170" s="68">
        <v>140.69999999999999</v>
      </c>
      <c r="D170" s="67">
        <v>16.450000000000003</v>
      </c>
      <c r="E170" s="68">
        <v>174.5</v>
      </c>
      <c r="F170" s="68">
        <v>141.6</v>
      </c>
      <c r="G170" s="67">
        <v>16.450000000000003</v>
      </c>
      <c r="H170" s="68">
        <v>186.7</v>
      </c>
      <c r="I170" s="68">
        <v>154</v>
      </c>
      <c r="J170" s="67">
        <v>16.349999999999994</v>
      </c>
      <c r="K170" s="70">
        <v>174.4</v>
      </c>
      <c r="L170" s="70">
        <v>132.1</v>
      </c>
      <c r="M170" s="67">
        <v>14.100000000000003</v>
      </c>
      <c r="N170" s="70"/>
    </row>
    <row r="171" spans="1:14">
      <c r="A171" s="68">
        <v>3</v>
      </c>
      <c r="B171" s="68"/>
      <c r="C171" s="68"/>
      <c r="D171" s="68"/>
      <c r="E171" s="68">
        <v>115.3</v>
      </c>
      <c r="F171" s="68">
        <v>93.9</v>
      </c>
      <c r="G171" s="67">
        <v>21.399999999999991</v>
      </c>
      <c r="H171" s="68"/>
      <c r="I171" s="68"/>
      <c r="J171" s="68"/>
      <c r="K171" s="70"/>
      <c r="L171" s="70"/>
      <c r="M171" s="68"/>
      <c r="N171" s="70"/>
    </row>
    <row r="172" spans="1:14">
      <c r="A172" s="70" t="s">
        <v>98</v>
      </c>
      <c r="B172" s="70"/>
      <c r="C172" s="70"/>
      <c r="D172" s="70">
        <v>16.69166666666667</v>
      </c>
      <c r="E172" s="70"/>
      <c r="F172" s="70"/>
      <c r="G172" s="70">
        <v>18.083333333333332</v>
      </c>
      <c r="H172" s="70"/>
      <c r="I172" s="70"/>
      <c r="J172" s="70">
        <v>16.874999999999996</v>
      </c>
      <c r="K172" s="70"/>
      <c r="L172" s="70"/>
      <c r="M172" s="70">
        <v>14.750000000000004</v>
      </c>
      <c r="N172" s="70"/>
    </row>
    <row r="173" spans="1:14">
      <c r="A173" s="70" t="s">
        <v>99</v>
      </c>
      <c r="B173" s="70"/>
      <c r="C173" s="70"/>
      <c r="D173" s="70">
        <v>0.34176827757349865</v>
      </c>
      <c r="E173" s="70"/>
      <c r="F173" s="70"/>
      <c r="G173" s="70">
        <v>2.8724263843192355</v>
      </c>
      <c r="H173" s="70"/>
      <c r="I173" s="70"/>
      <c r="J173" s="70">
        <v>0.74246212024587788</v>
      </c>
      <c r="K173" s="70"/>
      <c r="L173" s="70"/>
      <c r="M173" s="70">
        <v>0.91923881554251363</v>
      </c>
      <c r="N173" s="70"/>
    </row>
    <row r="174" spans="1:14">
      <c r="A174" s="70" t="s">
        <v>41</v>
      </c>
      <c r="B174" s="70"/>
      <c r="C174" s="70"/>
      <c r="D174" s="70">
        <v>0.24166666666666714</v>
      </c>
      <c r="E174" s="70"/>
      <c r="F174" s="70"/>
      <c r="G174" s="70">
        <v>1.6583961462140941</v>
      </c>
      <c r="H174" s="70"/>
      <c r="I174" s="70"/>
      <c r="J174" s="70">
        <v>0.52500000000000202</v>
      </c>
      <c r="K174" s="70"/>
      <c r="L174" s="70"/>
      <c r="M174" s="70">
        <v>0.65000000000000124</v>
      </c>
      <c r="N174" s="70"/>
    </row>
    <row r="176" spans="1:14">
      <c r="A176" s="62" t="s">
        <v>80</v>
      </c>
      <c r="B176" s="63" t="s">
        <v>90</v>
      </c>
      <c r="C176" s="63" t="s">
        <v>87</v>
      </c>
      <c r="D176" s="64" t="s">
        <v>89</v>
      </c>
      <c r="E176" s="65" t="s">
        <v>91</v>
      </c>
      <c r="F176" s="63" t="s">
        <v>86</v>
      </c>
      <c r="G176" s="64" t="s">
        <v>88</v>
      </c>
      <c r="H176" s="65" t="s">
        <v>93</v>
      </c>
      <c r="I176" s="63" t="s">
        <v>94</v>
      </c>
      <c r="J176" s="64" t="s">
        <v>92</v>
      </c>
      <c r="K176" s="65" t="s">
        <v>95</v>
      </c>
      <c r="L176" s="63" t="s">
        <v>96</v>
      </c>
      <c r="M176" s="64" t="s">
        <v>97</v>
      </c>
      <c r="N176" s="66" t="s">
        <v>135</v>
      </c>
    </row>
    <row r="177" spans="1:14">
      <c r="A177" s="67">
        <v>1</v>
      </c>
      <c r="B177" s="68">
        <v>104.6</v>
      </c>
      <c r="C177" s="68">
        <v>52</v>
      </c>
      <c r="D177" s="67">
        <v>17.533333333333331</v>
      </c>
      <c r="E177" s="72">
        <v>92.9</v>
      </c>
      <c r="F177" s="72">
        <v>57.5</v>
      </c>
      <c r="G177" s="67">
        <v>17.700000000000003</v>
      </c>
      <c r="H177" s="68">
        <v>127.2</v>
      </c>
      <c r="I177" s="68">
        <v>89.8</v>
      </c>
      <c r="J177" s="67">
        <v>18.700000000000003</v>
      </c>
      <c r="K177" s="70">
        <v>108.6</v>
      </c>
      <c r="L177" s="70">
        <v>93.4</v>
      </c>
      <c r="M177" s="67">
        <v>15.199999999999989</v>
      </c>
      <c r="N177" s="70" t="s">
        <v>70</v>
      </c>
    </row>
    <row r="178" spans="1:14">
      <c r="A178" s="67">
        <v>2</v>
      </c>
      <c r="B178" s="68">
        <v>140.69999999999999</v>
      </c>
      <c r="C178" s="68">
        <v>105.7</v>
      </c>
      <c r="D178" s="67">
        <v>17.499999999999993</v>
      </c>
      <c r="E178" s="68">
        <v>141.6</v>
      </c>
      <c r="F178" s="68">
        <v>107.8</v>
      </c>
      <c r="G178" s="67">
        <v>16.899999999999999</v>
      </c>
      <c r="H178" s="68">
        <v>154</v>
      </c>
      <c r="I178" s="68">
        <v>119.9</v>
      </c>
      <c r="J178" s="67">
        <v>17.049999999999997</v>
      </c>
      <c r="K178" s="70">
        <v>132.1</v>
      </c>
      <c r="L178" s="70">
        <v>90.9</v>
      </c>
      <c r="M178" s="67">
        <v>13.733333333333329</v>
      </c>
      <c r="N178" s="70"/>
    </row>
    <row r="179" spans="1:14">
      <c r="A179" s="68">
        <v>3</v>
      </c>
      <c r="B179" s="68"/>
      <c r="C179" s="68"/>
      <c r="D179" s="68"/>
      <c r="E179" s="68">
        <v>93.9</v>
      </c>
      <c r="F179" s="68">
        <v>71.8</v>
      </c>
      <c r="G179" s="67">
        <v>22.100000000000009</v>
      </c>
      <c r="H179" s="68"/>
      <c r="I179" s="68"/>
      <c r="J179" s="68"/>
      <c r="K179" s="70"/>
      <c r="L179" s="70"/>
      <c r="M179" s="68"/>
      <c r="N179" s="70"/>
    </row>
    <row r="180" spans="1:14">
      <c r="A180" s="70" t="s">
        <v>98</v>
      </c>
      <c r="B180" s="70"/>
      <c r="C180" s="70"/>
      <c r="D180" s="70">
        <v>17.516666666666662</v>
      </c>
      <c r="E180" s="70"/>
      <c r="F180" s="70"/>
      <c r="G180" s="70">
        <v>18.900000000000002</v>
      </c>
      <c r="H180" s="70"/>
      <c r="I180" s="70"/>
      <c r="J180" s="70">
        <v>17.875</v>
      </c>
      <c r="K180" s="70"/>
      <c r="L180" s="70"/>
      <c r="M180" s="70">
        <v>14.466666666666658</v>
      </c>
      <c r="N180" s="70"/>
    </row>
    <row r="181" spans="1:14">
      <c r="A181" s="70" t="s">
        <v>99</v>
      </c>
      <c r="B181" s="70"/>
      <c r="C181" s="70"/>
      <c r="D181" s="70">
        <v>2.3570226039555268E-2</v>
      </c>
      <c r="E181" s="70"/>
      <c r="F181" s="70"/>
      <c r="G181" s="70">
        <v>2.8000000000000056</v>
      </c>
      <c r="H181" s="70"/>
      <c r="I181" s="70"/>
      <c r="J181" s="70">
        <v>1.1667261889578076</v>
      </c>
      <c r="K181" s="70"/>
      <c r="L181" s="70"/>
      <c r="M181" s="70">
        <v>1.0370899457402647</v>
      </c>
      <c r="N181" s="70"/>
    </row>
    <row r="182" spans="1:14">
      <c r="A182" s="70" t="s">
        <v>41</v>
      </c>
      <c r="B182" s="70"/>
      <c r="C182" s="70"/>
      <c r="D182" s="70">
        <v>1.6666666666669272E-2</v>
      </c>
      <c r="E182" s="70"/>
      <c r="F182" s="70"/>
      <c r="G182" s="70">
        <v>1.6165807537309556</v>
      </c>
      <c r="H182" s="70"/>
      <c r="I182" s="70"/>
      <c r="J182" s="70">
        <v>0.82500000000000284</v>
      </c>
      <c r="K182" s="70"/>
      <c r="L182" s="70"/>
      <c r="M182" s="70">
        <v>0.73333333333332973</v>
      </c>
      <c r="N182" s="70"/>
    </row>
    <row r="184" spans="1:14">
      <c r="A184" s="33" t="s">
        <v>81</v>
      </c>
      <c r="B184" s="29" t="s">
        <v>90</v>
      </c>
      <c r="C184" s="29" t="s">
        <v>87</v>
      </c>
      <c r="D184" s="30" t="s">
        <v>89</v>
      </c>
      <c r="E184" s="34" t="s">
        <v>91</v>
      </c>
      <c r="F184" s="29" t="s">
        <v>86</v>
      </c>
      <c r="G184" s="30" t="s">
        <v>88</v>
      </c>
      <c r="H184" s="34" t="s">
        <v>93</v>
      </c>
      <c r="I184" s="29" t="s">
        <v>94</v>
      </c>
      <c r="J184" s="30" t="s">
        <v>92</v>
      </c>
      <c r="K184" s="34" t="s">
        <v>95</v>
      </c>
      <c r="L184" s="29" t="s">
        <v>96</v>
      </c>
      <c r="M184" s="30" t="s">
        <v>97</v>
      </c>
      <c r="N184" s="36" t="s">
        <v>136</v>
      </c>
    </row>
    <row r="185" spans="1:14">
      <c r="A185" s="32">
        <v>1</v>
      </c>
      <c r="B185" s="31">
        <v>73.8</v>
      </c>
      <c r="C185" s="31"/>
      <c r="D185" s="32">
        <v>24.599999999999998</v>
      </c>
      <c r="E185" s="39">
        <v>78.400000000000006</v>
      </c>
      <c r="F185" s="39"/>
      <c r="G185" s="32">
        <v>39.200000000000003</v>
      </c>
      <c r="H185" s="31">
        <v>89.8</v>
      </c>
      <c r="I185" s="31"/>
      <c r="J185" s="32">
        <v>44.9</v>
      </c>
      <c r="K185" s="24">
        <v>93.4</v>
      </c>
      <c r="L185" s="24"/>
      <c r="M185" s="32">
        <v>93.4</v>
      </c>
      <c r="N185" t="s">
        <v>70</v>
      </c>
    </row>
    <row r="186" spans="1:14">
      <c r="A186" s="32">
        <v>2</v>
      </c>
      <c r="B186" s="31">
        <v>105.7</v>
      </c>
      <c r="C186" s="31"/>
      <c r="D186" s="32">
        <v>52.85</v>
      </c>
      <c r="E186" s="31">
        <v>107.8</v>
      </c>
      <c r="F186" s="31"/>
      <c r="G186" s="32">
        <v>53.9</v>
      </c>
      <c r="H186" s="31">
        <v>119.9</v>
      </c>
      <c r="I186" s="31"/>
      <c r="J186" s="32">
        <v>59.95</v>
      </c>
      <c r="K186" s="24">
        <v>90.9</v>
      </c>
      <c r="L186" s="24"/>
      <c r="M186" s="32">
        <v>30.3</v>
      </c>
      <c r="N186" s="40" t="s">
        <v>137</v>
      </c>
    </row>
    <row r="187" spans="1:14">
      <c r="A187" s="31">
        <v>3</v>
      </c>
      <c r="B187" s="31"/>
      <c r="C187" s="31"/>
      <c r="D187" s="31"/>
      <c r="E187" s="31">
        <v>71.8</v>
      </c>
      <c r="F187" s="31"/>
      <c r="G187" s="32">
        <v>71.8</v>
      </c>
      <c r="H187" s="31"/>
      <c r="I187" s="31"/>
      <c r="J187" s="31"/>
      <c r="K187" s="24"/>
      <c r="L187" s="24"/>
      <c r="M187" s="31"/>
      <c r="N187" s="40"/>
    </row>
    <row r="188" spans="1:14">
      <c r="A188" t="s">
        <v>98</v>
      </c>
      <c r="D188">
        <v>38.725000000000001</v>
      </c>
      <c r="G188">
        <v>54.966666666666661</v>
      </c>
      <c r="J188">
        <v>52.424999999999997</v>
      </c>
      <c r="M188">
        <v>61.85</v>
      </c>
    </row>
    <row r="189" spans="1:14">
      <c r="A189" t="s">
        <v>99</v>
      </c>
      <c r="D189">
        <v>19.975766568519955</v>
      </c>
      <c r="G189">
        <v>16.326154885132471</v>
      </c>
      <c r="J189">
        <v>10.641957056857596</v>
      </c>
      <c r="M189">
        <v>44.618437892871164</v>
      </c>
    </row>
    <row r="190" spans="1:14">
      <c r="A190" t="s">
        <v>41</v>
      </c>
      <c r="D190">
        <v>14.124999999999989</v>
      </c>
      <c r="G190">
        <v>9.4259099177627572</v>
      </c>
      <c r="J190">
        <v>7.5250000000000385</v>
      </c>
      <c r="M190">
        <v>31.550000000000008</v>
      </c>
    </row>
    <row r="192" spans="1:14">
      <c r="A192" s="33" t="s">
        <v>82</v>
      </c>
      <c r="B192" s="29" t="s">
        <v>90</v>
      </c>
      <c r="C192" s="29" t="s">
        <v>87</v>
      </c>
      <c r="D192" s="30" t="s">
        <v>89</v>
      </c>
      <c r="E192" s="34" t="s">
        <v>91</v>
      </c>
      <c r="F192" s="29" t="s">
        <v>86</v>
      </c>
      <c r="G192" s="30" t="s">
        <v>88</v>
      </c>
      <c r="H192" s="34" t="s">
        <v>93</v>
      </c>
      <c r="I192" s="29" t="s">
        <v>94</v>
      </c>
      <c r="J192" s="30" t="s">
        <v>92</v>
      </c>
      <c r="K192" s="34" t="s">
        <v>95</v>
      </c>
      <c r="L192" s="29" t="s">
        <v>96</v>
      </c>
      <c r="M192" s="30" t="s">
        <v>97</v>
      </c>
      <c r="N192" s="36" t="s">
        <v>138</v>
      </c>
    </row>
    <row r="193" spans="1:14">
      <c r="A193" s="32">
        <v>1</v>
      </c>
      <c r="B193" s="31">
        <v>154</v>
      </c>
      <c r="C193" s="31">
        <v>114.8</v>
      </c>
      <c r="D193" s="32">
        <v>13.066666666666668</v>
      </c>
      <c r="E193" s="39">
        <v>125.3</v>
      </c>
      <c r="F193" s="39">
        <v>82.7</v>
      </c>
      <c r="G193" s="32">
        <v>21.299999999999997</v>
      </c>
      <c r="H193" s="31">
        <v>162.80000000000001</v>
      </c>
      <c r="I193" s="31">
        <v>121.1</v>
      </c>
      <c r="J193" s="32">
        <v>20.850000000000009</v>
      </c>
      <c r="K193" s="24">
        <v>128.4</v>
      </c>
      <c r="L193" s="24">
        <v>111.8</v>
      </c>
      <c r="M193" s="32">
        <v>16.600000000000009</v>
      </c>
      <c r="N193" t="s">
        <v>139</v>
      </c>
    </row>
    <row r="194" spans="1:14">
      <c r="A194" s="32">
        <v>2</v>
      </c>
      <c r="B194" s="31">
        <v>178.9</v>
      </c>
      <c r="C194" s="31">
        <v>147.30000000000001</v>
      </c>
      <c r="D194" s="32">
        <v>15.799999999999997</v>
      </c>
      <c r="E194" s="31">
        <v>177.9</v>
      </c>
      <c r="F194" s="39">
        <v>131.69999999999999</v>
      </c>
      <c r="G194" s="32">
        <v>23.100000000000009</v>
      </c>
      <c r="H194" s="31">
        <v>200.4</v>
      </c>
      <c r="I194" s="31">
        <v>164.3</v>
      </c>
      <c r="J194" s="32">
        <v>18.049999999999997</v>
      </c>
      <c r="K194" s="24">
        <v>197.4</v>
      </c>
      <c r="L194" s="24">
        <v>162.9</v>
      </c>
      <c r="M194" s="32">
        <v>17.25</v>
      </c>
      <c r="N194" s="40"/>
    </row>
    <row r="195" spans="1:14">
      <c r="A195" s="31"/>
      <c r="B195" s="31"/>
      <c r="C195" s="31"/>
      <c r="D195" s="31"/>
      <c r="E195" s="31"/>
      <c r="F195" s="31"/>
      <c r="G195" s="32"/>
      <c r="H195" s="31"/>
      <c r="I195" s="31"/>
      <c r="J195" s="31"/>
      <c r="K195" s="24"/>
      <c r="L195" s="24"/>
      <c r="M195" s="31"/>
      <c r="N195" s="40"/>
    </row>
    <row r="196" spans="1:14">
      <c r="A196" t="s">
        <v>98</v>
      </c>
      <c r="D196">
        <v>14.433333333333334</v>
      </c>
      <c r="G196">
        <v>22.200000000000003</v>
      </c>
      <c r="J196">
        <v>19.450000000000003</v>
      </c>
      <c r="M196">
        <v>16.925000000000004</v>
      </c>
    </row>
    <row r="197" spans="1:14">
      <c r="A197" t="s">
        <v>99</v>
      </c>
      <c r="D197">
        <v>1.9327585352432268</v>
      </c>
      <c r="G197">
        <v>1.2727922061357937</v>
      </c>
      <c r="J197">
        <v>1.9798989873223412</v>
      </c>
      <c r="M197">
        <v>0.45961940777124988</v>
      </c>
    </row>
    <row r="198" spans="1:14">
      <c r="A198" t="s">
        <v>41</v>
      </c>
      <c r="D198">
        <v>1.3666666666666645</v>
      </c>
      <c r="G198">
        <v>0.90000000000000568</v>
      </c>
      <c r="J198">
        <v>1.4000000000000057</v>
      </c>
      <c r="M198">
        <v>0.32499999999999574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CF16-533D-E549-AFE9-1A2C0F6DB6CA}">
  <dimension ref="A1:BG65"/>
  <sheetViews>
    <sheetView zoomScale="56" workbookViewId="0">
      <selection activeCell="AU30" sqref="AU30"/>
    </sheetView>
  </sheetViews>
  <sheetFormatPr baseColWidth="10" defaultRowHeight="16"/>
  <sheetData>
    <row r="1" spans="1:25">
      <c r="A1" t="s">
        <v>167</v>
      </c>
      <c r="B1" s="43" t="s">
        <v>157</v>
      </c>
      <c r="C1" s="55" t="s">
        <v>158</v>
      </c>
      <c r="D1" s="55" t="s">
        <v>159</v>
      </c>
      <c r="E1" s="56" t="s">
        <v>160</v>
      </c>
      <c r="F1" s="56" t="s">
        <v>161</v>
      </c>
      <c r="G1" s="56" t="s">
        <v>162</v>
      </c>
      <c r="H1" s="57" t="s">
        <v>163</v>
      </c>
      <c r="I1" s="57" t="s">
        <v>164</v>
      </c>
      <c r="J1" s="58" t="s">
        <v>165</v>
      </c>
      <c r="K1" s="58" t="s">
        <v>166</v>
      </c>
      <c r="M1" t="s">
        <v>149</v>
      </c>
      <c r="N1" s="43" t="s">
        <v>157</v>
      </c>
      <c r="O1" s="55" t="s">
        <v>158</v>
      </c>
      <c r="P1" s="55" t="s">
        <v>159</v>
      </c>
      <c r="Q1" s="56" t="s">
        <v>160</v>
      </c>
      <c r="R1" s="56" t="s">
        <v>161</v>
      </c>
      <c r="S1" s="56" t="s">
        <v>162</v>
      </c>
      <c r="T1" s="57" t="s">
        <v>163</v>
      </c>
      <c r="U1" s="57" t="s">
        <v>164</v>
      </c>
      <c r="V1" s="58" t="s">
        <v>165</v>
      </c>
      <c r="W1" s="58" t="s">
        <v>166</v>
      </c>
      <c r="Y1" t="s">
        <v>168</v>
      </c>
    </row>
    <row r="2" spans="1:25">
      <c r="B2">
        <v>1</v>
      </c>
      <c r="C2" s="59">
        <v>3.3916666666666706</v>
      </c>
      <c r="D2" s="59">
        <v>2.1499999999999964</v>
      </c>
      <c r="E2" s="59">
        <v>1.3083333333333325</v>
      </c>
      <c r="F2" s="59">
        <v>1.3500000000000039</v>
      </c>
      <c r="G2" s="59"/>
      <c r="H2" s="59">
        <v>2.1111111111111112</v>
      </c>
      <c r="I2" s="59">
        <v>2.0222222222222208</v>
      </c>
      <c r="J2" s="59">
        <v>1.7000000000000013</v>
      </c>
      <c r="K2" s="59">
        <v>1.5555555555555556</v>
      </c>
      <c r="N2">
        <v>1</v>
      </c>
      <c r="O2">
        <f>C2*4.53</f>
        <v>15.364250000000018</v>
      </c>
      <c r="P2">
        <f t="shared" ref="P2:W17" si="0">D2*4.53</f>
        <v>9.7394999999999836</v>
      </c>
      <c r="Q2">
        <f t="shared" si="0"/>
        <v>5.9267499999999966</v>
      </c>
      <c r="R2">
        <f t="shared" si="0"/>
        <v>6.1155000000000177</v>
      </c>
      <c r="S2">
        <f t="shared" si="0"/>
        <v>0</v>
      </c>
      <c r="T2">
        <f t="shared" si="0"/>
        <v>9.5633333333333344</v>
      </c>
      <c r="U2">
        <f t="shared" si="0"/>
        <v>9.1606666666666605</v>
      </c>
      <c r="V2">
        <f t="shared" si="0"/>
        <v>7.7010000000000058</v>
      </c>
      <c r="W2">
        <f t="shared" si="0"/>
        <v>7.0466666666666669</v>
      </c>
    </row>
    <row r="3" spans="1:25">
      <c r="B3">
        <v>2</v>
      </c>
      <c r="C3" s="59">
        <v>2.2214285714285711</v>
      </c>
      <c r="D3" s="59">
        <v>1.7999999999999992</v>
      </c>
      <c r="E3" s="59">
        <v>4.4071428571428584</v>
      </c>
      <c r="F3" s="59">
        <v>2.5714285714285716</v>
      </c>
      <c r="G3" s="59"/>
      <c r="H3" s="59">
        <v>4.5</v>
      </c>
      <c r="I3" s="59">
        <v>5.4777777777777787</v>
      </c>
      <c r="J3" s="59">
        <v>5.2777777777777777</v>
      </c>
      <c r="K3" s="59">
        <v>3.811111111111106</v>
      </c>
      <c r="N3">
        <v>2</v>
      </c>
      <c r="O3">
        <f t="shared" ref="O3:W24" si="1">C3*4.53</f>
        <v>10.063071428571428</v>
      </c>
      <c r="P3">
        <f t="shared" si="0"/>
        <v>8.1539999999999964</v>
      </c>
      <c r="Q3">
        <f t="shared" si="0"/>
        <v>19.96435714285715</v>
      </c>
      <c r="R3">
        <f t="shared" si="0"/>
        <v>11.648571428571429</v>
      </c>
      <c r="S3">
        <f t="shared" si="0"/>
        <v>0</v>
      </c>
      <c r="T3">
        <f t="shared" si="0"/>
        <v>20.385000000000002</v>
      </c>
      <c r="U3">
        <f t="shared" si="0"/>
        <v>24.814333333333337</v>
      </c>
      <c r="V3">
        <f t="shared" si="0"/>
        <v>23.908333333333335</v>
      </c>
      <c r="W3">
        <f t="shared" si="0"/>
        <v>17.264333333333312</v>
      </c>
    </row>
    <row r="4" spans="1:25">
      <c r="B4">
        <v>3</v>
      </c>
      <c r="C4" s="59">
        <v>2.875</v>
      </c>
      <c r="D4" s="59">
        <v>2.5111111111111137</v>
      </c>
      <c r="E4" s="59">
        <v>1.5694444444444444</v>
      </c>
      <c r="F4" s="59">
        <v>2.7888888888888883</v>
      </c>
      <c r="G4" s="59"/>
      <c r="H4" s="59">
        <v>2.4925925925925911</v>
      </c>
      <c r="I4" s="59">
        <v>2.0629629629629624</v>
      </c>
      <c r="J4" s="59">
        <v>3.4999999999999982</v>
      </c>
      <c r="K4" s="59">
        <v>2.3740740740740729</v>
      </c>
      <c r="N4">
        <v>3</v>
      </c>
      <c r="O4">
        <f t="shared" si="1"/>
        <v>13.023750000000001</v>
      </c>
      <c r="P4">
        <f t="shared" si="0"/>
        <v>11.375333333333346</v>
      </c>
      <c r="Q4">
        <f t="shared" si="0"/>
        <v>7.109583333333334</v>
      </c>
      <c r="R4">
        <f t="shared" si="0"/>
        <v>12.633666666666665</v>
      </c>
      <c r="S4">
        <f t="shared" si="0"/>
        <v>0</v>
      </c>
      <c r="T4">
        <f t="shared" si="0"/>
        <v>11.291444444444439</v>
      </c>
      <c r="U4">
        <f t="shared" si="0"/>
        <v>9.3452222222222208</v>
      </c>
      <c r="V4">
        <f t="shared" si="0"/>
        <v>15.854999999999993</v>
      </c>
      <c r="W4">
        <f t="shared" si="0"/>
        <v>10.754555555555552</v>
      </c>
    </row>
    <row r="5" spans="1:25">
      <c r="B5">
        <v>4</v>
      </c>
      <c r="C5" s="59">
        <v>8</v>
      </c>
      <c r="D5" s="59">
        <v>1.7785714285714269</v>
      </c>
      <c r="E5" s="59">
        <v>9.3035714285714288</v>
      </c>
      <c r="F5" s="59">
        <v>3.3499999999999983</v>
      </c>
      <c r="G5" s="59"/>
      <c r="H5" s="59">
        <v>2.323809523809524</v>
      </c>
      <c r="I5" s="59">
        <v>2.2190476190476174</v>
      </c>
      <c r="J5" s="59">
        <v>2.8619047619047633</v>
      </c>
      <c r="K5" s="59">
        <v>1.7285714285714291</v>
      </c>
      <c r="N5">
        <v>4</v>
      </c>
      <c r="O5">
        <f t="shared" si="1"/>
        <v>36.24</v>
      </c>
      <c r="P5">
        <f t="shared" si="0"/>
        <v>8.0569285714285641</v>
      </c>
      <c r="Q5">
        <f t="shared" si="0"/>
        <v>42.145178571428573</v>
      </c>
      <c r="R5">
        <f t="shared" si="0"/>
        <v>15.175499999999992</v>
      </c>
      <c r="S5">
        <f t="shared" si="0"/>
        <v>0</v>
      </c>
      <c r="T5">
        <f t="shared" si="0"/>
        <v>10.526857142857144</v>
      </c>
      <c r="U5">
        <f t="shared" si="0"/>
        <v>10.052285714285707</v>
      </c>
      <c r="V5">
        <f t="shared" si="0"/>
        <v>12.964428571428579</v>
      </c>
      <c r="W5">
        <f t="shared" si="0"/>
        <v>7.8304285714285742</v>
      </c>
    </row>
    <row r="6" spans="1:25">
      <c r="B6">
        <v>5</v>
      </c>
      <c r="C6" s="59">
        <v>2.7178571428571439</v>
      </c>
      <c r="D6" s="59">
        <v>2.2571428571428589</v>
      </c>
      <c r="E6" s="59">
        <v>7.35</v>
      </c>
      <c r="F6" s="59">
        <v>2.4071428571428561</v>
      </c>
      <c r="G6" s="59"/>
      <c r="H6" s="59">
        <v>2.3666666666666663</v>
      </c>
      <c r="I6" s="59">
        <v>2.4380952380952401</v>
      </c>
      <c r="J6">
        <v>4.0333333333333332</v>
      </c>
      <c r="K6" s="59">
        <v>2.1380952380952372</v>
      </c>
      <c r="N6">
        <v>5</v>
      </c>
      <c r="O6">
        <f t="shared" si="1"/>
        <v>12.311892857142862</v>
      </c>
      <c r="P6">
        <f t="shared" si="0"/>
        <v>10.224857142857152</v>
      </c>
      <c r="Q6">
        <f t="shared" si="0"/>
        <v>33.295499999999997</v>
      </c>
      <c r="R6">
        <f t="shared" si="0"/>
        <v>10.904357142857139</v>
      </c>
      <c r="S6">
        <f t="shared" si="0"/>
        <v>0</v>
      </c>
      <c r="T6">
        <f t="shared" si="0"/>
        <v>10.720999999999998</v>
      </c>
      <c r="U6">
        <f t="shared" si="0"/>
        <v>11.044571428571437</v>
      </c>
      <c r="V6">
        <f t="shared" si="0"/>
        <v>18.271000000000001</v>
      </c>
      <c r="W6">
        <f t="shared" si="0"/>
        <v>9.6855714285714249</v>
      </c>
    </row>
    <row r="7" spans="1:25">
      <c r="B7" s="45">
        <v>6</v>
      </c>
      <c r="C7">
        <v>2.5714285714285716</v>
      </c>
      <c r="D7" s="59">
        <v>2.2714285714285682</v>
      </c>
      <c r="E7" s="60">
        <v>-4.5999999999999996</v>
      </c>
      <c r="F7" s="60">
        <v>16.678571428571431</v>
      </c>
      <c r="G7" s="59"/>
      <c r="H7">
        <v>2.5428571428571418</v>
      </c>
      <c r="I7" s="59">
        <v>2.4523809523809526</v>
      </c>
      <c r="J7">
        <v>2.4666666666666672</v>
      </c>
      <c r="K7" s="59">
        <v>4.5714285714285712</v>
      </c>
      <c r="N7" s="45">
        <v>6</v>
      </c>
      <c r="O7">
        <f t="shared" si="1"/>
        <v>11.648571428571429</v>
      </c>
      <c r="P7">
        <f t="shared" si="0"/>
        <v>10.289571428571415</v>
      </c>
      <c r="Q7">
        <f t="shared" si="0"/>
        <v>-20.838000000000001</v>
      </c>
      <c r="R7">
        <f t="shared" si="0"/>
        <v>75.553928571428585</v>
      </c>
      <c r="S7">
        <f t="shared" si="0"/>
        <v>0</v>
      </c>
      <c r="T7">
        <f t="shared" si="0"/>
        <v>11.519142857142853</v>
      </c>
      <c r="U7">
        <f t="shared" si="0"/>
        <v>11.109285714285715</v>
      </c>
      <c r="V7">
        <f t="shared" si="0"/>
        <v>11.174000000000003</v>
      </c>
      <c r="W7">
        <f t="shared" si="0"/>
        <v>20.708571428571428</v>
      </c>
    </row>
    <row r="8" spans="1:25">
      <c r="B8" s="45">
        <v>7</v>
      </c>
      <c r="C8">
        <v>2.3535714285714278</v>
      </c>
      <c r="D8" s="59">
        <v>2.5071428571428589</v>
      </c>
      <c r="E8">
        <v>5.1464285714285714</v>
      </c>
      <c r="F8" s="60">
        <v>-12.292857142857143</v>
      </c>
      <c r="G8" s="59"/>
      <c r="H8">
        <v>2.60952380952381</v>
      </c>
      <c r="I8" s="59">
        <v>2.666666666666667</v>
      </c>
      <c r="J8">
        <v>2.195238095238095</v>
      </c>
      <c r="K8" s="59">
        <v>3.0333333333333328</v>
      </c>
      <c r="N8" s="45">
        <v>7</v>
      </c>
      <c r="O8">
        <f t="shared" si="1"/>
        <v>10.661678571428569</v>
      </c>
      <c r="P8">
        <f t="shared" si="0"/>
        <v>11.357357142857152</v>
      </c>
      <c r="Q8">
        <f t="shared" si="0"/>
        <v>23.313321428571431</v>
      </c>
      <c r="R8">
        <f t="shared" si="0"/>
        <v>-55.686642857142857</v>
      </c>
      <c r="S8">
        <f t="shared" si="0"/>
        <v>0</v>
      </c>
      <c r="T8">
        <f t="shared" si="0"/>
        <v>11.82114285714286</v>
      </c>
      <c r="U8">
        <f t="shared" si="0"/>
        <v>12.080000000000002</v>
      </c>
      <c r="V8">
        <f t="shared" si="0"/>
        <v>9.9444285714285705</v>
      </c>
      <c r="W8">
        <f t="shared" si="0"/>
        <v>13.740999999999998</v>
      </c>
    </row>
    <row r="9" spans="1:25">
      <c r="B9">
        <v>8</v>
      </c>
      <c r="C9">
        <v>2.4194444444444443</v>
      </c>
      <c r="D9" s="59">
        <v>2.4277777777777771</v>
      </c>
      <c r="E9">
        <v>2.3444444444444446</v>
      </c>
      <c r="F9" s="59">
        <v>2.2333333333333325</v>
      </c>
      <c r="G9" s="59"/>
      <c r="H9">
        <v>2.9962962962962965</v>
      </c>
      <c r="I9" s="59">
        <v>3.0148148148148142</v>
      </c>
      <c r="J9">
        <v>2.2000000000000002</v>
      </c>
      <c r="K9" s="59">
        <v>2.6592592592592599</v>
      </c>
      <c r="N9">
        <v>8</v>
      </c>
      <c r="O9">
        <f t="shared" si="1"/>
        <v>10.960083333333333</v>
      </c>
      <c r="P9">
        <f t="shared" si="0"/>
        <v>10.997833333333331</v>
      </c>
      <c r="Q9">
        <f t="shared" si="0"/>
        <v>10.620333333333335</v>
      </c>
      <c r="R9">
        <f t="shared" si="0"/>
        <v>10.116999999999997</v>
      </c>
      <c r="S9">
        <f t="shared" si="0"/>
        <v>0</v>
      </c>
      <c r="T9">
        <f t="shared" si="0"/>
        <v>13.573222222222224</v>
      </c>
      <c r="U9">
        <f t="shared" si="0"/>
        <v>13.657111111111108</v>
      </c>
      <c r="V9">
        <f t="shared" si="0"/>
        <v>9.9660000000000011</v>
      </c>
      <c r="W9">
        <f t="shared" si="0"/>
        <v>12.046444444444449</v>
      </c>
    </row>
    <row r="10" spans="1:25">
      <c r="B10" s="45">
        <v>9</v>
      </c>
      <c r="C10">
        <v>1.3299999999999996</v>
      </c>
      <c r="D10" s="59">
        <v>3.0100000000000025</v>
      </c>
      <c r="E10" s="60">
        <v>-1.0300000000000011</v>
      </c>
      <c r="F10" s="59">
        <v>2.8699999999999988</v>
      </c>
      <c r="G10" s="59"/>
      <c r="H10" s="60">
        <v>-0.79333333333333367</v>
      </c>
      <c r="I10" s="59">
        <v>3.2133333333333325</v>
      </c>
      <c r="J10" s="60">
        <v>-4.5066666666666686</v>
      </c>
      <c r="K10" s="60">
        <v>-1.3799999999999992</v>
      </c>
      <c r="N10" s="45">
        <v>9</v>
      </c>
      <c r="O10">
        <f t="shared" si="1"/>
        <v>6.0248999999999988</v>
      </c>
      <c r="P10">
        <f t="shared" si="0"/>
        <v>13.635300000000012</v>
      </c>
      <c r="Q10">
        <f t="shared" si="0"/>
        <v>-4.665900000000005</v>
      </c>
      <c r="R10">
        <f t="shared" si="0"/>
        <v>13.001099999999996</v>
      </c>
      <c r="S10">
        <f t="shared" si="0"/>
        <v>0</v>
      </c>
      <c r="T10">
        <f t="shared" si="0"/>
        <v>-3.5938000000000017</v>
      </c>
      <c r="U10">
        <f t="shared" si="0"/>
        <v>14.556399999999996</v>
      </c>
      <c r="V10">
        <f t="shared" si="0"/>
        <v>-20.415200000000009</v>
      </c>
      <c r="W10">
        <f t="shared" si="0"/>
        <v>-6.2513999999999967</v>
      </c>
    </row>
    <row r="11" spans="1:25">
      <c r="B11">
        <v>10</v>
      </c>
      <c r="C11">
        <v>2.5812500000000003</v>
      </c>
      <c r="D11" s="59">
        <v>2.40625</v>
      </c>
      <c r="E11">
        <v>2.3906250000000004</v>
      </c>
      <c r="F11" s="59">
        <v>2.0749999999999993</v>
      </c>
      <c r="G11" s="59"/>
      <c r="H11">
        <v>2.7125000000000004</v>
      </c>
      <c r="I11" s="59">
        <v>3.0208333333333339</v>
      </c>
      <c r="J11">
        <v>2.4291666666666671</v>
      </c>
      <c r="K11" s="59">
        <v>2.8624999999999994</v>
      </c>
      <c r="N11">
        <v>10</v>
      </c>
      <c r="O11">
        <f t="shared" si="1"/>
        <v>11.693062500000002</v>
      </c>
      <c r="P11">
        <f t="shared" si="0"/>
        <v>10.9003125</v>
      </c>
      <c r="Q11">
        <f t="shared" si="0"/>
        <v>10.829531250000002</v>
      </c>
      <c r="R11">
        <f t="shared" si="0"/>
        <v>9.3997499999999974</v>
      </c>
      <c r="S11">
        <f t="shared" si="0"/>
        <v>0</v>
      </c>
      <c r="T11">
        <f t="shared" si="0"/>
        <v>12.287625000000002</v>
      </c>
      <c r="U11">
        <f t="shared" si="0"/>
        <v>13.684375000000003</v>
      </c>
      <c r="V11">
        <f t="shared" si="0"/>
        <v>11.004125000000002</v>
      </c>
      <c r="W11">
        <f t="shared" si="0"/>
        <v>12.967124999999998</v>
      </c>
    </row>
    <row r="12" spans="1:25">
      <c r="B12">
        <v>11</v>
      </c>
      <c r="C12">
        <v>2.3083333333333336</v>
      </c>
      <c r="D12" s="59">
        <v>2.3666666666666649</v>
      </c>
      <c r="E12">
        <v>1.9</v>
      </c>
      <c r="F12" s="59">
        <v>2.0583333333333349</v>
      </c>
      <c r="G12" s="59">
        <v>2.2999999999999998</v>
      </c>
      <c r="H12">
        <v>2.3000000000000003</v>
      </c>
      <c r="I12" s="59">
        <v>2.4666666666666672</v>
      </c>
      <c r="J12">
        <v>2.0166666666666671</v>
      </c>
      <c r="K12" s="59">
        <v>2.3222222222222229</v>
      </c>
      <c r="N12">
        <v>11</v>
      </c>
      <c r="O12">
        <f t="shared" si="1"/>
        <v>10.456750000000001</v>
      </c>
      <c r="P12">
        <f t="shared" si="0"/>
        <v>10.720999999999993</v>
      </c>
      <c r="Q12">
        <f t="shared" si="0"/>
        <v>8.6069999999999993</v>
      </c>
      <c r="R12">
        <f t="shared" si="0"/>
        <v>9.3242500000000081</v>
      </c>
      <c r="S12">
        <f t="shared" si="0"/>
        <v>10.419</v>
      </c>
      <c r="T12">
        <f t="shared" si="0"/>
        <v>10.419000000000002</v>
      </c>
      <c r="U12">
        <f t="shared" si="0"/>
        <v>11.174000000000003</v>
      </c>
      <c r="V12">
        <f t="shared" si="0"/>
        <v>9.1355000000000022</v>
      </c>
      <c r="W12">
        <f t="shared" si="0"/>
        <v>10.519666666666669</v>
      </c>
    </row>
    <row r="13" spans="1:25">
      <c r="B13">
        <v>12</v>
      </c>
      <c r="C13">
        <v>2.8857142857142852</v>
      </c>
      <c r="D13" s="59">
        <v>3.1428571428571428</v>
      </c>
      <c r="E13">
        <v>3.0285714285714289</v>
      </c>
      <c r="F13" s="59">
        <v>2.5071428571428567</v>
      </c>
      <c r="G13" s="59">
        <v>2.3285714285714283</v>
      </c>
      <c r="H13">
        <v>3.0333333333333328</v>
      </c>
      <c r="I13" s="59">
        <v>3.3785714285714272</v>
      </c>
      <c r="J13">
        <v>2.7142857142857144</v>
      </c>
      <c r="K13" s="59">
        <v>3.3047619047619037</v>
      </c>
      <c r="N13">
        <v>12</v>
      </c>
      <c r="O13">
        <f t="shared" si="1"/>
        <v>13.072285714285712</v>
      </c>
      <c r="P13">
        <f t="shared" si="0"/>
        <v>14.237142857142858</v>
      </c>
      <c r="Q13">
        <f t="shared" si="0"/>
        <v>13.719428571428574</v>
      </c>
      <c r="R13">
        <f t="shared" si="0"/>
        <v>11.357357142857142</v>
      </c>
      <c r="S13">
        <f t="shared" si="0"/>
        <v>10.548428571428571</v>
      </c>
      <c r="T13">
        <f t="shared" si="0"/>
        <v>13.740999999999998</v>
      </c>
      <c r="U13">
        <f t="shared" si="0"/>
        <v>15.304928571428567</v>
      </c>
      <c r="V13">
        <f t="shared" si="0"/>
        <v>12.295714285714286</v>
      </c>
      <c r="W13">
        <f t="shared" si="0"/>
        <v>14.970571428571425</v>
      </c>
    </row>
    <row r="14" spans="1:25">
      <c r="B14">
        <v>13</v>
      </c>
      <c r="C14">
        <v>3.1142857142857148</v>
      </c>
      <c r="D14" s="59">
        <v>2.7928571428571445</v>
      </c>
      <c r="E14">
        <v>3.8928571428571428</v>
      </c>
      <c r="F14">
        <v>2.7642857142857156</v>
      </c>
      <c r="G14" s="59">
        <v>3.7571428571428567</v>
      </c>
      <c r="H14">
        <v>2.8571428571428572</v>
      </c>
      <c r="I14" s="59">
        <v>3.5285714285714289</v>
      </c>
      <c r="J14">
        <v>2.5380952380952375</v>
      </c>
      <c r="K14" s="59">
        <v>2.9857142857142867</v>
      </c>
      <c r="N14">
        <v>13</v>
      </c>
      <c r="O14">
        <f t="shared" si="1"/>
        <v>14.107714285714289</v>
      </c>
      <c r="P14">
        <f t="shared" si="0"/>
        <v>12.651642857142866</v>
      </c>
      <c r="Q14">
        <f t="shared" si="0"/>
        <v>17.634642857142858</v>
      </c>
      <c r="R14">
        <f t="shared" si="0"/>
        <v>12.522214285714293</v>
      </c>
      <c r="S14">
        <f t="shared" si="0"/>
        <v>17.019857142857141</v>
      </c>
      <c r="T14">
        <f t="shared" si="0"/>
        <v>12.942857142857143</v>
      </c>
      <c r="U14">
        <f t="shared" si="0"/>
        <v>15.984428571428573</v>
      </c>
      <c r="V14">
        <f t="shared" si="0"/>
        <v>11.497571428571426</v>
      </c>
      <c r="W14">
        <f t="shared" si="0"/>
        <v>13.525285714285719</v>
      </c>
    </row>
    <row r="15" spans="1:25">
      <c r="B15">
        <v>14</v>
      </c>
      <c r="C15">
        <v>2.6357142857142857</v>
      </c>
      <c r="D15" s="59">
        <v>2.3785714285714272</v>
      </c>
      <c r="E15">
        <v>3.164285714285715</v>
      </c>
      <c r="F15">
        <v>2.1142857142857139</v>
      </c>
      <c r="G15" s="59">
        <v>2.5</v>
      </c>
      <c r="H15">
        <v>2.7333333333333338</v>
      </c>
      <c r="I15" s="59">
        <v>2.4857142857142867</v>
      </c>
      <c r="J15">
        <v>2.2523809523809528</v>
      </c>
      <c r="K15" s="59">
        <v>2.333333333333333</v>
      </c>
      <c r="N15">
        <v>14</v>
      </c>
      <c r="O15">
        <f t="shared" si="1"/>
        <v>11.939785714285716</v>
      </c>
      <c r="P15">
        <f t="shared" si="0"/>
        <v>10.774928571428566</v>
      </c>
      <c r="Q15">
        <f t="shared" si="0"/>
        <v>14.334214285714291</v>
      </c>
      <c r="R15">
        <f t="shared" si="0"/>
        <v>9.5777142857142845</v>
      </c>
      <c r="S15">
        <f t="shared" si="0"/>
        <v>11.325000000000001</v>
      </c>
      <c r="T15">
        <f t="shared" si="0"/>
        <v>12.382000000000003</v>
      </c>
      <c r="U15">
        <f t="shared" si="0"/>
        <v>11.26028571428572</v>
      </c>
      <c r="V15">
        <f t="shared" si="0"/>
        <v>10.203285714285716</v>
      </c>
      <c r="W15">
        <f t="shared" si="0"/>
        <v>10.569999999999999</v>
      </c>
    </row>
    <row r="16" spans="1:25">
      <c r="B16" s="45">
        <v>15</v>
      </c>
      <c r="C16">
        <v>2.7357142857142853</v>
      </c>
      <c r="D16" s="59">
        <v>2.8571428571428572</v>
      </c>
      <c r="E16">
        <v>3.0285714285714285</v>
      </c>
      <c r="F16">
        <v>2.2285714285714286</v>
      </c>
      <c r="G16" s="59">
        <v>2.2714285714285714</v>
      </c>
      <c r="H16">
        <v>2.6142857142857143</v>
      </c>
      <c r="I16" s="60">
        <v>0.32142857142857145</v>
      </c>
      <c r="J16">
        <v>2.0619047619047617</v>
      </c>
      <c r="K16" s="59">
        <v>3.304761904761905</v>
      </c>
      <c r="N16" s="45">
        <v>15</v>
      </c>
      <c r="O16">
        <f t="shared" si="1"/>
        <v>12.392785714285713</v>
      </c>
      <c r="P16">
        <f t="shared" si="0"/>
        <v>12.942857142857143</v>
      </c>
      <c r="Q16">
        <f t="shared" si="0"/>
        <v>13.719428571428571</v>
      </c>
      <c r="R16">
        <f t="shared" si="0"/>
        <v>10.095428571428572</v>
      </c>
      <c r="S16">
        <f t="shared" si="0"/>
        <v>10.289571428571429</v>
      </c>
      <c r="T16">
        <f t="shared" si="0"/>
        <v>11.842714285714287</v>
      </c>
      <c r="U16">
        <f t="shared" si="0"/>
        <v>1.4560714285714287</v>
      </c>
      <c r="V16">
        <f t="shared" si="0"/>
        <v>9.3404285714285713</v>
      </c>
      <c r="W16">
        <f t="shared" si="0"/>
        <v>14.97057142857143</v>
      </c>
    </row>
    <row r="17" spans="1:59">
      <c r="B17">
        <v>16</v>
      </c>
      <c r="C17">
        <v>3.0535714285714284</v>
      </c>
      <c r="D17" s="59">
        <v>2.8285714285714292</v>
      </c>
      <c r="E17">
        <v>3.6499999999999995</v>
      </c>
      <c r="F17">
        <v>2.7357142857142867</v>
      </c>
      <c r="G17" s="59">
        <v>3.1999999999999988</v>
      </c>
      <c r="H17">
        <v>2.7857142857142856</v>
      </c>
      <c r="I17" s="59">
        <v>3.0571428571428561</v>
      </c>
      <c r="J17">
        <v>2.5</v>
      </c>
      <c r="K17" s="59">
        <v>2.409523809523809</v>
      </c>
      <c r="N17">
        <v>16</v>
      </c>
      <c r="O17">
        <f t="shared" si="1"/>
        <v>13.832678571428572</v>
      </c>
      <c r="P17">
        <f t="shared" si="0"/>
        <v>12.813428571428576</v>
      </c>
      <c r="Q17">
        <f t="shared" si="0"/>
        <v>16.534499999999998</v>
      </c>
      <c r="R17">
        <f t="shared" si="0"/>
        <v>12.392785714285719</v>
      </c>
      <c r="S17">
        <f t="shared" si="0"/>
        <v>14.495999999999995</v>
      </c>
      <c r="T17">
        <f t="shared" si="0"/>
        <v>12.619285714285715</v>
      </c>
      <c r="U17">
        <f t="shared" si="0"/>
        <v>13.848857142857138</v>
      </c>
      <c r="V17">
        <f t="shared" si="0"/>
        <v>11.325000000000001</v>
      </c>
      <c r="W17">
        <f t="shared" si="0"/>
        <v>10.915142857142856</v>
      </c>
    </row>
    <row r="18" spans="1:59">
      <c r="B18">
        <v>17</v>
      </c>
      <c r="C18">
        <v>2.8678571428571433</v>
      </c>
      <c r="D18" s="59">
        <v>2.9499999999999997</v>
      </c>
      <c r="E18">
        <v>2.3571428571428572</v>
      </c>
      <c r="F18">
        <v>2.4214285714285699</v>
      </c>
      <c r="G18" s="59">
        <v>2.5000000000000009</v>
      </c>
      <c r="H18">
        <v>2.6523809523809523</v>
      </c>
      <c r="I18" s="59">
        <v>3.1000000000000005</v>
      </c>
      <c r="J18">
        <v>2.0428571428571431</v>
      </c>
      <c r="K18" s="59">
        <v>2.0047619047619047</v>
      </c>
      <c r="N18">
        <v>17</v>
      </c>
      <c r="O18">
        <f t="shared" si="1"/>
        <v>12.991392857142859</v>
      </c>
      <c r="P18">
        <f t="shared" si="1"/>
        <v>13.3635</v>
      </c>
      <c r="Q18">
        <f t="shared" si="1"/>
        <v>10.677857142857144</v>
      </c>
      <c r="R18">
        <f t="shared" si="1"/>
        <v>10.969071428571423</v>
      </c>
      <c r="S18">
        <f t="shared" si="1"/>
        <v>11.325000000000005</v>
      </c>
      <c r="T18">
        <f t="shared" si="1"/>
        <v>12.015285714285714</v>
      </c>
      <c r="U18">
        <f t="shared" si="1"/>
        <v>14.043000000000003</v>
      </c>
      <c r="V18">
        <f t="shared" si="1"/>
        <v>9.2541428571428597</v>
      </c>
      <c r="W18">
        <f t="shared" si="1"/>
        <v>9.0815714285714293</v>
      </c>
    </row>
    <row r="19" spans="1:59">
      <c r="B19">
        <v>18</v>
      </c>
      <c r="C19">
        <v>3.0428571428571423</v>
      </c>
      <c r="D19" s="59">
        <v>3.8500000000000005</v>
      </c>
      <c r="E19">
        <v>3.0642857142857145</v>
      </c>
      <c r="F19">
        <v>2.664285714285715</v>
      </c>
      <c r="G19" s="59">
        <v>4.7714285714285678</v>
      </c>
      <c r="H19">
        <v>3.1785714285714284</v>
      </c>
      <c r="I19" s="59">
        <v>3.0571428571428578</v>
      </c>
      <c r="J19">
        <v>2.6714285714285717</v>
      </c>
      <c r="K19" s="59">
        <v>2.2857142857142856</v>
      </c>
      <c r="N19">
        <v>18</v>
      </c>
      <c r="O19">
        <f t="shared" si="1"/>
        <v>13.784142857142855</v>
      </c>
      <c r="P19">
        <f t="shared" si="1"/>
        <v>17.440500000000004</v>
      </c>
      <c r="Q19">
        <f t="shared" si="1"/>
        <v>13.881214285714288</v>
      </c>
      <c r="R19">
        <f t="shared" si="1"/>
        <v>12.06921428571429</v>
      </c>
      <c r="S19">
        <f t="shared" si="1"/>
        <v>21.614571428571413</v>
      </c>
      <c r="T19">
        <f t="shared" si="1"/>
        <v>14.398928571428572</v>
      </c>
      <c r="U19">
        <f t="shared" si="1"/>
        <v>13.848857142857147</v>
      </c>
      <c r="V19">
        <f t="shared" si="1"/>
        <v>12.101571428571431</v>
      </c>
      <c r="W19">
        <f t="shared" si="1"/>
        <v>10.354285714285714</v>
      </c>
    </row>
    <row r="20" spans="1:59">
      <c r="B20">
        <v>19</v>
      </c>
      <c r="C20">
        <v>3.4703703703703708</v>
      </c>
      <c r="D20" s="59">
        <v>4.0388888888888888</v>
      </c>
      <c r="E20">
        <v>3.5388888888888892</v>
      </c>
      <c r="F20">
        <v>2.8722222222222218</v>
      </c>
      <c r="G20">
        <v>3.6111111111111125</v>
      </c>
      <c r="H20">
        <v>3.5555555555555554</v>
      </c>
      <c r="I20" s="59">
        <v>3.4666666666666668</v>
      </c>
      <c r="J20">
        <v>3.4111111111111097</v>
      </c>
      <c r="K20" s="59">
        <v>2.2851851851851852</v>
      </c>
      <c r="N20">
        <v>19</v>
      </c>
      <c r="O20">
        <f t="shared" si="1"/>
        <v>15.72077777777778</v>
      </c>
      <c r="P20">
        <f t="shared" si="1"/>
        <v>18.296166666666668</v>
      </c>
      <c r="Q20">
        <f t="shared" si="1"/>
        <v>16.031166666666667</v>
      </c>
      <c r="R20">
        <f t="shared" si="1"/>
        <v>13.011166666666666</v>
      </c>
      <c r="S20">
        <f t="shared" si="1"/>
        <v>16.358333333333341</v>
      </c>
      <c r="T20">
        <f t="shared" si="1"/>
        <v>16.106666666666666</v>
      </c>
      <c r="U20">
        <f t="shared" si="1"/>
        <v>15.704000000000001</v>
      </c>
      <c r="V20">
        <f t="shared" si="1"/>
        <v>15.452333333333328</v>
      </c>
      <c r="W20">
        <f t="shared" si="1"/>
        <v>10.35188888888889</v>
      </c>
    </row>
    <row r="21" spans="1:59">
      <c r="B21">
        <v>20</v>
      </c>
      <c r="C21">
        <v>2.8222222222222229</v>
      </c>
      <c r="D21">
        <v>2.7416666666666671</v>
      </c>
      <c r="E21">
        <v>2.7333333333333329</v>
      </c>
      <c r="F21">
        <v>2.7416666666666671</v>
      </c>
      <c r="G21">
        <v>3.5666666666666651</v>
      </c>
      <c r="H21">
        <v>2.9</v>
      </c>
      <c r="I21">
        <v>2.7249999999999992</v>
      </c>
      <c r="J21">
        <v>2.5666666666666678</v>
      </c>
      <c r="K21">
        <v>2.3500000000000005</v>
      </c>
      <c r="N21">
        <v>20</v>
      </c>
      <c r="O21">
        <f t="shared" si="1"/>
        <v>12.78466666666667</v>
      </c>
      <c r="P21">
        <f t="shared" si="1"/>
        <v>12.419750000000002</v>
      </c>
      <c r="Q21">
        <f t="shared" si="1"/>
        <v>12.382</v>
      </c>
      <c r="R21">
        <f t="shared" si="1"/>
        <v>12.419750000000002</v>
      </c>
      <c r="S21">
        <f t="shared" si="1"/>
        <v>16.156999999999993</v>
      </c>
      <c r="T21">
        <f t="shared" si="1"/>
        <v>13.137</v>
      </c>
      <c r="U21">
        <f t="shared" si="1"/>
        <v>12.344249999999997</v>
      </c>
      <c r="V21">
        <f t="shared" si="1"/>
        <v>11.627000000000006</v>
      </c>
      <c r="W21">
        <f t="shared" si="1"/>
        <v>10.645500000000004</v>
      </c>
    </row>
    <row r="22" spans="1:59">
      <c r="B22">
        <v>21</v>
      </c>
      <c r="C22">
        <v>2.9222222222222221</v>
      </c>
      <c r="D22">
        <v>2.9166666666666656</v>
      </c>
      <c r="E22">
        <v>2.9500000000000006</v>
      </c>
      <c r="F22">
        <v>2.8166666666666664</v>
      </c>
      <c r="G22">
        <v>3.6833333333333349</v>
      </c>
      <c r="H22">
        <v>3.1166666666666671</v>
      </c>
      <c r="I22">
        <v>2.8416666666666663</v>
      </c>
      <c r="J22">
        <v>2.5333333333333314</v>
      </c>
      <c r="K22">
        <v>2.2888888888888883</v>
      </c>
      <c r="N22">
        <v>21</v>
      </c>
      <c r="O22">
        <f t="shared" si="1"/>
        <v>13.237666666666666</v>
      </c>
      <c r="P22">
        <f t="shared" si="1"/>
        <v>13.212499999999997</v>
      </c>
      <c r="Q22">
        <f t="shared" si="1"/>
        <v>13.363500000000004</v>
      </c>
      <c r="R22">
        <f t="shared" si="1"/>
        <v>12.759499999999999</v>
      </c>
      <c r="S22">
        <f t="shared" si="1"/>
        <v>16.685500000000008</v>
      </c>
      <c r="T22">
        <f t="shared" si="1"/>
        <v>14.118500000000003</v>
      </c>
      <c r="U22">
        <f t="shared" si="1"/>
        <v>12.87275</v>
      </c>
      <c r="V22">
        <f t="shared" si="1"/>
        <v>11.475999999999992</v>
      </c>
      <c r="W22">
        <f t="shared" si="1"/>
        <v>10.368666666666664</v>
      </c>
    </row>
    <row r="23" spans="1:59">
      <c r="B23" s="45">
        <v>22</v>
      </c>
      <c r="C23">
        <v>4.2</v>
      </c>
      <c r="E23">
        <v>3.3250000000000002</v>
      </c>
      <c r="N23" s="45">
        <v>22</v>
      </c>
      <c r="O23">
        <f t="shared" si="1"/>
        <v>19.026000000000003</v>
      </c>
      <c r="P23">
        <f t="shared" si="1"/>
        <v>0</v>
      </c>
      <c r="Q23">
        <f t="shared" si="1"/>
        <v>15.062250000000002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</row>
    <row r="24" spans="1:59">
      <c r="B24">
        <v>23</v>
      </c>
      <c r="C24">
        <v>3.2666666666666671</v>
      </c>
      <c r="D24">
        <v>3.9499999999999993</v>
      </c>
      <c r="E24">
        <v>4.26</v>
      </c>
      <c r="F24">
        <v>4.6200000000000019</v>
      </c>
      <c r="H24">
        <v>4.1700000000000017</v>
      </c>
      <c r="I24">
        <v>3.6099999999999994</v>
      </c>
      <c r="J24">
        <v>3.3200000000000016</v>
      </c>
      <c r="K24">
        <v>4.3125</v>
      </c>
      <c r="N24">
        <v>23</v>
      </c>
      <c r="O24">
        <f t="shared" si="1"/>
        <v>14.798000000000002</v>
      </c>
      <c r="P24">
        <f t="shared" si="1"/>
        <v>17.8935</v>
      </c>
      <c r="Q24">
        <f t="shared" si="1"/>
        <v>19.297799999999999</v>
      </c>
      <c r="R24">
        <f t="shared" si="1"/>
        <v>20.92860000000001</v>
      </c>
      <c r="S24">
        <f t="shared" si="1"/>
        <v>0</v>
      </c>
      <c r="T24">
        <f t="shared" si="1"/>
        <v>18.890100000000007</v>
      </c>
      <c r="U24">
        <f t="shared" si="1"/>
        <v>16.353299999999997</v>
      </c>
      <c r="V24">
        <f t="shared" si="1"/>
        <v>15.039600000000009</v>
      </c>
      <c r="W24">
        <f t="shared" si="1"/>
        <v>19.535625</v>
      </c>
    </row>
    <row r="26" spans="1:59">
      <c r="A26" t="s">
        <v>170</v>
      </c>
      <c r="B26" s="43" t="s">
        <v>157</v>
      </c>
      <c r="C26" s="55" t="s">
        <v>158</v>
      </c>
      <c r="D26" s="55" t="s">
        <v>159</v>
      </c>
      <c r="E26" s="56" t="s">
        <v>160</v>
      </c>
      <c r="F26" s="56" t="s">
        <v>161</v>
      </c>
      <c r="G26" s="56" t="s">
        <v>162</v>
      </c>
      <c r="H26" s="57" t="s">
        <v>163</v>
      </c>
      <c r="I26" s="57" t="s">
        <v>164</v>
      </c>
      <c r="J26" s="58" t="s">
        <v>165</v>
      </c>
      <c r="K26" s="58" t="s">
        <v>166</v>
      </c>
      <c r="M26" t="s">
        <v>169</v>
      </c>
      <c r="N26" s="43" t="s">
        <v>157</v>
      </c>
      <c r="O26" s="55" t="s">
        <v>158</v>
      </c>
      <c r="P26" s="55" t="s">
        <v>159</v>
      </c>
      <c r="Q26" s="56" t="s">
        <v>160</v>
      </c>
      <c r="R26" s="56" t="s">
        <v>161</v>
      </c>
      <c r="S26" s="56" t="s">
        <v>162</v>
      </c>
      <c r="T26" s="57" t="s">
        <v>163</v>
      </c>
      <c r="U26" s="57" t="s">
        <v>164</v>
      </c>
      <c r="V26" s="58" t="s">
        <v>165</v>
      </c>
      <c r="W26" s="58" t="s">
        <v>166</v>
      </c>
      <c r="Y26" t="s">
        <v>169</v>
      </c>
      <c r="Z26" s="43" t="s">
        <v>157</v>
      </c>
      <c r="AA26" s="55" t="s">
        <v>158</v>
      </c>
      <c r="AB26" s="55" t="s">
        <v>159</v>
      </c>
      <c r="AC26" s="56" t="s">
        <v>160</v>
      </c>
      <c r="AD26" s="56" t="s">
        <v>161</v>
      </c>
      <c r="AE26" s="56" t="s">
        <v>162</v>
      </c>
      <c r="AF26" s="57" t="s">
        <v>163</v>
      </c>
      <c r="AG26" s="57" t="s">
        <v>164</v>
      </c>
      <c r="AH26" s="58" t="s">
        <v>165</v>
      </c>
      <c r="AI26" s="58" t="s">
        <v>166</v>
      </c>
      <c r="AK26" t="s">
        <v>171</v>
      </c>
      <c r="AL26" s="43" t="s">
        <v>157</v>
      </c>
      <c r="AM26" s="55" t="s">
        <v>158</v>
      </c>
      <c r="AN26" s="55" t="s">
        <v>159</v>
      </c>
      <c r="AO26" s="56" t="s">
        <v>160</v>
      </c>
      <c r="AP26" s="56" t="s">
        <v>161</v>
      </c>
      <c r="AQ26" s="56" t="s">
        <v>162</v>
      </c>
      <c r="AR26" s="57" t="s">
        <v>163</v>
      </c>
      <c r="AS26" s="57" t="s">
        <v>164</v>
      </c>
      <c r="AT26" s="58" t="s">
        <v>165</v>
      </c>
      <c r="AU26" s="58" t="s">
        <v>166</v>
      </c>
      <c r="AW26" t="s">
        <v>172</v>
      </c>
      <c r="AX26" s="43" t="s">
        <v>157</v>
      </c>
      <c r="AY26" s="55" t="s">
        <v>158</v>
      </c>
      <c r="AZ26" s="55" t="s">
        <v>159</v>
      </c>
      <c r="BA26" s="56" t="s">
        <v>160</v>
      </c>
      <c r="BB26" s="56" t="s">
        <v>161</v>
      </c>
      <c r="BC26" s="56" t="s">
        <v>162</v>
      </c>
      <c r="BD26" s="57" t="s">
        <v>163</v>
      </c>
      <c r="BE26" s="57" t="s">
        <v>164</v>
      </c>
      <c r="BF26" s="58" t="s">
        <v>165</v>
      </c>
      <c r="BG26" s="58" t="s">
        <v>166</v>
      </c>
    </row>
    <row r="27" spans="1:59">
      <c r="B27">
        <v>1</v>
      </c>
      <c r="C27" s="59">
        <f>'g food per mouse per week'!D2</f>
        <v>10.175000000000011</v>
      </c>
      <c r="D27" s="59">
        <f>'g food per mouse per week'!D3</f>
        <v>6.4499999999999886</v>
      </c>
      <c r="E27" s="59">
        <f>'g food per mouse per week'!G2</f>
        <v>3.9249999999999972</v>
      </c>
      <c r="F27" s="59">
        <f>'g food per mouse per week'!G3</f>
        <v>4.0500000000000114</v>
      </c>
      <c r="G27" s="59"/>
      <c r="H27" s="59">
        <f>'g food per mouse per week'!J2</f>
        <v>6.333333333333333</v>
      </c>
      <c r="I27" s="59">
        <f>'g food per mouse per week'!J3</f>
        <v>6.0666666666666629</v>
      </c>
      <c r="J27" s="59">
        <f>'g food per mouse per week'!M2</f>
        <v>5.1000000000000041</v>
      </c>
      <c r="K27" s="59">
        <f>'g food per mouse per week'!M3</f>
        <v>4.666666666666667</v>
      </c>
      <c r="N27">
        <v>1</v>
      </c>
      <c r="O27">
        <f>C27*4.53</f>
        <v>46.092750000000052</v>
      </c>
      <c r="P27">
        <f t="shared" ref="P27:P49" si="2">D27*4.53</f>
        <v>29.218499999999949</v>
      </c>
      <c r="Q27">
        <f t="shared" ref="Q27:Q49" si="3">E27*4.53</f>
        <v>17.780249999999988</v>
      </c>
      <c r="R27">
        <f t="shared" ref="R27:R49" si="4">F27*4.53</f>
        <v>18.346500000000052</v>
      </c>
      <c r="S27">
        <f t="shared" ref="S27:S49" si="5">G27*4.53</f>
        <v>0</v>
      </c>
      <c r="T27">
        <f t="shared" ref="T27:T49" si="6">H27*4.53</f>
        <v>28.69</v>
      </c>
      <c r="U27">
        <f t="shared" ref="U27:U49" si="7">I27*4.53</f>
        <v>27.481999999999985</v>
      </c>
      <c r="V27">
        <f t="shared" ref="V27:V49" si="8">J27*4.53</f>
        <v>23.103000000000019</v>
      </c>
      <c r="W27">
        <f t="shared" ref="W27:W49" si="9">K27*4.53</f>
        <v>21.140000000000004</v>
      </c>
      <c r="Z27">
        <v>1</v>
      </c>
      <c r="AA27">
        <v>46.092750000000052</v>
      </c>
      <c r="AB27">
        <v>29.218499999999949</v>
      </c>
      <c r="AC27">
        <v>17.780249999999988</v>
      </c>
      <c r="AD27">
        <v>18.346500000000052</v>
      </c>
      <c r="AE27">
        <v>0</v>
      </c>
      <c r="AF27">
        <v>28.69</v>
      </c>
      <c r="AG27">
        <v>27.481999999999985</v>
      </c>
      <c r="AH27">
        <v>23.103000000000019</v>
      </c>
      <c r="AI27">
        <v>21.140000000000004</v>
      </c>
      <c r="AL27">
        <v>1</v>
      </c>
      <c r="AM27">
        <v>46.092750000000052</v>
      </c>
      <c r="AN27">
        <v>29.218499999999949</v>
      </c>
      <c r="AO27">
        <v>17.780249999999988</v>
      </c>
      <c r="AP27">
        <v>18.346500000000052</v>
      </c>
      <c r="AQ27">
        <v>0</v>
      </c>
      <c r="AR27">
        <v>28.69</v>
      </c>
      <c r="AS27">
        <v>27.481999999999985</v>
      </c>
      <c r="AT27">
        <v>23.103000000000019</v>
      </c>
      <c r="AU27">
        <v>21.140000000000004</v>
      </c>
      <c r="AX27">
        <v>1</v>
      </c>
      <c r="AY27">
        <f>AM27/$AM$27</f>
        <v>1</v>
      </c>
      <c r="AZ27">
        <f>AN27/$AN$27</f>
        <v>1</v>
      </c>
      <c r="BA27">
        <f>AO27/AO$27</f>
        <v>1</v>
      </c>
      <c r="BB27">
        <f t="shared" ref="BB27:BG42" si="10">AP27/AP$27</f>
        <v>1</v>
      </c>
      <c r="BC27" t="e">
        <f t="shared" si="10"/>
        <v>#DIV/0!</v>
      </c>
      <c r="BD27">
        <f t="shared" si="10"/>
        <v>1</v>
      </c>
      <c r="BE27">
        <f t="shared" si="10"/>
        <v>1</v>
      </c>
      <c r="BF27">
        <f t="shared" si="10"/>
        <v>1</v>
      </c>
      <c r="BG27">
        <f t="shared" si="10"/>
        <v>1</v>
      </c>
    </row>
    <row r="28" spans="1:59">
      <c r="B28">
        <v>2</v>
      </c>
      <c r="C28" s="59">
        <f>'g food per mouse per week'!D9</f>
        <v>15.549999999999997</v>
      </c>
      <c r="D28" s="59">
        <f>'g food per mouse per week'!D10</f>
        <v>12.599999999999994</v>
      </c>
      <c r="E28" s="59">
        <v>30.850000000000009</v>
      </c>
      <c r="F28" s="59">
        <v>18</v>
      </c>
      <c r="G28" s="59"/>
      <c r="H28" s="59">
        <v>13.5</v>
      </c>
      <c r="I28" s="59">
        <v>16.433333333333337</v>
      </c>
      <c r="J28" s="59">
        <v>15.833333333333334</v>
      </c>
      <c r="K28" s="59">
        <v>11.433333333333318</v>
      </c>
      <c r="N28">
        <v>2</v>
      </c>
      <c r="O28">
        <f t="shared" ref="O28:O49" si="11">C28*4.53</f>
        <v>70.441499999999991</v>
      </c>
      <c r="P28">
        <f t="shared" si="2"/>
        <v>57.077999999999975</v>
      </c>
      <c r="Q28">
        <f t="shared" si="3"/>
        <v>139.75050000000005</v>
      </c>
      <c r="R28">
        <f t="shared" si="4"/>
        <v>81.540000000000006</v>
      </c>
      <c r="S28">
        <f t="shared" si="5"/>
        <v>0</v>
      </c>
      <c r="T28">
        <f t="shared" si="6"/>
        <v>61.155000000000001</v>
      </c>
      <c r="U28">
        <f t="shared" si="7"/>
        <v>74.443000000000026</v>
      </c>
      <c r="V28">
        <f t="shared" si="8"/>
        <v>71.725000000000009</v>
      </c>
      <c r="W28">
        <f t="shared" si="9"/>
        <v>51.792999999999928</v>
      </c>
      <c r="Z28">
        <v>2</v>
      </c>
      <c r="AA28">
        <v>70.441499999999991</v>
      </c>
      <c r="AB28">
        <v>57.078000000000003</v>
      </c>
      <c r="AC28">
        <v>139.75050000000005</v>
      </c>
      <c r="AD28">
        <v>81.540000000000006</v>
      </c>
      <c r="AE28">
        <v>0</v>
      </c>
      <c r="AF28">
        <v>61.155000000000001</v>
      </c>
      <c r="AG28">
        <v>74.443000000000026</v>
      </c>
      <c r="AH28">
        <v>71.725000000000009</v>
      </c>
      <c r="AI28">
        <v>51.792999999999928</v>
      </c>
      <c r="AL28">
        <v>2</v>
      </c>
      <c r="AM28">
        <f>SUM(AA27:AA28)</f>
        <v>116.53425000000004</v>
      </c>
      <c r="AN28">
        <f t="shared" ref="AN28:AU28" si="12">SUM(AB27:AB28)</f>
        <v>86.296499999999952</v>
      </c>
      <c r="AO28">
        <f t="shared" si="12"/>
        <v>157.53075000000004</v>
      </c>
      <c r="AP28">
        <f t="shared" si="12"/>
        <v>99.886500000000055</v>
      </c>
      <c r="AQ28">
        <f t="shared" si="12"/>
        <v>0</v>
      </c>
      <c r="AR28">
        <f t="shared" si="12"/>
        <v>89.844999999999999</v>
      </c>
      <c r="AS28">
        <f t="shared" si="12"/>
        <v>101.92500000000001</v>
      </c>
      <c r="AT28">
        <f t="shared" si="12"/>
        <v>94.828000000000031</v>
      </c>
      <c r="AU28">
        <f t="shared" si="12"/>
        <v>72.932999999999936</v>
      </c>
      <c r="AX28">
        <v>2</v>
      </c>
      <c r="AY28">
        <f>AM28/$AM$27</f>
        <v>2.5282555282555261</v>
      </c>
      <c r="AZ28">
        <f t="shared" ref="AZ28:AZ44" si="13">AN28/$AN$27</f>
        <v>2.9534883720930267</v>
      </c>
      <c r="BA28">
        <f t="shared" ref="BA28:BB44" si="14">AO28/AO$27</f>
        <v>8.8598726114649757</v>
      </c>
      <c r="BB28">
        <f t="shared" si="10"/>
        <v>5.4444444444444322</v>
      </c>
      <c r="BC28">
        <v>0</v>
      </c>
      <c r="BD28">
        <f t="shared" si="10"/>
        <v>3.1315789473684208</v>
      </c>
      <c r="BE28">
        <f t="shared" si="10"/>
        <v>3.7087912087912112</v>
      </c>
      <c r="BF28">
        <f t="shared" si="10"/>
        <v>4.1045751633986907</v>
      </c>
      <c r="BG28">
        <f t="shared" si="10"/>
        <v>3.4499999999999962</v>
      </c>
    </row>
    <row r="29" spans="1:59">
      <c r="B29">
        <v>3</v>
      </c>
      <c r="C29" s="59">
        <v>25.875</v>
      </c>
      <c r="D29" s="59">
        <v>22.600000000000023</v>
      </c>
      <c r="E29">
        <v>14.125</v>
      </c>
      <c r="F29" s="59">
        <v>25.099999999999994</v>
      </c>
      <c r="G29" s="59"/>
      <c r="H29">
        <v>22.433333333333319</v>
      </c>
      <c r="I29" s="59">
        <v>18.566666666666663</v>
      </c>
      <c r="J29">
        <v>31.499999999999982</v>
      </c>
      <c r="K29" s="59">
        <v>21.366666666666656</v>
      </c>
      <c r="N29">
        <v>3</v>
      </c>
      <c r="O29">
        <f t="shared" si="11"/>
        <v>117.21375</v>
      </c>
      <c r="P29">
        <f t="shared" si="2"/>
        <v>102.37800000000011</v>
      </c>
      <c r="Q29">
        <f t="shared" si="3"/>
        <v>63.986250000000005</v>
      </c>
      <c r="R29">
        <f t="shared" si="4"/>
        <v>113.70299999999997</v>
      </c>
      <c r="S29">
        <f t="shared" si="5"/>
        <v>0</v>
      </c>
      <c r="T29">
        <f t="shared" si="6"/>
        <v>101.62299999999995</v>
      </c>
      <c r="U29">
        <f t="shared" si="7"/>
        <v>84.106999999999985</v>
      </c>
      <c r="V29">
        <f t="shared" si="8"/>
        <v>142.69499999999994</v>
      </c>
      <c r="W29">
        <f t="shared" si="9"/>
        <v>96.790999999999954</v>
      </c>
      <c r="Z29">
        <v>3</v>
      </c>
      <c r="AA29">
        <v>117.21375</v>
      </c>
      <c r="AB29">
        <v>102.37800000000011</v>
      </c>
      <c r="AC29">
        <v>63.986250000000005</v>
      </c>
      <c r="AD29">
        <v>113.70299999999997</v>
      </c>
      <c r="AE29">
        <v>0</v>
      </c>
      <c r="AF29">
        <v>101.62299999999995</v>
      </c>
      <c r="AG29">
        <v>84.106999999999985</v>
      </c>
      <c r="AH29">
        <v>142.69499999999994</v>
      </c>
      <c r="AI29">
        <v>96.790999999999954</v>
      </c>
      <c r="AL29">
        <v>3</v>
      </c>
      <c r="AM29">
        <f>SUM(AA27:AA29)</f>
        <v>233.74800000000005</v>
      </c>
      <c r="AN29">
        <f t="shared" ref="AN29:AU29" si="15">SUM(AB27:AB29)</f>
        <v>188.67450000000008</v>
      </c>
      <c r="AO29">
        <f t="shared" si="15"/>
        <v>221.51700000000005</v>
      </c>
      <c r="AP29">
        <f t="shared" si="15"/>
        <v>213.58950000000004</v>
      </c>
      <c r="AQ29">
        <f t="shared" si="15"/>
        <v>0</v>
      </c>
      <c r="AR29">
        <f t="shared" si="15"/>
        <v>191.46799999999996</v>
      </c>
      <c r="AS29">
        <f t="shared" si="15"/>
        <v>186.03199999999998</v>
      </c>
      <c r="AT29">
        <f t="shared" si="15"/>
        <v>237.52299999999997</v>
      </c>
      <c r="AU29">
        <f t="shared" si="15"/>
        <v>169.72399999999988</v>
      </c>
      <c r="AX29">
        <v>3</v>
      </c>
      <c r="AY29">
        <f>AM29/$AM$27</f>
        <v>5.0712530712530661</v>
      </c>
      <c r="AZ29">
        <f t="shared" si="13"/>
        <v>6.4573643410852855</v>
      </c>
      <c r="BA29">
        <f t="shared" si="14"/>
        <v>12.45859872611466</v>
      </c>
      <c r="BB29">
        <f t="shared" si="10"/>
        <v>11.641975308641944</v>
      </c>
      <c r="BC29">
        <v>0</v>
      </c>
      <c r="BD29">
        <f t="shared" si="10"/>
        <v>6.6736842105263143</v>
      </c>
      <c r="BE29">
        <f t="shared" si="10"/>
        <v>6.7692307692307718</v>
      </c>
      <c r="BF29">
        <f t="shared" si="10"/>
        <v>10.281045751633977</v>
      </c>
      <c r="BG29">
        <f t="shared" si="10"/>
        <v>8.0285714285714214</v>
      </c>
    </row>
    <row r="30" spans="1:59">
      <c r="B30">
        <v>4</v>
      </c>
      <c r="C30">
        <v>56</v>
      </c>
      <c r="D30" s="59">
        <v>12.449999999999989</v>
      </c>
      <c r="E30">
        <v>65.125</v>
      </c>
      <c r="F30" s="59">
        <v>23.449999999999989</v>
      </c>
      <c r="G30" s="59"/>
      <c r="H30">
        <v>16.266666666666669</v>
      </c>
      <c r="I30" s="59">
        <v>15.533333333333323</v>
      </c>
      <c r="J30">
        <v>20.033333333333342</v>
      </c>
      <c r="K30">
        <v>12.100000000000003</v>
      </c>
      <c r="N30">
        <v>4</v>
      </c>
      <c r="O30">
        <f t="shared" si="11"/>
        <v>253.68</v>
      </c>
      <c r="P30">
        <f t="shared" si="2"/>
        <v>56.398499999999949</v>
      </c>
      <c r="Q30">
        <f t="shared" si="3"/>
        <v>295.01625000000001</v>
      </c>
      <c r="R30">
        <f t="shared" si="4"/>
        <v>106.22849999999995</v>
      </c>
      <c r="S30">
        <f t="shared" si="5"/>
        <v>0</v>
      </c>
      <c r="T30">
        <f t="shared" si="6"/>
        <v>73.688000000000017</v>
      </c>
      <c r="U30">
        <f t="shared" si="7"/>
        <v>70.365999999999957</v>
      </c>
      <c r="V30">
        <f t="shared" si="8"/>
        <v>90.751000000000047</v>
      </c>
      <c r="W30">
        <f t="shared" si="9"/>
        <v>54.813000000000017</v>
      </c>
      <c r="Z30">
        <v>4</v>
      </c>
      <c r="AA30">
        <v>253.68</v>
      </c>
      <c r="AB30">
        <v>56.398499999999949</v>
      </c>
      <c r="AC30">
        <v>295.01625000000001</v>
      </c>
      <c r="AD30">
        <v>106.22849999999995</v>
      </c>
      <c r="AE30">
        <v>0</v>
      </c>
      <c r="AF30">
        <v>73.688000000000017</v>
      </c>
      <c r="AG30">
        <v>70.365999999999957</v>
      </c>
      <c r="AH30">
        <v>90.751000000000047</v>
      </c>
      <c r="AI30">
        <v>54.813000000000017</v>
      </c>
      <c r="AL30">
        <v>4</v>
      </c>
      <c r="AM30">
        <f>SUM(AA27:AA30)</f>
        <v>487.42800000000005</v>
      </c>
      <c r="AN30">
        <f t="shared" ref="AN30:AU30" si="16">SUM(AB27:AB30)</f>
        <v>245.07300000000004</v>
      </c>
      <c r="AO30">
        <f t="shared" si="16"/>
        <v>516.53325000000007</v>
      </c>
      <c r="AP30">
        <f t="shared" si="16"/>
        <v>319.81799999999998</v>
      </c>
      <c r="AQ30">
        <f t="shared" si="16"/>
        <v>0</v>
      </c>
      <c r="AR30">
        <f t="shared" si="16"/>
        <v>265.15599999999995</v>
      </c>
      <c r="AS30">
        <f t="shared" si="16"/>
        <v>256.39799999999991</v>
      </c>
      <c r="AT30">
        <f t="shared" si="16"/>
        <v>328.274</v>
      </c>
      <c r="AU30">
        <f t="shared" si="16"/>
        <v>224.53699999999989</v>
      </c>
      <c r="AX30">
        <v>4</v>
      </c>
      <c r="AY30">
        <f>AM30/$AM$27</f>
        <v>10.574938574938564</v>
      </c>
      <c r="AZ30">
        <f t="shared" si="13"/>
        <v>8.3875968992248229</v>
      </c>
      <c r="BA30">
        <f t="shared" si="14"/>
        <v>29.050955414012762</v>
      </c>
      <c r="BB30">
        <f t="shared" si="10"/>
        <v>17.432098765432048</v>
      </c>
      <c r="BC30">
        <v>0</v>
      </c>
      <c r="BD30">
        <f t="shared" si="10"/>
        <v>9.2421052631578924</v>
      </c>
      <c r="BE30">
        <f t="shared" si="10"/>
        <v>9.3296703296703321</v>
      </c>
      <c r="BF30">
        <f t="shared" si="10"/>
        <v>14.209150326797374</v>
      </c>
      <c r="BG30">
        <f t="shared" si="10"/>
        <v>10.621428571428565</v>
      </c>
    </row>
    <row r="31" spans="1:59">
      <c r="B31">
        <v>5</v>
      </c>
      <c r="C31">
        <v>19.025000000000006</v>
      </c>
      <c r="D31">
        <v>15.800000000000011</v>
      </c>
      <c r="E31">
        <v>51.449999999999996</v>
      </c>
      <c r="F31" s="59">
        <v>16.849999999999994</v>
      </c>
      <c r="G31" s="59"/>
      <c r="H31">
        <v>16.566666666666663</v>
      </c>
      <c r="I31">
        <v>17.066666666666681</v>
      </c>
      <c r="J31">
        <v>28.233333333333331</v>
      </c>
      <c r="K31">
        <v>14.96666666666666</v>
      </c>
      <c r="N31">
        <v>5</v>
      </c>
      <c r="O31">
        <f t="shared" si="11"/>
        <v>86.183250000000029</v>
      </c>
      <c r="P31">
        <f t="shared" si="2"/>
        <v>71.574000000000055</v>
      </c>
      <c r="Q31">
        <f t="shared" si="3"/>
        <v>233.0685</v>
      </c>
      <c r="R31">
        <f t="shared" si="4"/>
        <v>76.330499999999972</v>
      </c>
      <c r="S31">
        <f t="shared" si="5"/>
        <v>0</v>
      </c>
      <c r="T31">
        <f t="shared" si="6"/>
        <v>75.046999999999983</v>
      </c>
      <c r="U31">
        <f t="shared" si="7"/>
        <v>77.312000000000069</v>
      </c>
      <c r="V31">
        <f t="shared" si="8"/>
        <v>127.89699999999999</v>
      </c>
      <c r="W31">
        <f t="shared" si="9"/>
        <v>67.798999999999978</v>
      </c>
      <c r="Z31">
        <v>5</v>
      </c>
      <c r="AA31">
        <v>86.183250000000029</v>
      </c>
      <c r="AB31">
        <v>71.574000000000055</v>
      </c>
      <c r="AC31">
        <v>233.0685</v>
      </c>
      <c r="AD31">
        <v>76.330499999999972</v>
      </c>
      <c r="AE31">
        <v>0</v>
      </c>
      <c r="AF31">
        <v>75.046999999999983</v>
      </c>
      <c r="AG31">
        <v>77.312000000000069</v>
      </c>
      <c r="AH31">
        <v>127.89699999999999</v>
      </c>
      <c r="AI31">
        <v>67.799000000000007</v>
      </c>
      <c r="AL31">
        <v>5</v>
      </c>
      <c r="AM31">
        <f>SUM(AA27:AA31)</f>
        <v>573.61125000000004</v>
      </c>
      <c r="AN31">
        <f t="shared" ref="AN31:AU31" si="17">SUM(AB27:AB31)</f>
        <v>316.64700000000011</v>
      </c>
      <c r="AO31">
        <f t="shared" si="17"/>
        <v>749.60175000000004</v>
      </c>
      <c r="AP31">
        <f t="shared" si="17"/>
        <v>396.14849999999996</v>
      </c>
      <c r="AQ31">
        <f t="shared" si="17"/>
        <v>0</v>
      </c>
      <c r="AR31">
        <f t="shared" si="17"/>
        <v>340.20299999999992</v>
      </c>
      <c r="AS31">
        <f t="shared" si="17"/>
        <v>333.71</v>
      </c>
      <c r="AT31">
        <f t="shared" si="17"/>
        <v>456.17099999999999</v>
      </c>
      <c r="AU31">
        <f t="shared" si="17"/>
        <v>292.3359999999999</v>
      </c>
      <c r="AX31">
        <v>5</v>
      </c>
      <c r="AY31">
        <f t="shared" ref="AY31:AY44" si="18">AM31/$AM$27</f>
        <v>12.444717444717432</v>
      </c>
      <c r="AZ31">
        <f t="shared" si="13"/>
        <v>10.837209302325604</v>
      </c>
      <c r="BA31">
        <f t="shared" si="14"/>
        <v>42.15923566878984</v>
      </c>
      <c r="BB31">
        <f t="shared" si="10"/>
        <v>21.592592592592528</v>
      </c>
      <c r="BC31">
        <v>0</v>
      </c>
      <c r="BD31">
        <f t="shared" si="10"/>
        <v>11.857894736842102</v>
      </c>
      <c r="BE31">
        <f t="shared" si="10"/>
        <v>12.142857142857149</v>
      </c>
      <c r="BF31">
        <f t="shared" si="10"/>
        <v>19.745098039215669</v>
      </c>
      <c r="BG31">
        <f t="shared" si="10"/>
        <v>13.82857142857142</v>
      </c>
    </row>
    <row r="32" spans="1:59">
      <c r="B32" s="45">
        <v>6</v>
      </c>
      <c r="C32">
        <v>18</v>
      </c>
      <c r="D32">
        <v>15.899999999999977</v>
      </c>
      <c r="E32" s="60">
        <v>-32.199999999999996</v>
      </c>
      <c r="F32" s="60">
        <v>116.75000000000001</v>
      </c>
      <c r="G32" s="59"/>
      <c r="H32">
        <v>17.799999999999994</v>
      </c>
      <c r="I32">
        <v>17.166666666666668</v>
      </c>
      <c r="J32">
        <v>17.266666666666669</v>
      </c>
      <c r="K32">
        <v>32</v>
      </c>
      <c r="N32" s="45">
        <v>6</v>
      </c>
      <c r="O32">
        <f t="shared" si="11"/>
        <v>81.540000000000006</v>
      </c>
      <c r="P32">
        <f t="shared" si="2"/>
        <v>72.026999999999902</v>
      </c>
      <c r="Q32">
        <f t="shared" si="3"/>
        <v>-145.86599999999999</v>
      </c>
      <c r="R32">
        <f t="shared" si="4"/>
        <v>528.87750000000005</v>
      </c>
      <c r="S32">
        <f t="shared" si="5"/>
        <v>0</v>
      </c>
      <c r="T32">
        <f t="shared" si="6"/>
        <v>80.633999999999972</v>
      </c>
      <c r="U32">
        <f t="shared" si="7"/>
        <v>77.765000000000015</v>
      </c>
      <c r="V32">
        <f t="shared" si="8"/>
        <v>78.218000000000018</v>
      </c>
      <c r="W32">
        <f t="shared" si="9"/>
        <v>144.96</v>
      </c>
      <c r="Z32">
        <v>8</v>
      </c>
      <c r="AA32">
        <v>98.640749999999997</v>
      </c>
      <c r="AB32">
        <v>98.980499999999978</v>
      </c>
      <c r="AC32">
        <v>95.583000000000013</v>
      </c>
      <c r="AD32">
        <v>91.052999999999983</v>
      </c>
      <c r="AE32">
        <v>0</v>
      </c>
      <c r="AF32">
        <v>122.15900000000002</v>
      </c>
      <c r="AG32">
        <v>122.91399999999997</v>
      </c>
      <c r="AH32">
        <v>89.694000000000003</v>
      </c>
      <c r="AI32">
        <v>108.41800000000002</v>
      </c>
      <c r="AL32">
        <v>8</v>
      </c>
      <c r="AM32">
        <f>SUM(AA27:AA32)</f>
        <v>672.25200000000007</v>
      </c>
      <c r="AN32">
        <f t="shared" ref="AN32:AU32" si="19">SUM(AB27:AB32)</f>
        <v>415.62750000000005</v>
      </c>
      <c r="AO32">
        <f t="shared" si="19"/>
        <v>845.18475000000001</v>
      </c>
      <c r="AP32">
        <f t="shared" si="19"/>
        <v>487.20149999999995</v>
      </c>
      <c r="AQ32">
        <f t="shared" si="19"/>
        <v>0</v>
      </c>
      <c r="AR32">
        <f t="shared" si="19"/>
        <v>462.36199999999997</v>
      </c>
      <c r="AS32">
        <f t="shared" si="19"/>
        <v>456.62399999999997</v>
      </c>
      <c r="AT32">
        <f t="shared" si="19"/>
        <v>545.86500000000001</v>
      </c>
      <c r="AU32">
        <f t="shared" si="19"/>
        <v>400.75399999999991</v>
      </c>
      <c r="AX32">
        <v>8</v>
      </c>
      <c r="AY32">
        <f t="shared" si="18"/>
        <v>14.58476658476657</v>
      </c>
      <c r="AZ32">
        <f t="shared" si="13"/>
        <v>14.224806201550415</v>
      </c>
      <c r="BA32">
        <f t="shared" si="14"/>
        <v>47.535031847133787</v>
      </c>
      <c r="BB32">
        <f t="shared" si="10"/>
        <v>26.555555555555479</v>
      </c>
      <c r="BC32">
        <v>0</v>
      </c>
      <c r="BD32">
        <f t="shared" si="10"/>
        <v>16.11578947368421</v>
      </c>
      <c r="BE32">
        <f t="shared" si="10"/>
        <v>16.615384615384624</v>
      </c>
      <c r="BF32">
        <f t="shared" si="10"/>
        <v>23.627450980392137</v>
      </c>
      <c r="BG32">
        <f t="shared" si="10"/>
        <v>18.957142857142848</v>
      </c>
    </row>
    <row r="33" spans="2:59">
      <c r="B33" s="45">
        <v>7</v>
      </c>
      <c r="C33">
        <v>16.474999999999994</v>
      </c>
      <c r="D33">
        <v>17.550000000000011</v>
      </c>
      <c r="E33">
        <v>36.024999999999999</v>
      </c>
      <c r="F33" s="60">
        <v>-86.05</v>
      </c>
      <c r="G33" s="59"/>
      <c r="H33">
        <v>18.266666666666669</v>
      </c>
      <c r="I33">
        <v>18.666666666666668</v>
      </c>
      <c r="J33">
        <v>15.366666666666665</v>
      </c>
      <c r="K33">
        <v>21.233333333333331</v>
      </c>
      <c r="N33" s="45">
        <v>7</v>
      </c>
      <c r="O33">
        <f t="shared" si="11"/>
        <v>74.631749999999982</v>
      </c>
      <c r="P33">
        <f t="shared" si="2"/>
        <v>79.50150000000005</v>
      </c>
      <c r="Q33">
        <f t="shared" si="3"/>
        <v>163.19325000000001</v>
      </c>
      <c r="R33">
        <f t="shared" si="4"/>
        <v>-389.80650000000003</v>
      </c>
      <c r="S33">
        <f t="shared" si="5"/>
        <v>0</v>
      </c>
      <c r="T33">
        <f t="shared" si="6"/>
        <v>82.748000000000019</v>
      </c>
      <c r="U33">
        <f t="shared" si="7"/>
        <v>84.560000000000016</v>
      </c>
      <c r="V33">
        <f t="shared" si="8"/>
        <v>69.611000000000004</v>
      </c>
      <c r="W33">
        <f t="shared" si="9"/>
        <v>96.186999999999998</v>
      </c>
      <c r="Z33">
        <v>10</v>
      </c>
      <c r="AA33">
        <v>93.544500000000014</v>
      </c>
      <c r="AB33">
        <v>87.202500000000001</v>
      </c>
      <c r="AC33">
        <v>86.636250000000018</v>
      </c>
      <c r="AD33">
        <v>75.197999999999979</v>
      </c>
      <c r="AE33">
        <v>0</v>
      </c>
      <c r="AF33">
        <v>98.301000000000016</v>
      </c>
      <c r="AG33">
        <v>109.47500000000002</v>
      </c>
      <c r="AH33">
        <v>88.033000000000015</v>
      </c>
      <c r="AI33">
        <v>103.73699999999998</v>
      </c>
      <c r="AL33">
        <v>10</v>
      </c>
      <c r="AM33">
        <f>SUM(AA27:AA33)</f>
        <v>765.79650000000004</v>
      </c>
      <c r="AN33">
        <f t="shared" ref="AN33:AU33" si="20">SUM(AB27:AB33)</f>
        <v>502.83000000000004</v>
      </c>
      <c r="AO33">
        <f t="shared" si="20"/>
        <v>931.82100000000003</v>
      </c>
      <c r="AP33">
        <f t="shared" si="20"/>
        <v>562.39949999999999</v>
      </c>
      <c r="AQ33">
        <f t="shared" si="20"/>
        <v>0</v>
      </c>
      <c r="AR33">
        <f t="shared" si="20"/>
        <v>560.66300000000001</v>
      </c>
      <c r="AS33">
        <f t="shared" si="20"/>
        <v>566.09899999999993</v>
      </c>
      <c r="AT33">
        <f t="shared" si="20"/>
        <v>633.89800000000002</v>
      </c>
      <c r="AU33">
        <f t="shared" si="20"/>
        <v>504.49099999999987</v>
      </c>
      <c r="AX33">
        <v>10</v>
      </c>
      <c r="AY33">
        <f t="shared" si="18"/>
        <v>16.614250614250597</v>
      </c>
      <c r="AZ33">
        <f t="shared" si="13"/>
        <v>17.209302325581426</v>
      </c>
      <c r="BA33">
        <f t="shared" si="14"/>
        <v>52.407643312101946</v>
      </c>
      <c r="BB33">
        <f t="shared" si="10"/>
        <v>30.654320987654234</v>
      </c>
      <c r="BC33">
        <v>0</v>
      </c>
      <c r="BD33">
        <f t="shared" si="10"/>
        <v>19.542105263157893</v>
      </c>
      <c r="BE33">
        <f t="shared" si="10"/>
        <v>20.598901098901109</v>
      </c>
      <c r="BF33">
        <f t="shared" si="10"/>
        <v>27.437908496732003</v>
      </c>
      <c r="BG33">
        <f t="shared" si="10"/>
        <v>23.864285714285703</v>
      </c>
    </row>
    <row r="34" spans="2:59">
      <c r="B34">
        <v>8</v>
      </c>
      <c r="C34">
        <v>21.774999999999999</v>
      </c>
      <c r="D34">
        <v>21.849999999999994</v>
      </c>
      <c r="E34">
        <v>21.1</v>
      </c>
      <c r="F34" s="59">
        <v>20.099999999999994</v>
      </c>
      <c r="G34" s="59"/>
      <c r="H34">
        <v>26.966666666666669</v>
      </c>
      <c r="I34" s="59">
        <v>27.133333333333326</v>
      </c>
      <c r="J34">
        <v>19.8</v>
      </c>
      <c r="K34" s="59">
        <v>23.933333333333337</v>
      </c>
      <c r="N34">
        <v>8</v>
      </c>
      <c r="O34">
        <f t="shared" si="11"/>
        <v>98.640749999999997</v>
      </c>
      <c r="P34">
        <f t="shared" si="2"/>
        <v>98.980499999999978</v>
      </c>
      <c r="Q34">
        <f t="shared" si="3"/>
        <v>95.583000000000013</v>
      </c>
      <c r="R34">
        <f t="shared" si="4"/>
        <v>91.052999999999983</v>
      </c>
      <c r="S34">
        <f t="shared" si="5"/>
        <v>0</v>
      </c>
      <c r="T34">
        <f t="shared" si="6"/>
        <v>122.15900000000002</v>
      </c>
      <c r="U34">
        <f t="shared" si="7"/>
        <v>122.91399999999997</v>
      </c>
      <c r="V34">
        <f t="shared" si="8"/>
        <v>89.694000000000003</v>
      </c>
      <c r="W34">
        <f t="shared" si="9"/>
        <v>108.41800000000002</v>
      </c>
      <c r="Z34">
        <v>11</v>
      </c>
      <c r="AA34">
        <v>62.740500000000011</v>
      </c>
      <c r="AB34">
        <v>64.325999999999951</v>
      </c>
      <c r="AC34">
        <v>43.035000000000004</v>
      </c>
      <c r="AD34">
        <v>55.945500000000038</v>
      </c>
      <c r="AE34">
        <v>52.095000000000006</v>
      </c>
      <c r="AF34">
        <v>62.514000000000017</v>
      </c>
      <c r="AG34">
        <v>67.044000000000011</v>
      </c>
      <c r="AH34">
        <v>54.813000000000017</v>
      </c>
      <c r="AI34">
        <v>63.118000000000023</v>
      </c>
      <c r="AL34">
        <v>11</v>
      </c>
      <c r="AM34">
        <f>SUM(AA27:AA34)</f>
        <v>828.53700000000003</v>
      </c>
      <c r="AN34">
        <f t="shared" ref="AN34:AU34" si="21">SUM(AB27:AB34)</f>
        <v>567.15599999999995</v>
      </c>
      <c r="AO34">
        <f t="shared" si="21"/>
        <v>974.85599999999999</v>
      </c>
      <c r="AP34">
        <f t="shared" si="21"/>
        <v>618.34500000000003</v>
      </c>
      <c r="AQ34">
        <f t="shared" si="21"/>
        <v>52.095000000000006</v>
      </c>
      <c r="AR34">
        <f t="shared" si="21"/>
        <v>623.17700000000002</v>
      </c>
      <c r="AS34">
        <f t="shared" si="21"/>
        <v>633.14299999999992</v>
      </c>
      <c r="AT34">
        <f t="shared" si="21"/>
        <v>688.71100000000001</v>
      </c>
      <c r="AU34">
        <f t="shared" si="21"/>
        <v>567.60899999999992</v>
      </c>
      <c r="AX34">
        <v>11</v>
      </c>
      <c r="AY34">
        <f t="shared" si="18"/>
        <v>17.975429975429957</v>
      </c>
      <c r="AZ34">
        <f t="shared" si="13"/>
        <v>19.410852713178326</v>
      </c>
      <c r="BA34">
        <f t="shared" si="14"/>
        <v>54.828025477707044</v>
      </c>
      <c r="BB34">
        <f t="shared" si="10"/>
        <v>33.70370370370361</v>
      </c>
      <c r="BC34">
        <f>AQ34/AQ$34</f>
        <v>1</v>
      </c>
      <c r="BD34">
        <f t="shared" si="10"/>
        <v>21.721052631578946</v>
      </c>
      <c r="BE34">
        <f t="shared" si="10"/>
        <v>23.038461538461547</v>
      </c>
      <c r="BF34">
        <f t="shared" si="10"/>
        <v>29.810457516339845</v>
      </c>
      <c r="BG34">
        <f t="shared" si="10"/>
        <v>26.849999999999991</v>
      </c>
    </row>
    <row r="35" spans="2:59">
      <c r="B35" s="45">
        <v>9</v>
      </c>
      <c r="C35">
        <v>6.6499999999999986</v>
      </c>
      <c r="D35">
        <v>15.050000000000011</v>
      </c>
      <c r="E35" s="60">
        <v>-5.1500000000000057</v>
      </c>
      <c r="F35">
        <v>14.349999999999994</v>
      </c>
      <c r="G35" s="59"/>
      <c r="H35" s="60">
        <v>-3.9666666666666686</v>
      </c>
      <c r="I35">
        <v>16.066666666666663</v>
      </c>
      <c r="J35" s="60">
        <v>-22.533333333333342</v>
      </c>
      <c r="K35" s="60">
        <v>-6.8999999999999959</v>
      </c>
      <c r="N35" s="45">
        <v>9</v>
      </c>
      <c r="O35">
        <f t="shared" si="11"/>
        <v>30.124499999999994</v>
      </c>
      <c r="P35">
        <f t="shared" si="2"/>
        <v>68.176500000000061</v>
      </c>
      <c r="Q35">
        <f t="shared" si="3"/>
        <v>-23.329500000000028</v>
      </c>
      <c r="R35">
        <f t="shared" si="4"/>
        <v>65.005499999999984</v>
      </c>
      <c r="S35">
        <f t="shared" si="5"/>
        <v>0</v>
      </c>
      <c r="T35">
        <f t="shared" si="6"/>
        <v>-17.969000000000008</v>
      </c>
      <c r="U35">
        <f t="shared" si="7"/>
        <v>72.781999999999982</v>
      </c>
      <c r="V35">
        <f t="shared" si="8"/>
        <v>-102.07600000000005</v>
      </c>
      <c r="W35">
        <f t="shared" si="9"/>
        <v>-31.256999999999984</v>
      </c>
      <c r="Z35">
        <v>12</v>
      </c>
      <c r="AA35">
        <v>91.505999999999986</v>
      </c>
      <c r="AB35">
        <v>99.660000000000011</v>
      </c>
      <c r="AC35">
        <v>96.036000000000016</v>
      </c>
      <c r="AD35">
        <v>79.501499999999993</v>
      </c>
      <c r="AE35">
        <v>73.838999999999984</v>
      </c>
      <c r="AF35">
        <v>96.186999999999998</v>
      </c>
      <c r="AG35">
        <v>107.13449999999997</v>
      </c>
      <c r="AH35">
        <v>86.070000000000007</v>
      </c>
      <c r="AI35">
        <v>104.79399999999997</v>
      </c>
      <c r="AL35">
        <v>12</v>
      </c>
      <c r="AM35">
        <f>SUM(AA27:AA35)</f>
        <v>920.04300000000001</v>
      </c>
      <c r="AN35">
        <f t="shared" ref="AN35:AU35" si="22">SUM(AB27:AB35)</f>
        <v>666.81599999999992</v>
      </c>
      <c r="AO35">
        <f t="shared" si="22"/>
        <v>1070.8920000000001</v>
      </c>
      <c r="AP35">
        <f t="shared" si="22"/>
        <v>697.84649999999999</v>
      </c>
      <c r="AQ35">
        <f t="shared" si="22"/>
        <v>125.934</v>
      </c>
      <c r="AR35">
        <f t="shared" si="22"/>
        <v>719.36400000000003</v>
      </c>
      <c r="AS35">
        <f t="shared" si="22"/>
        <v>740.27749999999992</v>
      </c>
      <c r="AT35">
        <f t="shared" si="22"/>
        <v>774.78100000000006</v>
      </c>
      <c r="AU35">
        <f t="shared" si="22"/>
        <v>672.40299999999991</v>
      </c>
      <c r="AX35">
        <v>12</v>
      </c>
      <c r="AY35">
        <f t="shared" si="18"/>
        <v>19.960687960687938</v>
      </c>
      <c r="AZ35">
        <f t="shared" si="13"/>
        <v>22.821705426356626</v>
      </c>
      <c r="BA35">
        <f t="shared" si="14"/>
        <v>60.229299363057365</v>
      </c>
      <c r="BB35">
        <f t="shared" si="10"/>
        <v>38.037037037036932</v>
      </c>
      <c r="BC35">
        <f t="shared" ref="BC35:BC44" si="23">AQ35/AQ$34</f>
        <v>2.4173913043478259</v>
      </c>
      <c r="BD35">
        <f t="shared" si="10"/>
        <v>25.073684210526316</v>
      </c>
      <c r="BE35">
        <f t="shared" si="10"/>
        <v>26.936813186813197</v>
      </c>
      <c r="BF35">
        <f t="shared" si="10"/>
        <v>33.535947712418277</v>
      </c>
      <c r="BG35">
        <f t="shared" si="10"/>
        <v>31.807142857142846</v>
      </c>
    </row>
    <row r="36" spans="2:59">
      <c r="B36">
        <v>10</v>
      </c>
      <c r="C36">
        <v>20.650000000000002</v>
      </c>
      <c r="D36">
        <v>19.25</v>
      </c>
      <c r="E36">
        <v>19.125000000000004</v>
      </c>
      <c r="F36">
        <v>16.599999999999994</v>
      </c>
      <c r="G36" s="59"/>
      <c r="H36">
        <v>21.700000000000003</v>
      </c>
      <c r="I36">
        <v>24.166666666666671</v>
      </c>
      <c r="J36">
        <v>19.433333333333337</v>
      </c>
      <c r="K36">
        <v>22.899999999999995</v>
      </c>
      <c r="N36">
        <v>10</v>
      </c>
      <c r="O36">
        <f t="shared" si="11"/>
        <v>93.544500000000014</v>
      </c>
      <c r="P36">
        <f t="shared" si="2"/>
        <v>87.202500000000001</v>
      </c>
      <c r="Q36">
        <f t="shared" si="3"/>
        <v>86.636250000000018</v>
      </c>
      <c r="R36">
        <f t="shared" si="4"/>
        <v>75.197999999999979</v>
      </c>
      <c r="S36">
        <f t="shared" si="5"/>
        <v>0</v>
      </c>
      <c r="T36">
        <f t="shared" si="6"/>
        <v>98.301000000000016</v>
      </c>
      <c r="U36">
        <f t="shared" si="7"/>
        <v>109.47500000000002</v>
      </c>
      <c r="V36">
        <f t="shared" si="8"/>
        <v>88.033000000000015</v>
      </c>
      <c r="W36">
        <f t="shared" si="9"/>
        <v>103.73699999999998</v>
      </c>
      <c r="Z36">
        <v>13</v>
      </c>
      <c r="AA36">
        <v>98.754000000000019</v>
      </c>
      <c r="AB36">
        <v>88.561500000000052</v>
      </c>
      <c r="AC36">
        <v>123.44250000000001</v>
      </c>
      <c r="AD36">
        <v>87.655500000000046</v>
      </c>
      <c r="AE36">
        <v>119.139</v>
      </c>
      <c r="AF36">
        <v>90.600000000000009</v>
      </c>
      <c r="AG36">
        <v>111.89100000000002</v>
      </c>
      <c r="AH36">
        <v>80.48299999999999</v>
      </c>
      <c r="AI36">
        <v>94.677000000000035</v>
      </c>
      <c r="AL36">
        <v>13</v>
      </c>
      <c r="AM36">
        <f>SUM(AA27:AA36)</f>
        <v>1018.797</v>
      </c>
      <c r="AN36">
        <f t="shared" ref="AN36:AU36" si="24">SUM(AB27:AB36)</f>
        <v>755.37749999999994</v>
      </c>
      <c r="AO36">
        <f t="shared" si="24"/>
        <v>1194.3345000000002</v>
      </c>
      <c r="AP36">
        <f t="shared" si="24"/>
        <v>785.50200000000007</v>
      </c>
      <c r="AQ36">
        <f t="shared" si="24"/>
        <v>245.07299999999998</v>
      </c>
      <c r="AR36">
        <f t="shared" si="24"/>
        <v>809.96400000000006</v>
      </c>
      <c r="AS36">
        <f t="shared" si="24"/>
        <v>852.16849999999999</v>
      </c>
      <c r="AT36">
        <f t="shared" si="24"/>
        <v>855.26400000000001</v>
      </c>
      <c r="AU36">
        <f t="shared" si="24"/>
        <v>767.07999999999993</v>
      </c>
      <c r="AX36">
        <v>13</v>
      </c>
      <c r="AY36">
        <f t="shared" si="18"/>
        <v>22.103194103194078</v>
      </c>
      <c r="AZ36">
        <f t="shared" si="13"/>
        <v>25.852713178294618</v>
      </c>
      <c r="BA36">
        <f t="shared" si="14"/>
        <v>67.171974522293041</v>
      </c>
      <c r="BB36">
        <f t="shared" si="10"/>
        <v>42.814814814814696</v>
      </c>
      <c r="BC36">
        <f t="shared" si="23"/>
        <v>4.7043478260869556</v>
      </c>
      <c r="BD36">
        <f t="shared" si="10"/>
        <v>28.231578947368423</v>
      </c>
      <c r="BE36">
        <f t="shared" si="10"/>
        <v>31.008241758241773</v>
      </c>
      <c r="BF36">
        <f t="shared" si="10"/>
        <v>37.019607843137223</v>
      </c>
      <c r="BG36">
        <f t="shared" si="10"/>
        <v>36.285714285714278</v>
      </c>
    </row>
    <row r="37" spans="2:59">
      <c r="B37">
        <v>11</v>
      </c>
      <c r="C37">
        <v>13.850000000000001</v>
      </c>
      <c r="D37">
        <v>14.199999999999989</v>
      </c>
      <c r="E37">
        <v>9.5</v>
      </c>
      <c r="F37">
        <v>12.350000000000009</v>
      </c>
      <c r="G37">
        <v>11.5</v>
      </c>
      <c r="H37">
        <v>13.800000000000002</v>
      </c>
      <c r="I37">
        <v>14.800000000000002</v>
      </c>
      <c r="J37">
        <v>12.100000000000003</v>
      </c>
      <c r="K37">
        <v>13.933333333333337</v>
      </c>
      <c r="N37">
        <v>11</v>
      </c>
      <c r="O37">
        <f t="shared" si="11"/>
        <v>62.740500000000011</v>
      </c>
      <c r="P37">
        <f t="shared" si="2"/>
        <v>64.325999999999951</v>
      </c>
      <c r="Q37">
        <f t="shared" si="3"/>
        <v>43.035000000000004</v>
      </c>
      <c r="R37">
        <f t="shared" si="4"/>
        <v>55.945500000000038</v>
      </c>
      <c r="S37">
        <f t="shared" si="5"/>
        <v>52.095000000000006</v>
      </c>
      <c r="T37">
        <f t="shared" si="6"/>
        <v>62.514000000000017</v>
      </c>
      <c r="U37">
        <f t="shared" si="7"/>
        <v>67.044000000000011</v>
      </c>
      <c r="V37">
        <f t="shared" si="8"/>
        <v>54.813000000000017</v>
      </c>
      <c r="W37">
        <f t="shared" si="9"/>
        <v>63.118000000000023</v>
      </c>
      <c r="Z37">
        <v>14</v>
      </c>
      <c r="AA37">
        <v>83.578500000000005</v>
      </c>
      <c r="AB37">
        <v>75.424499999999966</v>
      </c>
      <c r="AC37">
        <v>100.33950000000003</v>
      </c>
      <c r="AD37">
        <v>67.043999999999997</v>
      </c>
      <c r="AE37">
        <v>79.275000000000006</v>
      </c>
      <c r="AF37">
        <v>86.674000000000021</v>
      </c>
      <c r="AG37">
        <v>78.822000000000031</v>
      </c>
      <c r="AH37">
        <v>71.42300000000003</v>
      </c>
      <c r="AI37">
        <v>73.989999999999995</v>
      </c>
      <c r="AL37">
        <v>14</v>
      </c>
      <c r="AM37">
        <f>SUM(AA27:AA37)</f>
        <v>1102.3755000000001</v>
      </c>
      <c r="AN37">
        <f t="shared" ref="AN37:AU37" si="25">SUM(AB27:AB37)</f>
        <v>830.80199999999991</v>
      </c>
      <c r="AO37">
        <f t="shared" si="25"/>
        <v>1294.6740000000002</v>
      </c>
      <c r="AP37">
        <f t="shared" si="25"/>
        <v>852.54600000000005</v>
      </c>
      <c r="AQ37">
        <f t="shared" si="25"/>
        <v>324.34799999999996</v>
      </c>
      <c r="AR37">
        <f t="shared" si="25"/>
        <v>896.63800000000003</v>
      </c>
      <c r="AS37">
        <f t="shared" si="25"/>
        <v>930.9905</v>
      </c>
      <c r="AT37">
        <f t="shared" si="25"/>
        <v>926.68700000000001</v>
      </c>
      <c r="AU37">
        <f t="shared" si="25"/>
        <v>841.06999999999994</v>
      </c>
      <c r="AX37">
        <v>14</v>
      </c>
      <c r="AY37">
        <f t="shared" si="18"/>
        <v>23.916461916461891</v>
      </c>
      <c r="AZ37">
        <f t="shared" si="13"/>
        <v>28.43410852713183</v>
      </c>
      <c r="BA37">
        <f t="shared" si="14"/>
        <v>72.815286624203878</v>
      </c>
      <c r="BB37">
        <f t="shared" si="10"/>
        <v>46.469135802469005</v>
      </c>
      <c r="BC37">
        <f t="shared" si="23"/>
        <v>6.2260869565217378</v>
      </c>
      <c r="BD37">
        <f t="shared" si="10"/>
        <v>31.252631578947369</v>
      </c>
      <c r="BE37">
        <f t="shared" si="10"/>
        <v>33.876373626373642</v>
      </c>
      <c r="BF37">
        <f t="shared" si="10"/>
        <v>40.111111111111079</v>
      </c>
      <c r="BG37">
        <f t="shared" si="10"/>
        <v>39.785714285714278</v>
      </c>
    </row>
    <row r="38" spans="2:59">
      <c r="B38">
        <v>12</v>
      </c>
      <c r="C38">
        <v>20.199999999999996</v>
      </c>
      <c r="D38">
        <v>22</v>
      </c>
      <c r="E38">
        <v>21.200000000000003</v>
      </c>
      <c r="F38">
        <v>17.549999999999997</v>
      </c>
      <c r="G38">
        <v>16.299999999999997</v>
      </c>
      <c r="H38">
        <v>21.233333333333331</v>
      </c>
      <c r="I38">
        <v>23.649999999999991</v>
      </c>
      <c r="J38">
        <v>19</v>
      </c>
      <c r="K38">
        <v>23.133333333333326</v>
      </c>
      <c r="N38">
        <v>12</v>
      </c>
      <c r="O38">
        <f t="shared" si="11"/>
        <v>91.505999999999986</v>
      </c>
      <c r="P38">
        <f t="shared" si="2"/>
        <v>99.660000000000011</v>
      </c>
      <c r="Q38">
        <f t="shared" si="3"/>
        <v>96.036000000000016</v>
      </c>
      <c r="R38">
        <f t="shared" si="4"/>
        <v>79.501499999999993</v>
      </c>
      <c r="S38">
        <f t="shared" si="5"/>
        <v>73.838999999999984</v>
      </c>
      <c r="T38">
        <f t="shared" si="6"/>
        <v>96.186999999999998</v>
      </c>
      <c r="U38">
        <f t="shared" si="7"/>
        <v>107.13449999999997</v>
      </c>
      <c r="V38">
        <f t="shared" si="8"/>
        <v>86.070000000000007</v>
      </c>
      <c r="W38">
        <f t="shared" si="9"/>
        <v>104.79399999999997</v>
      </c>
      <c r="Z38">
        <v>16</v>
      </c>
      <c r="AA38">
        <v>96.828749999999999</v>
      </c>
      <c r="AB38">
        <v>89.694000000000031</v>
      </c>
      <c r="AC38">
        <v>115.74149999999999</v>
      </c>
      <c r="AD38">
        <v>86.749500000000026</v>
      </c>
      <c r="AE38">
        <v>101.47199999999997</v>
      </c>
      <c r="AF38">
        <v>88.335000000000008</v>
      </c>
      <c r="AG38">
        <v>96.941999999999965</v>
      </c>
      <c r="AH38">
        <v>79.275000000000006</v>
      </c>
      <c r="AI38">
        <v>76.405999999999992</v>
      </c>
      <c r="AL38">
        <v>16</v>
      </c>
      <c r="AM38">
        <f>SUM(AA27:AA38)</f>
        <v>1199.20425</v>
      </c>
      <c r="AN38">
        <f t="shared" ref="AN38:AU38" si="26">SUM(AB27:AB38)</f>
        <v>920.49599999999998</v>
      </c>
      <c r="AO38">
        <f t="shared" si="26"/>
        <v>1410.4155000000003</v>
      </c>
      <c r="AP38">
        <f t="shared" si="26"/>
        <v>939.29550000000006</v>
      </c>
      <c r="AQ38">
        <f t="shared" si="26"/>
        <v>425.81999999999994</v>
      </c>
      <c r="AR38">
        <f t="shared" si="26"/>
        <v>984.97300000000007</v>
      </c>
      <c r="AS38">
        <f t="shared" si="26"/>
        <v>1027.9324999999999</v>
      </c>
      <c r="AT38">
        <f t="shared" si="26"/>
        <v>1005.962</v>
      </c>
      <c r="AU38">
        <f t="shared" si="26"/>
        <v>917.47599999999989</v>
      </c>
      <c r="AX38">
        <v>16</v>
      </c>
      <c r="AY38">
        <f t="shared" si="18"/>
        <v>26.017199017198987</v>
      </c>
      <c r="AZ38">
        <f t="shared" si="13"/>
        <v>31.503875968992304</v>
      </c>
      <c r="BA38">
        <f t="shared" si="14"/>
        <v>79.324840764331285</v>
      </c>
      <c r="BB38">
        <f t="shared" si="10"/>
        <v>51.19753086419739</v>
      </c>
      <c r="BC38">
        <f t="shared" si="23"/>
        <v>8.1739130434782581</v>
      </c>
      <c r="BD38">
        <f t="shared" si="10"/>
        <v>34.331578947368421</v>
      </c>
      <c r="BE38">
        <f t="shared" si="10"/>
        <v>37.403846153846168</v>
      </c>
      <c r="BF38">
        <f t="shared" si="10"/>
        <v>43.542483660130685</v>
      </c>
      <c r="BG38">
        <f t="shared" si="10"/>
        <v>43.399999999999984</v>
      </c>
    </row>
    <row r="39" spans="2:59">
      <c r="B39">
        <v>13</v>
      </c>
      <c r="C39">
        <v>21.800000000000004</v>
      </c>
      <c r="D39">
        <v>19.550000000000011</v>
      </c>
      <c r="E39">
        <v>27.25</v>
      </c>
      <c r="F39">
        <v>19.350000000000009</v>
      </c>
      <c r="G39">
        <v>26.299999999999997</v>
      </c>
      <c r="H39">
        <v>20</v>
      </c>
      <c r="I39">
        <v>24.700000000000003</v>
      </c>
      <c r="J39">
        <v>17.766666666666662</v>
      </c>
      <c r="K39">
        <v>20.900000000000006</v>
      </c>
      <c r="N39">
        <v>13</v>
      </c>
      <c r="O39">
        <f t="shared" si="11"/>
        <v>98.754000000000019</v>
      </c>
      <c r="P39">
        <f t="shared" si="2"/>
        <v>88.561500000000052</v>
      </c>
      <c r="Q39">
        <f t="shared" si="3"/>
        <v>123.44250000000001</v>
      </c>
      <c r="R39">
        <f t="shared" si="4"/>
        <v>87.655500000000046</v>
      </c>
      <c r="S39">
        <f t="shared" si="5"/>
        <v>119.139</v>
      </c>
      <c r="T39">
        <f t="shared" si="6"/>
        <v>90.600000000000009</v>
      </c>
      <c r="U39">
        <f t="shared" si="7"/>
        <v>111.89100000000002</v>
      </c>
      <c r="V39">
        <f t="shared" si="8"/>
        <v>80.48299999999999</v>
      </c>
      <c r="W39">
        <f t="shared" si="9"/>
        <v>94.677000000000035</v>
      </c>
      <c r="Z39">
        <v>17</v>
      </c>
      <c r="AA39">
        <v>90.939750000000018</v>
      </c>
      <c r="AB39">
        <v>93.544499999999999</v>
      </c>
      <c r="AC39">
        <v>74.745000000000005</v>
      </c>
      <c r="AD39">
        <v>76.783499999999947</v>
      </c>
      <c r="AE39">
        <v>79.275000000000034</v>
      </c>
      <c r="AF39">
        <v>84.106999999999999</v>
      </c>
      <c r="AG39">
        <v>98.301000000000016</v>
      </c>
      <c r="AH39">
        <v>64.779000000000011</v>
      </c>
      <c r="AI39">
        <v>63.571000000000005</v>
      </c>
      <c r="AL39">
        <v>17</v>
      </c>
      <c r="AM39">
        <f>SUM(AA27:AA39)</f>
        <v>1290.144</v>
      </c>
      <c r="AN39">
        <f t="shared" ref="AN39:AU39" si="27">SUM(AB27:AB39)</f>
        <v>1014.0405</v>
      </c>
      <c r="AO39">
        <f t="shared" si="27"/>
        <v>1485.1605000000004</v>
      </c>
      <c r="AP39">
        <f t="shared" si="27"/>
        <v>1016.079</v>
      </c>
      <c r="AQ39">
        <f t="shared" si="27"/>
        <v>505.09499999999997</v>
      </c>
      <c r="AR39">
        <f t="shared" si="27"/>
        <v>1069.0800000000002</v>
      </c>
      <c r="AS39">
        <f t="shared" si="27"/>
        <v>1126.2334999999998</v>
      </c>
      <c r="AT39">
        <f t="shared" si="27"/>
        <v>1070.741</v>
      </c>
      <c r="AU39">
        <f t="shared" si="27"/>
        <v>981.04699999999991</v>
      </c>
      <c r="AX39">
        <v>17</v>
      </c>
      <c r="AY39">
        <f t="shared" si="18"/>
        <v>27.990171990171959</v>
      </c>
      <c r="AZ39">
        <f t="shared" si="13"/>
        <v>34.705426356589207</v>
      </c>
      <c r="BA39">
        <f t="shared" si="14"/>
        <v>83.528662420382247</v>
      </c>
      <c r="BB39">
        <f t="shared" si="10"/>
        <v>55.382716049382559</v>
      </c>
      <c r="BC39">
        <f t="shared" si="23"/>
        <v>9.6956521739130412</v>
      </c>
      <c r="BD39">
        <f t="shared" si="10"/>
        <v>37.263157894736842</v>
      </c>
      <c r="BE39">
        <f t="shared" si="10"/>
        <v>40.980769230769248</v>
      </c>
      <c r="BF39">
        <f t="shared" si="10"/>
        <v>46.34640522875813</v>
      </c>
      <c r="BG39">
        <f t="shared" si="10"/>
        <v>46.407142857142844</v>
      </c>
    </row>
    <row r="40" spans="2:59">
      <c r="B40">
        <v>14</v>
      </c>
      <c r="C40">
        <v>18.45</v>
      </c>
      <c r="D40">
        <v>16.649999999999991</v>
      </c>
      <c r="E40">
        <v>22.150000000000006</v>
      </c>
      <c r="F40">
        <v>14.799999999999997</v>
      </c>
      <c r="G40">
        <v>17.5</v>
      </c>
      <c r="H40">
        <v>19.133333333333336</v>
      </c>
      <c r="I40">
        <v>17.400000000000006</v>
      </c>
      <c r="J40">
        <v>15.766666666666671</v>
      </c>
      <c r="K40">
        <v>16.333333333333332</v>
      </c>
      <c r="N40">
        <v>14</v>
      </c>
      <c r="O40">
        <f t="shared" si="11"/>
        <v>83.578500000000005</v>
      </c>
      <c r="P40">
        <f t="shared" si="2"/>
        <v>75.424499999999966</v>
      </c>
      <c r="Q40">
        <f t="shared" si="3"/>
        <v>100.33950000000003</v>
      </c>
      <c r="R40">
        <f t="shared" si="4"/>
        <v>67.043999999999997</v>
      </c>
      <c r="S40">
        <f t="shared" si="5"/>
        <v>79.275000000000006</v>
      </c>
      <c r="T40">
        <f t="shared" si="6"/>
        <v>86.674000000000021</v>
      </c>
      <c r="U40">
        <f t="shared" si="7"/>
        <v>78.822000000000031</v>
      </c>
      <c r="V40">
        <f t="shared" si="8"/>
        <v>71.42300000000003</v>
      </c>
      <c r="W40">
        <f t="shared" si="9"/>
        <v>73.989999999999995</v>
      </c>
      <c r="Z40">
        <v>18</v>
      </c>
      <c r="AA40">
        <v>96.48899999999999</v>
      </c>
      <c r="AB40">
        <v>122.08350000000002</v>
      </c>
      <c r="AC40">
        <v>97.168500000000023</v>
      </c>
      <c r="AD40">
        <v>84.484500000000025</v>
      </c>
      <c r="AE40">
        <v>151.30199999999991</v>
      </c>
      <c r="AF40">
        <v>100.7925</v>
      </c>
      <c r="AG40">
        <v>96.942000000000036</v>
      </c>
      <c r="AH40">
        <v>84.711000000000013</v>
      </c>
      <c r="AI40">
        <v>72.48</v>
      </c>
      <c r="AL40">
        <v>18</v>
      </c>
      <c r="AM40">
        <f>SUM(AA27:AA40)</f>
        <v>1386.633</v>
      </c>
      <c r="AN40">
        <f t="shared" ref="AN40:AU40" si="28">SUM(AB27:AB40)</f>
        <v>1136.124</v>
      </c>
      <c r="AO40">
        <f t="shared" si="28"/>
        <v>1582.3290000000004</v>
      </c>
      <c r="AP40">
        <f t="shared" si="28"/>
        <v>1100.5635</v>
      </c>
      <c r="AQ40">
        <f t="shared" si="28"/>
        <v>656.39699999999993</v>
      </c>
      <c r="AR40">
        <f t="shared" si="28"/>
        <v>1169.8725000000002</v>
      </c>
      <c r="AS40">
        <f t="shared" si="28"/>
        <v>1223.1754999999998</v>
      </c>
      <c r="AT40">
        <f t="shared" si="28"/>
        <v>1155.452</v>
      </c>
      <c r="AU40">
        <f t="shared" si="28"/>
        <v>1053.5269999999998</v>
      </c>
      <c r="AX40">
        <v>18</v>
      </c>
      <c r="AY40">
        <f t="shared" si="18"/>
        <v>30.083538083538052</v>
      </c>
      <c r="AZ40">
        <f t="shared" si="13"/>
        <v>38.883720930232627</v>
      </c>
      <c r="BA40">
        <f t="shared" si="14"/>
        <v>88.993630573248495</v>
      </c>
      <c r="BB40">
        <f t="shared" si="10"/>
        <v>59.987654320987481</v>
      </c>
      <c r="BC40">
        <f t="shared" si="23"/>
        <v>12.599999999999998</v>
      </c>
      <c r="BD40">
        <f t="shared" si="10"/>
        <v>40.776315789473685</v>
      </c>
      <c r="BE40">
        <f t="shared" si="10"/>
        <v>44.508241758241773</v>
      </c>
      <c r="BF40">
        <f t="shared" si="10"/>
        <v>50.013071895424794</v>
      </c>
      <c r="BG40">
        <f t="shared" si="10"/>
        <v>49.835714285714268</v>
      </c>
    </row>
    <row r="41" spans="2:59">
      <c r="B41" s="45">
        <v>15</v>
      </c>
      <c r="C41">
        <v>19.149999999999999</v>
      </c>
      <c r="D41">
        <v>20</v>
      </c>
      <c r="E41">
        <v>21.2</v>
      </c>
      <c r="F41">
        <v>15.600000000000001</v>
      </c>
      <c r="G41">
        <v>15.899999999999999</v>
      </c>
      <c r="H41">
        <v>18.3</v>
      </c>
      <c r="I41" s="60">
        <v>2.25</v>
      </c>
      <c r="J41">
        <v>14.433333333333332</v>
      </c>
      <c r="K41">
        <v>23.133333333333336</v>
      </c>
      <c r="N41" s="45">
        <v>15</v>
      </c>
      <c r="O41">
        <f t="shared" si="11"/>
        <v>86.749499999999998</v>
      </c>
      <c r="P41">
        <f t="shared" si="2"/>
        <v>90.600000000000009</v>
      </c>
      <c r="Q41">
        <f t="shared" si="3"/>
        <v>96.036000000000001</v>
      </c>
      <c r="R41">
        <f t="shared" si="4"/>
        <v>70.668000000000006</v>
      </c>
      <c r="S41">
        <f t="shared" si="5"/>
        <v>72.027000000000001</v>
      </c>
      <c r="T41">
        <f t="shared" si="6"/>
        <v>82.899000000000001</v>
      </c>
      <c r="U41">
        <f t="shared" si="7"/>
        <v>10.192500000000001</v>
      </c>
      <c r="V41">
        <f t="shared" si="8"/>
        <v>65.382999999999996</v>
      </c>
      <c r="W41">
        <f t="shared" si="9"/>
        <v>104.79400000000003</v>
      </c>
      <c r="Z41">
        <v>19</v>
      </c>
      <c r="AA41">
        <v>141.48700000000002</v>
      </c>
      <c r="AB41">
        <v>164.66550000000001</v>
      </c>
      <c r="AC41">
        <v>144.28050000000002</v>
      </c>
      <c r="AD41">
        <v>117.10049999999998</v>
      </c>
      <c r="AE41">
        <v>147.22500000000008</v>
      </c>
      <c r="AF41">
        <v>144.96</v>
      </c>
      <c r="AG41">
        <v>141.33600000000001</v>
      </c>
      <c r="AH41">
        <v>139.07099999999997</v>
      </c>
      <c r="AI41">
        <v>93.167000000000002</v>
      </c>
      <c r="AL41">
        <v>19</v>
      </c>
      <c r="AM41">
        <f>SUM(AA27:AA41)</f>
        <v>1528.1200000000001</v>
      </c>
      <c r="AN41">
        <f t="shared" ref="AN41:AU41" si="29">SUM(AB27:AB41)</f>
        <v>1300.7895000000001</v>
      </c>
      <c r="AO41">
        <f t="shared" si="29"/>
        <v>1726.6095000000005</v>
      </c>
      <c r="AP41">
        <f t="shared" si="29"/>
        <v>1217.664</v>
      </c>
      <c r="AQ41">
        <f t="shared" si="29"/>
        <v>803.62200000000007</v>
      </c>
      <c r="AR41">
        <f t="shared" si="29"/>
        <v>1314.8325000000002</v>
      </c>
      <c r="AS41">
        <f t="shared" si="29"/>
        <v>1364.5114999999998</v>
      </c>
      <c r="AT41">
        <f t="shared" si="29"/>
        <v>1294.5229999999999</v>
      </c>
      <c r="AU41">
        <f t="shared" si="29"/>
        <v>1146.6939999999997</v>
      </c>
      <c r="AX41">
        <v>19</v>
      </c>
      <c r="AY41">
        <f t="shared" si="18"/>
        <v>33.15315315315312</v>
      </c>
      <c r="AZ41">
        <f t="shared" si="13"/>
        <v>44.519379844961321</v>
      </c>
      <c r="BA41">
        <f t="shared" si="14"/>
        <v>97.108280254777156</v>
      </c>
      <c r="BB41">
        <f t="shared" si="10"/>
        <v>66.370370370370182</v>
      </c>
      <c r="BC41">
        <f t="shared" si="23"/>
        <v>15.426086956521738</v>
      </c>
      <c r="BD41">
        <f t="shared" si="10"/>
        <v>45.828947368421055</v>
      </c>
      <c r="BE41">
        <f t="shared" si="10"/>
        <v>49.651098901098919</v>
      </c>
      <c r="BF41">
        <f t="shared" si="10"/>
        <v>56.032679738562038</v>
      </c>
      <c r="BG41">
        <f t="shared" si="10"/>
        <v>54.242857142857119</v>
      </c>
    </row>
    <row r="42" spans="2:59">
      <c r="B42">
        <v>16</v>
      </c>
      <c r="C42">
        <v>21.375</v>
      </c>
      <c r="D42">
        <v>19.800000000000004</v>
      </c>
      <c r="E42">
        <v>25.549999999999997</v>
      </c>
      <c r="F42">
        <v>19.150000000000006</v>
      </c>
      <c r="G42">
        <v>22.399999999999991</v>
      </c>
      <c r="H42">
        <v>19.5</v>
      </c>
      <c r="I42">
        <v>21.399999999999991</v>
      </c>
      <c r="J42">
        <v>17.5</v>
      </c>
      <c r="K42">
        <v>16.866666666666664</v>
      </c>
      <c r="N42">
        <v>16</v>
      </c>
      <c r="O42">
        <f t="shared" si="11"/>
        <v>96.828749999999999</v>
      </c>
      <c r="P42">
        <f t="shared" si="2"/>
        <v>89.694000000000031</v>
      </c>
      <c r="Q42">
        <f t="shared" si="3"/>
        <v>115.74149999999999</v>
      </c>
      <c r="R42">
        <f t="shared" si="4"/>
        <v>86.749500000000026</v>
      </c>
      <c r="S42">
        <f t="shared" si="5"/>
        <v>101.47199999999997</v>
      </c>
      <c r="T42">
        <f t="shared" si="6"/>
        <v>88.335000000000008</v>
      </c>
      <c r="U42">
        <f t="shared" si="7"/>
        <v>96.941999999999965</v>
      </c>
      <c r="V42">
        <f t="shared" si="8"/>
        <v>79.275000000000006</v>
      </c>
      <c r="W42">
        <f t="shared" si="9"/>
        <v>76.405999999999992</v>
      </c>
      <c r="Z42">
        <v>20</v>
      </c>
      <c r="AA42">
        <v>76.708000000000027</v>
      </c>
      <c r="AB42">
        <v>74.518500000000017</v>
      </c>
      <c r="AC42">
        <v>74.292000000000002</v>
      </c>
      <c r="AD42">
        <v>74.518500000000017</v>
      </c>
      <c r="AE42">
        <v>96.941999999999965</v>
      </c>
      <c r="AF42">
        <v>78.822000000000003</v>
      </c>
      <c r="AG42">
        <v>74.065499999999972</v>
      </c>
      <c r="AH42">
        <v>69.762000000000029</v>
      </c>
      <c r="AI42">
        <v>63.873000000000019</v>
      </c>
      <c r="AL42">
        <v>20</v>
      </c>
      <c r="AM42">
        <f>SUM(AA27:AA42)</f>
        <v>1604.8280000000002</v>
      </c>
      <c r="AN42">
        <f t="shared" ref="AN42:AU42" si="30">SUM(AB27:AB42)</f>
        <v>1375.308</v>
      </c>
      <c r="AO42">
        <f t="shared" si="30"/>
        <v>1800.9015000000004</v>
      </c>
      <c r="AP42">
        <f t="shared" si="30"/>
        <v>1292.1824999999999</v>
      </c>
      <c r="AQ42">
        <f t="shared" si="30"/>
        <v>900.56400000000008</v>
      </c>
      <c r="AR42">
        <f t="shared" si="30"/>
        <v>1393.6545000000001</v>
      </c>
      <c r="AS42">
        <f t="shared" si="30"/>
        <v>1438.5769999999998</v>
      </c>
      <c r="AT42">
        <f t="shared" si="30"/>
        <v>1364.2849999999999</v>
      </c>
      <c r="AU42">
        <f t="shared" si="30"/>
        <v>1210.5669999999998</v>
      </c>
      <c r="AX42">
        <v>20</v>
      </c>
      <c r="AY42">
        <f t="shared" si="18"/>
        <v>34.817362817362785</v>
      </c>
      <c r="AZ42">
        <f t="shared" si="13"/>
        <v>47.069767441860549</v>
      </c>
      <c r="BA42">
        <f t="shared" si="14"/>
        <v>101.28662420382175</v>
      </c>
      <c r="BB42">
        <f t="shared" si="10"/>
        <v>70.432098765431888</v>
      </c>
      <c r="BC42">
        <f t="shared" si="23"/>
        <v>17.286956521739128</v>
      </c>
      <c r="BD42">
        <f t="shared" si="10"/>
        <v>48.576315789473682</v>
      </c>
      <c r="BE42">
        <f t="shared" si="10"/>
        <v>52.346153846153868</v>
      </c>
      <c r="BF42">
        <f t="shared" si="10"/>
        <v>59.052287581699289</v>
      </c>
      <c r="BG42">
        <f t="shared" si="10"/>
        <v>57.264285714285691</v>
      </c>
    </row>
    <row r="43" spans="2:59">
      <c r="B43">
        <v>17</v>
      </c>
      <c r="C43">
        <v>20.075000000000003</v>
      </c>
      <c r="D43">
        <v>20.65</v>
      </c>
      <c r="E43">
        <v>16.5</v>
      </c>
      <c r="F43">
        <v>16.949999999999989</v>
      </c>
      <c r="G43">
        <v>17.500000000000007</v>
      </c>
      <c r="H43">
        <v>18.566666666666666</v>
      </c>
      <c r="I43">
        <v>21.700000000000003</v>
      </c>
      <c r="J43">
        <v>14.300000000000002</v>
      </c>
      <c r="K43">
        <v>14.033333333333333</v>
      </c>
      <c r="N43">
        <v>17</v>
      </c>
      <c r="O43">
        <f t="shared" si="11"/>
        <v>90.939750000000018</v>
      </c>
      <c r="P43">
        <f t="shared" si="2"/>
        <v>93.544499999999999</v>
      </c>
      <c r="Q43">
        <f t="shared" si="3"/>
        <v>74.745000000000005</v>
      </c>
      <c r="R43">
        <f t="shared" si="4"/>
        <v>76.783499999999947</v>
      </c>
      <c r="S43">
        <f t="shared" si="5"/>
        <v>79.275000000000034</v>
      </c>
      <c r="T43">
        <f t="shared" si="6"/>
        <v>84.106999999999999</v>
      </c>
      <c r="U43">
        <f t="shared" si="7"/>
        <v>98.301000000000016</v>
      </c>
      <c r="V43">
        <f t="shared" si="8"/>
        <v>64.779000000000011</v>
      </c>
      <c r="W43">
        <f t="shared" si="9"/>
        <v>63.571000000000005</v>
      </c>
      <c r="Z43">
        <v>21</v>
      </c>
      <c r="AA43">
        <v>79.426000000000002</v>
      </c>
      <c r="AB43">
        <v>79.274999999999977</v>
      </c>
      <c r="AC43">
        <v>80.181000000000012</v>
      </c>
      <c r="AD43">
        <v>76.557000000000002</v>
      </c>
      <c r="AE43">
        <v>100.11300000000004</v>
      </c>
      <c r="AF43">
        <v>84.711000000000013</v>
      </c>
      <c r="AG43">
        <v>77.236499999999992</v>
      </c>
      <c r="AH43">
        <v>68.855999999999952</v>
      </c>
      <c r="AI43">
        <v>62.211999999999982</v>
      </c>
      <c r="AL43">
        <v>21</v>
      </c>
      <c r="AM43">
        <f>SUM(AA27:AA43)</f>
        <v>1684.2540000000001</v>
      </c>
      <c r="AN43">
        <f t="shared" ref="AN43:AU43" si="31">SUM(AB27:AB43)</f>
        <v>1454.5830000000001</v>
      </c>
      <c r="AO43">
        <f t="shared" si="31"/>
        <v>1881.0825000000004</v>
      </c>
      <c r="AP43">
        <f t="shared" si="31"/>
        <v>1368.7394999999999</v>
      </c>
      <c r="AQ43">
        <f t="shared" si="31"/>
        <v>1000.6770000000001</v>
      </c>
      <c r="AR43">
        <f t="shared" si="31"/>
        <v>1478.3655000000001</v>
      </c>
      <c r="AS43">
        <f t="shared" si="31"/>
        <v>1515.8134999999997</v>
      </c>
      <c r="AT43">
        <f t="shared" si="31"/>
        <v>1433.1409999999998</v>
      </c>
      <c r="AU43">
        <f t="shared" si="31"/>
        <v>1272.7789999999998</v>
      </c>
      <c r="AX43">
        <v>21</v>
      </c>
      <c r="AY43">
        <f t="shared" si="18"/>
        <v>36.540540540540505</v>
      </c>
      <c r="AZ43">
        <f t="shared" si="13"/>
        <v>49.782945736434201</v>
      </c>
      <c r="BA43">
        <f t="shared" si="14"/>
        <v>105.79617834394914</v>
      </c>
      <c r="BB43">
        <f t="shared" si="14"/>
        <v>74.604938271604723</v>
      </c>
      <c r="BC43">
        <f t="shared" si="23"/>
        <v>19.208695652173912</v>
      </c>
      <c r="BD43">
        <f t="shared" ref="BD43:BG44" si="32">AR43/AR$27</f>
        <v>51.528947368421058</v>
      </c>
      <c r="BE43">
        <f t="shared" si="32"/>
        <v>55.15659340659343</v>
      </c>
      <c r="BF43">
        <f t="shared" si="32"/>
        <v>62.032679738562031</v>
      </c>
      <c r="BG43">
        <f t="shared" si="32"/>
        <v>60.207142857142834</v>
      </c>
    </row>
    <row r="44" spans="2:59">
      <c r="B44">
        <v>18</v>
      </c>
      <c r="C44">
        <v>21.299999999999997</v>
      </c>
      <c r="D44">
        <v>26.950000000000003</v>
      </c>
      <c r="E44">
        <v>21.450000000000003</v>
      </c>
      <c r="F44">
        <v>18.650000000000006</v>
      </c>
      <c r="G44">
        <v>33.399999999999977</v>
      </c>
      <c r="H44">
        <v>22.25</v>
      </c>
      <c r="I44">
        <v>21.400000000000006</v>
      </c>
      <c r="J44">
        <v>18.700000000000003</v>
      </c>
      <c r="K44">
        <v>16</v>
      </c>
      <c r="N44">
        <v>18</v>
      </c>
      <c r="O44">
        <f t="shared" si="11"/>
        <v>96.48899999999999</v>
      </c>
      <c r="P44">
        <f t="shared" si="2"/>
        <v>122.08350000000002</v>
      </c>
      <c r="Q44">
        <f t="shared" si="3"/>
        <v>97.168500000000023</v>
      </c>
      <c r="R44">
        <f t="shared" si="4"/>
        <v>84.484500000000025</v>
      </c>
      <c r="S44">
        <f t="shared" si="5"/>
        <v>151.30199999999991</v>
      </c>
      <c r="T44">
        <f t="shared" si="6"/>
        <v>100.7925</v>
      </c>
      <c r="U44">
        <f t="shared" si="7"/>
        <v>96.942000000000036</v>
      </c>
      <c r="V44">
        <f t="shared" si="8"/>
        <v>84.711000000000013</v>
      </c>
      <c r="W44">
        <f t="shared" si="9"/>
        <v>72.48</v>
      </c>
      <c r="Z44">
        <v>23</v>
      </c>
      <c r="AA44">
        <v>59.192000000000007</v>
      </c>
      <c r="AB44">
        <v>71.573999999999998</v>
      </c>
      <c r="AC44">
        <v>96.48899999999999</v>
      </c>
      <c r="AD44">
        <v>104.64300000000004</v>
      </c>
      <c r="AE44">
        <v>0</v>
      </c>
      <c r="AF44">
        <v>94.450500000000048</v>
      </c>
      <c r="AG44">
        <v>81.766499999999994</v>
      </c>
      <c r="AH44">
        <v>75.198000000000036</v>
      </c>
      <c r="AI44">
        <v>78.142499999999998</v>
      </c>
      <c r="AL44">
        <v>23</v>
      </c>
      <c r="AM44">
        <f>SUM(AA27:AA44)</f>
        <v>1743.4460000000001</v>
      </c>
      <c r="AN44">
        <f t="shared" ref="AN44:AU44" si="33">SUM(AB27:AB44)</f>
        <v>1526.1570000000002</v>
      </c>
      <c r="AO44">
        <f t="shared" si="33"/>
        <v>1977.5715000000005</v>
      </c>
      <c r="AP44">
        <f t="shared" si="33"/>
        <v>1473.3824999999999</v>
      </c>
      <c r="AQ44">
        <f t="shared" si="33"/>
        <v>1000.6770000000001</v>
      </c>
      <c r="AR44">
        <f t="shared" si="33"/>
        <v>1572.8160000000003</v>
      </c>
      <c r="AS44">
        <f t="shared" si="33"/>
        <v>1597.5799999999997</v>
      </c>
      <c r="AT44">
        <f t="shared" si="33"/>
        <v>1508.3389999999999</v>
      </c>
      <c r="AU44">
        <f t="shared" si="33"/>
        <v>1350.9214999999997</v>
      </c>
      <c r="AX44">
        <v>23</v>
      </c>
      <c r="AY44">
        <f t="shared" si="18"/>
        <v>37.824733824733784</v>
      </c>
      <c r="AZ44">
        <f t="shared" si="13"/>
        <v>52.23255813953498</v>
      </c>
      <c r="BA44">
        <f t="shared" si="14"/>
        <v>111.22292993630583</v>
      </c>
      <c r="BB44">
        <f t="shared" si="14"/>
        <v>80.308641975308404</v>
      </c>
      <c r="BC44">
        <f t="shared" si="23"/>
        <v>19.208695652173912</v>
      </c>
      <c r="BD44">
        <f t="shared" si="32"/>
        <v>54.821052631578951</v>
      </c>
      <c r="BE44">
        <f t="shared" si="32"/>
        <v>58.131868131868153</v>
      </c>
      <c r="BF44">
        <f t="shared" si="32"/>
        <v>65.287581699346347</v>
      </c>
      <c r="BG44">
        <f t="shared" si="32"/>
        <v>63.903571428571404</v>
      </c>
    </row>
    <row r="45" spans="2:59">
      <c r="B45">
        <v>19</v>
      </c>
      <c r="C45">
        <v>31.233333333333338</v>
      </c>
      <c r="D45">
        <v>36.35</v>
      </c>
      <c r="E45">
        <v>31.85</v>
      </c>
      <c r="F45">
        <v>25.849999999999994</v>
      </c>
      <c r="G45">
        <v>32.500000000000014</v>
      </c>
      <c r="H45">
        <v>32</v>
      </c>
      <c r="I45">
        <v>31.200000000000003</v>
      </c>
      <c r="J45">
        <v>30.699999999999989</v>
      </c>
      <c r="K45">
        <v>20.566666666666666</v>
      </c>
      <c r="N45">
        <v>19</v>
      </c>
      <c r="O45">
        <f t="shared" si="11"/>
        <v>141.48700000000002</v>
      </c>
      <c r="P45">
        <f t="shared" si="2"/>
        <v>164.66550000000001</v>
      </c>
      <c r="Q45">
        <f t="shared" si="3"/>
        <v>144.28050000000002</v>
      </c>
      <c r="R45">
        <f t="shared" si="4"/>
        <v>117.10049999999998</v>
      </c>
      <c r="S45">
        <f t="shared" si="5"/>
        <v>147.22500000000008</v>
      </c>
      <c r="T45">
        <f t="shared" si="6"/>
        <v>144.96</v>
      </c>
      <c r="U45">
        <f t="shared" si="7"/>
        <v>141.33600000000001</v>
      </c>
      <c r="V45">
        <f t="shared" si="8"/>
        <v>139.07099999999997</v>
      </c>
      <c r="W45">
        <f t="shared" si="9"/>
        <v>93.167000000000002</v>
      </c>
    </row>
    <row r="46" spans="2:59">
      <c r="B46">
        <v>20</v>
      </c>
      <c r="C46">
        <v>16.933333333333337</v>
      </c>
      <c r="D46">
        <v>16.450000000000003</v>
      </c>
      <c r="E46">
        <v>16.399999999999999</v>
      </c>
      <c r="F46">
        <v>16.450000000000003</v>
      </c>
      <c r="G46">
        <v>21.399999999999991</v>
      </c>
      <c r="H46">
        <v>17.399999999999999</v>
      </c>
      <c r="I46">
        <v>16.349999999999994</v>
      </c>
      <c r="J46">
        <v>15.400000000000006</v>
      </c>
      <c r="K46">
        <v>14.100000000000003</v>
      </c>
      <c r="N46">
        <v>20</v>
      </c>
      <c r="O46">
        <f t="shared" si="11"/>
        <v>76.708000000000027</v>
      </c>
      <c r="P46">
        <f t="shared" si="2"/>
        <v>74.518500000000017</v>
      </c>
      <c r="Q46">
        <f t="shared" si="3"/>
        <v>74.292000000000002</v>
      </c>
      <c r="R46">
        <f t="shared" si="4"/>
        <v>74.518500000000017</v>
      </c>
      <c r="S46">
        <f t="shared" si="5"/>
        <v>96.941999999999965</v>
      </c>
      <c r="T46">
        <f t="shared" si="6"/>
        <v>78.822000000000003</v>
      </c>
      <c r="U46">
        <f t="shared" si="7"/>
        <v>74.065499999999972</v>
      </c>
      <c r="V46">
        <f t="shared" si="8"/>
        <v>69.762000000000029</v>
      </c>
      <c r="W46">
        <f t="shared" si="9"/>
        <v>63.873000000000019</v>
      </c>
    </row>
    <row r="47" spans="2:59">
      <c r="B47">
        <v>21</v>
      </c>
      <c r="C47">
        <v>17.533333333333331</v>
      </c>
      <c r="D47">
        <v>17.499999999999993</v>
      </c>
      <c r="E47">
        <v>17.700000000000003</v>
      </c>
      <c r="F47">
        <v>16.899999999999999</v>
      </c>
      <c r="G47">
        <v>22.100000000000009</v>
      </c>
      <c r="H47">
        <v>18.700000000000003</v>
      </c>
      <c r="I47">
        <v>17.049999999999997</v>
      </c>
      <c r="J47">
        <v>15.199999999999989</v>
      </c>
      <c r="K47">
        <v>13.733333333333329</v>
      </c>
      <c r="N47">
        <v>21</v>
      </c>
      <c r="O47">
        <f t="shared" si="11"/>
        <v>79.426000000000002</v>
      </c>
      <c r="P47">
        <f t="shared" si="2"/>
        <v>79.274999999999977</v>
      </c>
      <c r="Q47">
        <f t="shared" si="3"/>
        <v>80.181000000000012</v>
      </c>
      <c r="R47">
        <f t="shared" si="4"/>
        <v>76.557000000000002</v>
      </c>
      <c r="S47">
        <f t="shared" si="5"/>
        <v>100.11300000000004</v>
      </c>
      <c r="T47">
        <f t="shared" si="6"/>
        <v>84.711000000000013</v>
      </c>
      <c r="U47">
        <f t="shared" si="7"/>
        <v>77.236499999999992</v>
      </c>
      <c r="V47">
        <f t="shared" si="8"/>
        <v>68.855999999999952</v>
      </c>
      <c r="W47">
        <f t="shared" si="9"/>
        <v>62.211999999999982</v>
      </c>
      <c r="AK47" t="s">
        <v>173</v>
      </c>
      <c r="AL47" t="s">
        <v>42</v>
      </c>
      <c r="AM47" t="s">
        <v>2</v>
      </c>
      <c r="AN47" t="s">
        <v>174</v>
      </c>
      <c r="AO47" t="s">
        <v>3</v>
      </c>
      <c r="AP47" t="s">
        <v>175</v>
      </c>
      <c r="AR47" t="s">
        <v>172</v>
      </c>
      <c r="AS47" t="s">
        <v>42</v>
      </c>
      <c r="AT47" t="s">
        <v>2</v>
      </c>
      <c r="AU47" t="s">
        <v>174</v>
      </c>
      <c r="AV47" t="s">
        <v>3</v>
      </c>
      <c r="AW47" t="s">
        <v>175</v>
      </c>
    </row>
    <row r="48" spans="2:59">
      <c r="B48" s="45">
        <v>22</v>
      </c>
      <c r="C48">
        <v>24.599999999999998</v>
      </c>
      <c r="D48">
        <v>52.85</v>
      </c>
      <c r="E48">
        <v>39.200000000000003</v>
      </c>
      <c r="F48">
        <v>53.9</v>
      </c>
      <c r="G48">
        <v>71.8</v>
      </c>
      <c r="H48">
        <v>44.9</v>
      </c>
      <c r="I48">
        <v>59.95</v>
      </c>
      <c r="J48">
        <v>93.4</v>
      </c>
      <c r="K48">
        <v>30.3</v>
      </c>
      <c r="N48" s="45">
        <v>22</v>
      </c>
      <c r="O48">
        <f t="shared" si="11"/>
        <v>111.438</v>
      </c>
      <c r="P48">
        <f t="shared" si="2"/>
        <v>239.41050000000001</v>
      </c>
      <c r="Q48">
        <f t="shared" si="3"/>
        <v>177.57600000000002</v>
      </c>
      <c r="R48">
        <f t="shared" si="4"/>
        <v>244.167</v>
      </c>
      <c r="S48">
        <f t="shared" si="5"/>
        <v>325.25400000000002</v>
      </c>
      <c r="T48">
        <f t="shared" si="6"/>
        <v>203.39699999999999</v>
      </c>
      <c r="U48">
        <f t="shared" si="7"/>
        <v>271.57350000000002</v>
      </c>
      <c r="V48">
        <f t="shared" si="8"/>
        <v>423.10200000000003</v>
      </c>
      <c r="W48">
        <f t="shared" si="9"/>
        <v>137.25900000000001</v>
      </c>
      <c r="AL48">
        <v>1</v>
      </c>
      <c r="AM48">
        <f>AVERAGE(AM27:AN27)</f>
        <v>37.655625000000001</v>
      </c>
      <c r="AN48">
        <f>AVERAGE(AO27:AP27)</f>
        <v>18.063375000000022</v>
      </c>
      <c r="AO48">
        <f>AVERAGE(AR27:AS27)</f>
        <v>28.085999999999991</v>
      </c>
      <c r="AP48">
        <f>AVERAGE(AT27:AU27)</f>
        <v>22.121500000000012</v>
      </c>
      <c r="AS48">
        <v>1</v>
      </c>
      <c r="AT48">
        <f>AM48/AM$48</f>
        <v>1</v>
      </c>
      <c r="AU48">
        <f t="shared" ref="AU48:AW65" si="34">AN48/AN$48</f>
        <v>1</v>
      </c>
      <c r="AV48">
        <f t="shared" si="34"/>
        <v>1</v>
      </c>
      <c r="AW48">
        <f t="shared" si="34"/>
        <v>1</v>
      </c>
    </row>
    <row r="49" spans="2:49">
      <c r="B49">
        <v>23</v>
      </c>
      <c r="C49">
        <v>13.066666666666668</v>
      </c>
      <c r="D49">
        <v>15.799999999999997</v>
      </c>
      <c r="E49">
        <v>21.299999999999997</v>
      </c>
      <c r="F49">
        <v>23.100000000000009</v>
      </c>
      <c r="H49">
        <v>20.850000000000009</v>
      </c>
      <c r="I49">
        <v>18.049999999999997</v>
      </c>
      <c r="J49">
        <v>16.600000000000009</v>
      </c>
      <c r="K49">
        <v>17.25</v>
      </c>
      <c r="N49">
        <v>23</v>
      </c>
      <c r="O49">
        <f t="shared" si="11"/>
        <v>59.192000000000007</v>
      </c>
      <c r="P49">
        <f t="shared" si="2"/>
        <v>71.573999999999998</v>
      </c>
      <c r="Q49">
        <f t="shared" si="3"/>
        <v>96.48899999999999</v>
      </c>
      <c r="R49">
        <f t="shared" si="4"/>
        <v>104.64300000000004</v>
      </c>
      <c r="S49">
        <f t="shared" si="5"/>
        <v>0</v>
      </c>
      <c r="T49">
        <f t="shared" si="6"/>
        <v>94.450500000000048</v>
      </c>
      <c r="U49">
        <f t="shared" si="7"/>
        <v>81.766499999999994</v>
      </c>
      <c r="V49">
        <f t="shared" si="8"/>
        <v>75.198000000000036</v>
      </c>
      <c r="W49">
        <f t="shared" si="9"/>
        <v>78.142499999999998</v>
      </c>
      <c r="AL49">
        <v>2</v>
      </c>
      <c r="AM49">
        <f t="shared" ref="AM49:AM65" si="35">AVERAGE(AM28:AN28)</f>
        <v>101.415375</v>
      </c>
      <c r="AN49">
        <f t="shared" ref="AN49:AN65" si="36">AVERAGE(AO28:AP28)</f>
        <v>128.70862500000004</v>
      </c>
      <c r="AO49">
        <f t="shared" ref="AO49:AO65" si="37">AVERAGE(AR28:AS28)</f>
        <v>95.885000000000005</v>
      </c>
      <c r="AP49">
        <f t="shared" ref="AP49:AP65" si="38">AVERAGE(AT28:AU28)</f>
        <v>83.880499999999984</v>
      </c>
      <c r="AS49">
        <v>2</v>
      </c>
      <c r="AT49">
        <f t="shared" ref="AT49:AU65" si="39">AM49/AM$48</f>
        <v>2.693233082706767</v>
      </c>
      <c r="AU49">
        <f t="shared" si="34"/>
        <v>7.1253918495297741</v>
      </c>
      <c r="AV49">
        <f t="shared" si="34"/>
        <v>3.4139784946236573</v>
      </c>
      <c r="AW49">
        <f t="shared" si="34"/>
        <v>3.7918088737201336</v>
      </c>
    </row>
    <row r="50" spans="2:49">
      <c r="AL50">
        <v>3</v>
      </c>
      <c r="AM50">
        <f t="shared" si="35"/>
        <v>211.21125000000006</v>
      </c>
      <c r="AN50">
        <f t="shared" si="36"/>
        <v>217.55325000000005</v>
      </c>
      <c r="AO50">
        <f t="shared" si="37"/>
        <v>188.74999999999997</v>
      </c>
      <c r="AP50">
        <f t="shared" si="38"/>
        <v>203.62349999999992</v>
      </c>
      <c r="AS50">
        <v>3</v>
      </c>
      <c r="AT50">
        <f t="shared" si="39"/>
        <v>5.609022556390979</v>
      </c>
      <c r="AU50">
        <f t="shared" si="34"/>
        <v>12.043887147335411</v>
      </c>
      <c r="AV50">
        <f t="shared" si="34"/>
        <v>6.7204301075268829</v>
      </c>
      <c r="AW50">
        <f t="shared" si="34"/>
        <v>9.2047781569965785</v>
      </c>
    </row>
    <row r="51" spans="2:49">
      <c r="AL51">
        <v>4</v>
      </c>
      <c r="AM51">
        <f t="shared" si="35"/>
        <v>366.25050000000005</v>
      </c>
      <c r="AN51">
        <f t="shared" si="36"/>
        <v>418.17562500000003</v>
      </c>
      <c r="AO51">
        <f t="shared" si="37"/>
        <v>260.77699999999993</v>
      </c>
      <c r="AP51">
        <f t="shared" si="38"/>
        <v>276.40549999999996</v>
      </c>
      <c r="AS51">
        <v>4</v>
      </c>
      <c r="AT51">
        <f t="shared" si="39"/>
        <v>9.726315789473686</v>
      </c>
      <c r="AU51">
        <f t="shared" si="34"/>
        <v>23.150470219435711</v>
      </c>
      <c r="AV51">
        <f t="shared" si="34"/>
        <v>9.28494623655914</v>
      </c>
      <c r="AW51">
        <f t="shared" si="34"/>
        <v>12.494880546075077</v>
      </c>
    </row>
    <row r="52" spans="2:49">
      <c r="AL52">
        <v>5</v>
      </c>
      <c r="AM52">
        <f t="shared" si="35"/>
        <v>445.12912500000004</v>
      </c>
      <c r="AN52">
        <f t="shared" si="36"/>
        <v>572.87512500000003</v>
      </c>
      <c r="AO52">
        <f t="shared" si="37"/>
        <v>336.95649999999995</v>
      </c>
      <c r="AP52">
        <f t="shared" si="38"/>
        <v>374.25349999999992</v>
      </c>
      <c r="AS52">
        <v>5</v>
      </c>
      <c r="AT52">
        <f t="shared" si="39"/>
        <v>11.821052631578949</v>
      </c>
      <c r="AU52">
        <f t="shared" si="34"/>
        <v>31.714733542319713</v>
      </c>
      <c r="AV52">
        <f t="shared" si="34"/>
        <v>11.997311827956992</v>
      </c>
      <c r="AW52">
        <f t="shared" si="34"/>
        <v>16.918088737201352</v>
      </c>
    </row>
    <row r="53" spans="2:49">
      <c r="AL53">
        <v>8</v>
      </c>
      <c r="AM53">
        <f t="shared" si="35"/>
        <v>543.93975</v>
      </c>
      <c r="AN53">
        <f t="shared" si="36"/>
        <v>666.19312500000001</v>
      </c>
      <c r="AO53">
        <f t="shared" si="37"/>
        <v>459.49299999999994</v>
      </c>
      <c r="AP53">
        <f t="shared" si="38"/>
        <v>473.30949999999996</v>
      </c>
      <c r="AS53">
        <v>8</v>
      </c>
      <c r="AT53">
        <f t="shared" si="39"/>
        <v>14.445112781954887</v>
      </c>
      <c r="AU53">
        <f t="shared" si="34"/>
        <v>36.880877742946666</v>
      </c>
      <c r="AV53">
        <f t="shared" si="34"/>
        <v>16.360215053763444</v>
      </c>
      <c r="AW53">
        <f t="shared" si="34"/>
        <v>21.395904436860054</v>
      </c>
    </row>
    <row r="54" spans="2:49">
      <c r="AL54">
        <v>10</v>
      </c>
      <c r="AM54">
        <f t="shared" si="35"/>
        <v>634.31325000000004</v>
      </c>
      <c r="AN54">
        <f t="shared" si="36"/>
        <v>747.11024999999995</v>
      </c>
      <c r="AO54">
        <f t="shared" si="37"/>
        <v>563.38099999999997</v>
      </c>
      <c r="AP54">
        <f t="shared" si="38"/>
        <v>569.19449999999995</v>
      </c>
      <c r="AS54">
        <v>10</v>
      </c>
      <c r="AT54">
        <f t="shared" si="39"/>
        <v>16.845112781954889</v>
      </c>
      <c r="AU54">
        <f t="shared" si="34"/>
        <v>41.360501567398067</v>
      </c>
      <c r="AV54">
        <f t="shared" si="34"/>
        <v>20.059139784946243</v>
      </c>
      <c r="AW54">
        <f t="shared" si="34"/>
        <v>25.730375426621144</v>
      </c>
    </row>
    <row r="55" spans="2:49">
      <c r="AL55">
        <v>11</v>
      </c>
      <c r="AM55">
        <f t="shared" si="35"/>
        <v>697.84649999999999</v>
      </c>
      <c r="AN55">
        <f t="shared" si="36"/>
        <v>796.60050000000001</v>
      </c>
      <c r="AO55">
        <f t="shared" si="37"/>
        <v>628.16</v>
      </c>
      <c r="AP55">
        <f t="shared" si="38"/>
        <v>628.16</v>
      </c>
      <c r="AS55">
        <v>11</v>
      </c>
      <c r="AT55">
        <f t="shared" si="39"/>
        <v>18.532330827067668</v>
      </c>
      <c r="AU55">
        <f t="shared" si="34"/>
        <v>44.100313479623772</v>
      </c>
      <c r="AV55">
        <f t="shared" si="34"/>
        <v>22.365591397849467</v>
      </c>
      <c r="AW55">
        <f t="shared" si="34"/>
        <v>28.39590443686005</v>
      </c>
    </row>
    <row r="56" spans="2:49">
      <c r="AL56">
        <v>12</v>
      </c>
      <c r="AM56">
        <f t="shared" si="35"/>
        <v>793.42949999999996</v>
      </c>
      <c r="AN56">
        <f t="shared" si="36"/>
        <v>884.36924999999997</v>
      </c>
      <c r="AO56">
        <f t="shared" si="37"/>
        <v>729.82074999999998</v>
      </c>
      <c r="AP56">
        <f t="shared" si="38"/>
        <v>723.59199999999998</v>
      </c>
      <c r="AS56">
        <v>12</v>
      </c>
      <c r="AT56">
        <f t="shared" si="39"/>
        <v>21.070676691729322</v>
      </c>
      <c r="AU56">
        <f t="shared" si="34"/>
        <v>48.95924764890276</v>
      </c>
      <c r="AV56">
        <f t="shared" si="34"/>
        <v>25.985215053763447</v>
      </c>
      <c r="AW56">
        <f t="shared" si="34"/>
        <v>32.70989761092148</v>
      </c>
    </row>
    <row r="57" spans="2:49">
      <c r="AL57">
        <v>13</v>
      </c>
      <c r="AM57">
        <f t="shared" si="35"/>
        <v>887.08725000000004</v>
      </c>
      <c r="AN57">
        <f t="shared" si="36"/>
        <v>989.91825000000017</v>
      </c>
      <c r="AO57">
        <f t="shared" si="37"/>
        <v>831.06625000000008</v>
      </c>
      <c r="AP57">
        <f t="shared" si="38"/>
        <v>811.17200000000003</v>
      </c>
      <c r="AS57">
        <v>13</v>
      </c>
      <c r="AT57">
        <f t="shared" si="39"/>
        <v>23.557894736842105</v>
      </c>
      <c r="AU57">
        <f t="shared" si="34"/>
        <v>54.802507836990536</v>
      </c>
      <c r="AV57">
        <f t="shared" si="34"/>
        <v>29.590053763440871</v>
      </c>
      <c r="AW57">
        <f t="shared" si="34"/>
        <v>36.668941979522167</v>
      </c>
    </row>
    <row r="58" spans="2:49">
      <c r="AL58">
        <v>14</v>
      </c>
      <c r="AM58">
        <f t="shared" si="35"/>
        <v>966.58875</v>
      </c>
      <c r="AN58">
        <f t="shared" si="36"/>
        <v>1073.6100000000001</v>
      </c>
      <c r="AO58">
        <f t="shared" si="37"/>
        <v>913.81425000000002</v>
      </c>
      <c r="AP58">
        <f t="shared" si="38"/>
        <v>883.87850000000003</v>
      </c>
      <c r="AS58">
        <v>14</v>
      </c>
      <c r="AT58">
        <f t="shared" si="39"/>
        <v>25.669172932330827</v>
      </c>
      <c r="AU58">
        <f t="shared" si="34"/>
        <v>59.435736677115919</v>
      </c>
      <c r="AV58">
        <f t="shared" si="34"/>
        <v>32.536290322580655</v>
      </c>
      <c r="AW58">
        <f t="shared" si="34"/>
        <v>39.955631399317383</v>
      </c>
    </row>
    <row r="59" spans="2:49">
      <c r="AL59">
        <v>16</v>
      </c>
      <c r="AM59">
        <f t="shared" si="35"/>
        <v>1059.8501249999999</v>
      </c>
      <c r="AN59">
        <f t="shared" si="36"/>
        <v>1174.8555000000001</v>
      </c>
      <c r="AO59">
        <f t="shared" si="37"/>
        <v>1006.4527499999999</v>
      </c>
      <c r="AP59">
        <f t="shared" si="38"/>
        <v>961.71899999999994</v>
      </c>
      <c r="AS59">
        <v>16</v>
      </c>
      <c r="AT59">
        <f t="shared" si="39"/>
        <v>28.145864661654134</v>
      </c>
      <c r="AU59">
        <f t="shared" si="34"/>
        <v>65.040752351097112</v>
      </c>
      <c r="AV59">
        <f t="shared" si="34"/>
        <v>35.834677419354847</v>
      </c>
      <c r="AW59">
        <f t="shared" si="34"/>
        <v>43.474402730375402</v>
      </c>
    </row>
    <row r="60" spans="2:49">
      <c r="AL60">
        <v>17</v>
      </c>
      <c r="AM60">
        <f t="shared" si="35"/>
        <v>1152.0922499999999</v>
      </c>
      <c r="AN60">
        <f t="shared" si="36"/>
        <v>1250.6197500000003</v>
      </c>
      <c r="AO60">
        <f t="shared" si="37"/>
        <v>1097.6567500000001</v>
      </c>
      <c r="AP60">
        <f t="shared" si="38"/>
        <v>1025.894</v>
      </c>
      <c r="AS60">
        <v>17</v>
      </c>
      <c r="AT60">
        <f t="shared" si="39"/>
        <v>30.595488721804507</v>
      </c>
      <c r="AU60">
        <f t="shared" si="34"/>
        <v>69.235109717868269</v>
      </c>
      <c r="AV60">
        <f t="shared" si="34"/>
        <v>39.081989247311846</v>
      </c>
      <c r="AW60">
        <f t="shared" si="34"/>
        <v>46.375426621160386</v>
      </c>
    </row>
    <row r="61" spans="2:49">
      <c r="AL61">
        <v>18</v>
      </c>
      <c r="AM61">
        <f t="shared" si="35"/>
        <v>1261.3785</v>
      </c>
      <c r="AN61">
        <f t="shared" si="36"/>
        <v>1341.4462500000002</v>
      </c>
      <c r="AO61">
        <f t="shared" si="37"/>
        <v>1196.5239999999999</v>
      </c>
      <c r="AP61">
        <f t="shared" si="38"/>
        <v>1104.4894999999999</v>
      </c>
      <c r="AS61">
        <v>18</v>
      </c>
      <c r="AT61">
        <f t="shared" si="39"/>
        <v>33.497744360902253</v>
      </c>
      <c r="AU61">
        <f t="shared" si="34"/>
        <v>74.263322884012453</v>
      </c>
      <c r="AV61">
        <f t="shared" si="34"/>
        <v>42.602150537634415</v>
      </c>
      <c r="AW61">
        <f t="shared" si="34"/>
        <v>49.928327645051162</v>
      </c>
    </row>
    <row r="62" spans="2:49">
      <c r="AL62">
        <v>19</v>
      </c>
      <c r="AM62">
        <f t="shared" si="35"/>
        <v>1414.4547500000001</v>
      </c>
      <c r="AN62">
        <f t="shared" si="36"/>
        <v>1472.1367500000001</v>
      </c>
      <c r="AO62">
        <f t="shared" si="37"/>
        <v>1339.672</v>
      </c>
      <c r="AP62">
        <f t="shared" si="38"/>
        <v>1220.6084999999998</v>
      </c>
      <c r="AS62">
        <v>19</v>
      </c>
      <c r="AT62">
        <f t="shared" si="39"/>
        <v>37.562907268170427</v>
      </c>
      <c r="AU62">
        <f t="shared" si="34"/>
        <v>81.498432601880779</v>
      </c>
      <c r="AV62">
        <f t="shared" si="34"/>
        <v>47.698924731182814</v>
      </c>
      <c r="AW62">
        <f t="shared" si="34"/>
        <v>55.17747440273034</v>
      </c>
    </row>
    <row r="63" spans="2:49">
      <c r="AL63">
        <v>20</v>
      </c>
      <c r="AM63">
        <f t="shared" si="35"/>
        <v>1490.0680000000002</v>
      </c>
      <c r="AN63">
        <f t="shared" si="36"/>
        <v>1546.5420000000001</v>
      </c>
      <c r="AO63">
        <f t="shared" si="37"/>
        <v>1416.1157499999999</v>
      </c>
      <c r="AP63">
        <f t="shared" si="38"/>
        <v>1287.4259999999999</v>
      </c>
      <c r="AS63">
        <v>20</v>
      </c>
      <c r="AT63">
        <f t="shared" si="39"/>
        <v>39.570927318295745</v>
      </c>
      <c r="AU63">
        <f t="shared" si="34"/>
        <v>85.617554858934071</v>
      </c>
      <c r="AV63">
        <f t="shared" si="34"/>
        <v>50.420698924731198</v>
      </c>
      <c r="AW63">
        <f t="shared" si="34"/>
        <v>58.197952218429997</v>
      </c>
    </row>
    <row r="64" spans="2:49">
      <c r="AL64">
        <v>21</v>
      </c>
      <c r="AM64">
        <f t="shared" si="35"/>
        <v>1569.4185000000002</v>
      </c>
      <c r="AN64">
        <f t="shared" si="36"/>
        <v>1624.9110000000001</v>
      </c>
      <c r="AO64">
        <f t="shared" si="37"/>
        <v>1497.0895</v>
      </c>
      <c r="AP64">
        <f t="shared" si="38"/>
        <v>1352.9599999999998</v>
      </c>
      <c r="AS64">
        <v>21</v>
      </c>
      <c r="AT64">
        <f t="shared" si="39"/>
        <v>41.678195488721812</v>
      </c>
      <c r="AU64">
        <f t="shared" si="39"/>
        <v>89.956112852664475</v>
      </c>
      <c r="AV64">
        <f t="shared" si="34"/>
        <v>53.30376344086023</v>
      </c>
      <c r="AW64">
        <f t="shared" si="34"/>
        <v>61.160409556313951</v>
      </c>
    </row>
    <row r="65" spans="38:49">
      <c r="AL65">
        <v>23</v>
      </c>
      <c r="AM65">
        <f t="shared" si="35"/>
        <v>1634.8015</v>
      </c>
      <c r="AN65">
        <f t="shared" si="36"/>
        <v>1725.4770000000003</v>
      </c>
      <c r="AO65">
        <f t="shared" si="37"/>
        <v>1585.1979999999999</v>
      </c>
      <c r="AP65">
        <f t="shared" si="38"/>
        <v>1429.6302499999997</v>
      </c>
      <c r="AS65">
        <v>23</v>
      </c>
      <c r="AT65">
        <f t="shared" si="39"/>
        <v>43.414536340852131</v>
      </c>
      <c r="AU65">
        <f t="shared" si="34"/>
        <v>95.523510971786735</v>
      </c>
      <c r="AV65">
        <f t="shared" si="34"/>
        <v>56.440860215053775</v>
      </c>
      <c r="AW65">
        <f t="shared" si="34"/>
        <v>64.626279863481187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5419-A05C-8246-9DAD-68D4A92AB996}">
  <dimension ref="A1:BL173"/>
  <sheetViews>
    <sheetView zoomScale="60" zoomScaleNormal="84" workbookViewId="0">
      <selection activeCell="Y46" sqref="Y46"/>
    </sheetView>
  </sheetViews>
  <sheetFormatPr baseColWidth="10" defaultRowHeight="16"/>
  <cols>
    <col min="2" max="4" width="10.83203125" style="31"/>
    <col min="5" max="5" width="10.83203125" style="32"/>
    <col min="6" max="8" width="10.83203125" style="31"/>
    <col min="9" max="9" width="10.83203125" style="32"/>
    <col min="10" max="12" width="10.83203125" style="31"/>
    <col min="13" max="13" width="10.83203125" style="32"/>
    <col min="14" max="16" width="10.83203125" style="31"/>
    <col min="17" max="17" width="10.83203125" style="32"/>
    <col min="18" max="18" width="16.83203125" customWidth="1"/>
  </cols>
  <sheetData>
    <row r="1" spans="1:64">
      <c r="A1" s="50" t="s">
        <v>0</v>
      </c>
      <c r="B1" s="29" t="s">
        <v>90</v>
      </c>
      <c r="C1" s="29" t="s">
        <v>87</v>
      </c>
      <c r="D1" s="29" t="s">
        <v>142</v>
      </c>
      <c r="E1" s="30" t="s">
        <v>141</v>
      </c>
      <c r="F1" s="29" t="s">
        <v>91</v>
      </c>
      <c r="G1" s="29" t="s">
        <v>86</v>
      </c>
      <c r="H1" s="29" t="s">
        <v>143</v>
      </c>
      <c r="I1" s="30" t="s">
        <v>144</v>
      </c>
      <c r="J1" s="29" t="s">
        <v>93</v>
      </c>
      <c r="K1" s="29" t="s">
        <v>94</v>
      </c>
      <c r="L1" s="29" t="s">
        <v>145</v>
      </c>
      <c r="M1" s="30" t="s">
        <v>146</v>
      </c>
      <c r="N1" s="29" t="s">
        <v>95</v>
      </c>
      <c r="O1" s="29" t="s">
        <v>96</v>
      </c>
      <c r="P1" s="29" t="s">
        <v>148</v>
      </c>
      <c r="Q1" s="30" t="s">
        <v>147</v>
      </c>
      <c r="R1" s="36" t="s">
        <v>102</v>
      </c>
      <c r="U1" s="28" t="s">
        <v>42</v>
      </c>
      <c r="V1" s="28">
        <v>1</v>
      </c>
      <c r="W1" s="28">
        <v>2</v>
      </c>
      <c r="X1" s="28">
        <v>3</v>
      </c>
      <c r="Y1" s="44">
        <v>4</v>
      </c>
      <c r="Z1" s="44">
        <v>5</v>
      </c>
      <c r="AA1" s="44">
        <v>6</v>
      </c>
      <c r="AB1" s="44">
        <v>7</v>
      </c>
      <c r="AC1" s="28">
        <v>8</v>
      </c>
      <c r="AD1" s="44">
        <v>9</v>
      </c>
      <c r="AE1" s="28">
        <v>10</v>
      </c>
      <c r="AF1" s="28">
        <v>11</v>
      </c>
      <c r="AG1" s="28">
        <v>12</v>
      </c>
      <c r="AH1" s="28">
        <v>13</v>
      </c>
      <c r="AI1" s="28">
        <v>14</v>
      </c>
      <c r="AJ1" s="47">
        <v>15</v>
      </c>
      <c r="AK1" s="28">
        <v>16</v>
      </c>
      <c r="AL1" s="28">
        <v>17</v>
      </c>
      <c r="AM1" s="28">
        <v>18</v>
      </c>
      <c r="AN1" s="28">
        <v>19</v>
      </c>
      <c r="AO1" s="28">
        <v>20</v>
      </c>
      <c r="AP1" s="28">
        <v>21</v>
      </c>
      <c r="AQ1" s="44">
        <v>22</v>
      </c>
      <c r="AR1" s="28">
        <v>23</v>
      </c>
      <c r="AU1" s="28" t="s">
        <v>42</v>
      </c>
      <c r="AV1" s="28">
        <v>1</v>
      </c>
      <c r="AW1" s="28">
        <v>2</v>
      </c>
      <c r="AX1" s="28">
        <v>3</v>
      </c>
      <c r="AY1" s="28">
        <v>8</v>
      </c>
      <c r="AZ1" s="28">
        <v>10</v>
      </c>
      <c r="BA1" s="28">
        <v>11</v>
      </c>
      <c r="BB1" s="28">
        <v>12</v>
      </c>
      <c r="BC1" s="28">
        <v>13</v>
      </c>
      <c r="BD1" s="28">
        <v>14</v>
      </c>
      <c r="BE1" s="47">
        <v>15</v>
      </c>
      <c r="BF1" s="28">
        <v>16</v>
      </c>
      <c r="BG1" s="28">
        <v>17</v>
      </c>
      <c r="BH1" s="28">
        <v>18</v>
      </c>
      <c r="BI1" s="28">
        <v>19</v>
      </c>
      <c r="BJ1" s="28">
        <v>20</v>
      </c>
      <c r="BK1" s="28">
        <v>21</v>
      </c>
      <c r="BL1" s="28">
        <v>23</v>
      </c>
    </row>
    <row r="2" spans="1:64">
      <c r="A2" s="31">
        <v>1</v>
      </c>
      <c r="B2" s="31">
        <v>353.6</v>
      </c>
      <c r="C2" s="31">
        <v>312.89999999999998</v>
      </c>
      <c r="D2" s="32">
        <f>((B2-C2)*4.53/4)/3</f>
        <v>15.364250000000018</v>
      </c>
      <c r="E2" s="32">
        <f>D2</f>
        <v>15.364250000000018</v>
      </c>
      <c r="F2" s="31">
        <v>408</v>
      </c>
      <c r="G2" s="31">
        <v>392.3</v>
      </c>
      <c r="H2" s="32">
        <f>((F2-G2)*4.53/4)/3</f>
        <v>5.9267499999999957</v>
      </c>
      <c r="I2" s="32">
        <f>H2</f>
        <v>5.9267499999999957</v>
      </c>
      <c r="J2" s="31">
        <v>409.4</v>
      </c>
      <c r="K2" s="31">
        <v>390.4</v>
      </c>
      <c r="L2" s="32">
        <f>((J2-K2)*4.53/4)/3</f>
        <v>7.1725000000000003</v>
      </c>
      <c r="M2" s="32">
        <f>L2</f>
        <v>7.1725000000000003</v>
      </c>
      <c r="N2" s="31">
        <v>387</v>
      </c>
      <c r="O2" s="31">
        <v>371.7</v>
      </c>
      <c r="P2" s="31">
        <f>(N2-O2)*4.53</f>
        <v>69.309000000000054</v>
      </c>
      <c r="Q2" s="32">
        <f>P2</f>
        <v>69.309000000000054</v>
      </c>
      <c r="R2" t="s">
        <v>54</v>
      </c>
      <c r="U2" t="s">
        <v>43</v>
      </c>
      <c r="V2">
        <v>2.7708333333333335</v>
      </c>
      <c r="W2">
        <v>2.0107142857142852</v>
      </c>
      <c r="X2">
        <v>2.6930555555555569</v>
      </c>
      <c r="Y2" s="46">
        <v>4.8892857142857133</v>
      </c>
      <c r="Z2">
        <v>2.4875000000000016</v>
      </c>
      <c r="AA2">
        <v>2.4214285714285699</v>
      </c>
      <c r="AB2">
        <v>2.4303571428571433</v>
      </c>
      <c r="AC2">
        <v>2.4236111111111107</v>
      </c>
      <c r="AD2">
        <v>2.1700000000000008</v>
      </c>
      <c r="AE2">
        <v>2.4937500000000004</v>
      </c>
      <c r="AF2">
        <v>2.3374999999999995</v>
      </c>
      <c r="AG2">
        <v>3.0142857142857142</v>
      </c>
      <c r="AH2">
        <v>2.9535714285714296</v>
      </c>
      <c r="AI2">
        <v>2.5071428571428562</v>
      </c>
      <c r="AJ2">
        <v>2.7964285714285713</v>
      </c>
      <c r="AK2">
        <v>2.941071428571429</v>
      </c>
      <c r="AL2">
        <v>2.9089285714285715</v>
      </c>
      <c r="AM2">
        <v>3.4464285714285712</v>
      </c>
      <c r="AN2">
        <v>3.7546296296296298</v>
      </c>
      <c r="AO2">
        <v>2.781944444444445</v>
      </c>
      <c r="AP2">
        <v>2.9194444444444438</v>
      </c>
      <c r="AQ2" s="45" t="s">
        <v>140</v>
      </c>
      <c r="AR2">
        <v>3.6083333333333334</v>
      </c>
      <c r="AU2" t="s">
        <v>43</v>
      </c>
      <c r="AV2">
        <v>2.7708333333333335</v>
      </c>
      <c r="AW2">
        <v>2.0107142857142852</v>
      </c>
      <c r="AX2">
        <v>2.6930555555555569</v>
      </c>
      <c r="AY2">
        <v>2.4236111111111107</v>
      </c>
      <c r="AZ2">
        <v>2.4937500000000004</v>
      </c>
      <c r="BA2">
        <v>2.3374999999999995</v>
      </c>
      <c r="BB2">
        <v>3.0142857142857142</v>
      </c>
      <c r="BC2">
        <v>2.9535714285714296</v>
      </c>
      <c r="BD2">
        <v>2.5071428571428562</v>
      </c>
      <c r="BE2">
        <v>2.7964285714285713</v>
      </c>
      <c r="BF2">
        <v>2.941071428571429</v>
      </c>
      <c r="BG2">
        <v>2.9089285714285715</v>
      </c>
      <c r="BH2">
        <v>3.4464285714285712</v>
      </c>
      <c r="BI2">
        <v>3.7546296296296298</v>
      </c>
      <c r="BJ2">
        <v>2.781944444444445</v>
      </c>
      <c r="BK2">
        <v>2.9194444444444438</v>
      </c>
      <c r="BL2">
        <v>3.6083333333333334</v>
      </c>
    </row>
    <row r="3" spans="1:64">
      <c r="A3" s="31">
        <v>2</v>
      </c>
      <c r="B3" s="31">
        <v>334.2</v>
      </c>
      <c r="C3" s="31">
        <v>321.3</v>
      </c>
      <c r="D3" s="32">
        <f>((B3-C3)*4.53/4)/3</f>
        <v>4.8697499999999918</v>
      </c>
      <c r="E3" s="32">
        <f>D3</f>
        <v>4.8697499999999918</v>
      </c>
      <c r="F3" s="31">
        <v>388</v>
      </c>
      <c r="G3" s="31">
        <v>379.9</v>
      </c>
      <c r="H3" s="32">
        <f>((F3-G3)*4.53/4)/3</f>
        <v>3.0577500000000088</v>
      </c>
      <c r="I3" s="32">
        <f>H3</f>
        <v>3.0577500000000088</v>
      </c>
      <c r="J3" s="31">
        <v>376.4</v>
      </c>
      <c r="K3" s="31">
        <v>358.2</v>
      </c>
      <c r="L3" s="32">
        <f>((J3-K3)*4.53/4)/3</f>
        <v>6.8704999999999963</v>
      </c>
      <c r="M3" s="32">
        <f>L3</f>
        <v>6.8704999999999963</v>
      </c>
      <c r="N3" s="31">
        <v>363.4</v>
      </c>
      <c r="O3" s="31">
        <v>349.4</v>
      </c>
      <c r="P3" s="31">
        <f>(N3-O3)*4.53</f>
        <v>63.42</v>
      </c>
      <c r="Q3" s="32">
        <f>P3</f>
        <v>63.42</v>
      </c>
      <c r="U3" s="19" t="s">
        <v>44</v>
      </c>
      <c r="V3" s="19">
        <v>0.62083333333333734</v>
      </c>
      <c r="W3" s="19">
        <v>0.21071428571428469</v>
      </c>
      <c r="X3" s="19">
        <v>0.1819444444444431</v>
      </c>
      <c r="Y3" s="46">
        <v>3.1107142857142867</v>
      </c>
      <c r="Z3" s="19">
        <v>0.23035714285714248</v>
      </c>
      <c r="AA3" s="19">
        <v>0.15000000000000169</v>
      </c>
      <c r="AB3" s="19">
        <v>7.6785714285715553E-2</v>
      </c>
      <c r="AC3" s="19">
        <v>4.1666666666664298E-3</v>
      </c>
      <c r="AD3" s="19">
        <v>0.84000000000000186</v>
      </c>
      <c r="AE3" s="19">
        <v>8.7500000000000119E-2</v>
      </c>
      <c r="AF3" s="19">
        <v>2.9166666666665675E-2</v>
      </c>
      <c r="AG3" s="19">
        <v>0.12857142857142878</v>
      </c>
      <c r="AH3" s="19">
        <v>0.16071428571428512</v>
      </c>
      <c r="AI3" s="19">
        <v>0.12857142857142922</v>
      </c>
      <c r="AJ3" s="19">
        <v>6.0714285714285936E-2</v>
      </c>
      <c r="AK3" s="19">
        <v>0.1124999999999996</v>
      </c>
      <c r="AL3" s="19">
        <v>4.1071428571428197E-2</v>
      </c>
      <c r="AM3" s="19">
        <v>0.40357142857143014</v>
      </c>
      <c r="AN3" s="19">
        <v>0.28425925925925899</v>
      </c>
      <c r="AO3" s="19">
        <v>4.027777777777785E-2</v>
      </c>
      <c r="AP3" s="19">
        <v>2.777777777778212E-3</v>
      </c>
      <c r="AQ3" s="45" t="s">
        <v>140</v>
      </c>
      <c r="AR3" s="19">
        <v>0.34166666666666612</v>
      </c>
      <c r="AU3" s="19" t="s">
        <v>44</v>
      </c>
      <c r="AV3" s="19">
        <v>0.62083333333333734</v>
      </c>
      <c r="AW3" s="19">
        <v>0.21071428571428469</v>
      </c>
      <c r="AX3" s="19">
        <v>0.1819444444444431</v>
      </c>
      <c r="AY3" s="19">
        <v>4.1666666666664298E-3</v>
      </c>
      <c r="AZ3" s="19">
        <v>8.7500000000000119E-2</v>
      </c>
      <c r="BA3" s="19">
        <v>2.9166666666665675E-2</v>
      </c>
      <c r="BB3" s="19">
        <v>0.12857142857142878</v>
      </c>
      <c r="BC3" s="19">
        <v>0.16071428571428512</v>
      </c>
      <c r="BD3" s="19">
        <v>0.12857142857142922</v>
      </c>
      <c r="BE3" s="19">
        <v>6.0714285714285936E-2</v>
      </c>
      <c r="BF3" s="19">
        <v>0.1124999999999996</v>
      </c>
      <c r="BG3" s="19">
        <v>4.1071428571428197E-2</v>
      </c>
      <c r="BH3" s="19">
        <v>0.40357142857143014</v>
      </c>
      <c r="BI3" s="19">
        <v>0.28425925925925899</v>
      </c>
      <c r="BJ3" s="19">
        <v>4.027777777777785E-2</v>
      </c>
      <c r="BK3" s="19">
        <v>2.777777777778212E-3</v>
      </c>
      <c r="BL3" s="19">
        <v>0.34166666666666612</v>
      </c>
    </row>
    <row r="4" spans="1:64">
      <c r="A4" t="s">
        <v>98</v>
      </c>
      <c r="E4" s="32">
        <f>AVERAGE(E2:E3)</f>
        <v>10.117000000000004</v>
      </c>
      <c r="I4" s="32">
        <f>AVERAGE(I2:I3)</f>
        <v>4.4922500000000021</v>
      </c>
      <c r="M4" s="32">
        <f>AVERAGE(M2:M3)</f>
        <v>7.0214999999999979</v>
      </c>
      <c r="Q4" s="32">
        <f>AVERAGE(Q2:Q3)</f>
        <v>66.364500000000021</v>
      </c>
      <c r="U4" t="s">
        <v>45</v>
      </c>
      <c r="V4">
        <v>1.3291666666666682</v>
      </c>
      <c r="W4">
        <v>3.4892857142857148</v>
      </c>
      <c r="X4">
        <v>2.1791666666666663</v>
      </c>
      <c r="Y4" s="46">
        <v>6.3267857142857133</v>
      </c>
      <c r="Z4" s="46">
        <v>4.8785714285714281</v>
      </c>
      <c r="AA4" s="46">
        <v>6.0392857142857155</v>
      </c>
      <c r="AB4" s="46">
        <v>-3.5732142857142857</v>
      </c>
      <c r="AC4">
        <v>2.2888888888888888</v>
      </c>
      <c r="AD4" s="46">
        <v>0.91999999999999882</v>
      </c>
      <c r="AE4">
        <v>2.2328124999999996</v>
      </c>
      <c r="AF4">
        <v>2.0861111111111117</v>
      </c>
      <c r="AG4">
        <v>2.6214285714285714</v>
      </c>
      <c r="AH4">
        <v>3.4714285714285715</v>
      </c>
      <c r="AI4">
        <v>2.592857142857143</v>
      </c>
      <c r="AJ4">
        <v>2.5095238095238095</v>
      </c>
      <c r="AK4">
        <v>3.195238095238095</v>
      </c>
      <c r="AL4">
        <v>2.426190476190476</v>
      </c>
      <c r="AM4">
        <v>3.4999999999999987</v>
      </c>
      <c r="AN4">
        <v>3.3407407407407415</v>
      </c>
      <c r="AO4">
        <v>3.013888888888888</v>
      </c>
      <c r="AP4">
        <v>3.1500000000000008</v>
      </c>
      <c r="AQ4" s="45" t="s">
        <v>140</v>
      </c>
      <c r="AR4">
        <v>4.4400000000000013</v>
      </c>
      <c r="AU4" t="s">
        <v>45</v>
      </c>
      <c r="AV4">
        <v>1.3291666666666682</v>
      </c>
      <c r="AW4">
        <v>3.4892857142857148</v>
      </c>
      <c r="AX4">
        <v>2.1791666666666663</v>
      </c>
      <c r="AY4">
        <v>2.2888888888888888</v>
      </c>
      <c r="AZ4">
        <v>2.2328124999999996</v>
      </c>
      <c r="BA4">
        <v>2.0861111111111117</v>
      </c>
      <c r="BB4">
        <v>2.6214285714285714</v>
      </c>
      <c r="BC4">
        <v>3.4714285714285715</v>
      </c>
      <c r="BD4">
        <v>2.592857142857143</v>
      </c>
      <c r="BE4">
        <v>2.5095238095238095</v>
      </c>
      <c r="BF4">
        <v>3.195238095238095</v>
      </c>
      <c r="BG4">
        <v>2.426190476190476</v>
      </c>
      <c r="BH4">
        <v>3.4999999999999987</v>
      </c>
      <c r="BI4">
        <v>3.3407407407407415</v>
      </c>
      <c r="BJ4">
        <v>3.013888888888888</v>
      </c>
      <c r="BK4">
        <v>3.1500000000000008</v>
      </c>
      <c r="BL4">
        <v>4.4400000000000013</v>
      </c>
    </row>
    <row r="5" spans="1:64">
      <c r="A5" t="s">
        <v>99</v>
      </c>
      <c r="E5" s="32">
        <f>STDEV(E2:E3)</f>
        <v>7.4207321151622425</v>
      </c>
      <c r="I5" s="32">
        <f>STDEV(I2:I3)</f>
        <v>2.0286893552241962</v>
      </c>
      <c r="M5" s="32">
        <f>STDEV(M2:M3)</f>
        <v>0.21354624791834023</v>
      </c>
      <c r="Q5" s="32">
        <f>STDEV(Q2:Q3)</f>
        <v>4.1641518344076154</v>
      </c>
      <c r="U5" s="19" t="s">
        <v>46</v>
      </c>
      <c r="V5" s="19">
        <v>2.0833333333335702E-2</v>
      </c>
      <c r="W5" s="19">
        <v>0.91785714285714359</v>
      </c>
      <c r="X5" s="19">
        <v>0.60972222222222272</v>
      </c>
      <c r="Y5" s="46">
        <v>2.976785714285715</v>
      </c>
      <c r="Z5" s="46">
        <v>2.4714285714285711</v>
      </c>
      <c r="AA5" s="46">
        <v>10.639285714285714</v>
      </c>
      <c r="AB5" s="46">
        <v>8.7196428571428566</v>
      </c>
      <c r="AC5" s="19">
        <v>5.5555555555556017E-2</v>
      </c>
      <c r="AD5" s="46">
        <v>1.9499999999999997</v>
      </c>
      <c r="AE5" s="19">
        <v>0.15781250000000055</v>
      </c>
      <c r="AF5" s="19">
        <v>0.11630234119699059</v>
      </c>
      <c r="AG5" s="19">
        <v>0.20999676058401931</v>
      </c>
      <c r="AH5" s="19">
        <v>0.35573532161934596</v>
      </c>
      <c r="AI5" s="19">
        <v>0.30664411333808189</v>
      </c>
      <c r="AJ5" s="19">
        <v>0.25981853077530892</v>
      </c>
      <c r="AK5" s="19">
        <v>0.26394229081338566</v>
      </c>
      <c r="AL5" s="19">
        <v>4.1307979935470453E-2</v>
      </c>
      <c r="AM5" s="19">
        <v>0.64611607811178728</v>
      </c>
      <c r="AN5" s="19">
        <v>0.23518518518518566</v>
      </c>
      <c r="AO5" s="19">
        <v>0.27639935770234986</v>
      </c>
      <c r="AP5" s="19">
        <v>0.26943012562182445</v>
      </c>
      <c r="AQ5" s="45" t="s">
        <v>140</v>
      </c>
      <c r="AR5" s="19">
        <v>0.18000000000000105</v>
      </c>
      <c r="AU5" s="19" t="s">
        <v>46</v>
      </c>
      <c r="AV5" s="19">
        <v>2.0833333333335702E-2</v>
      </c>
      <c r="AW5" s="19">
        <v>0.91785714285714359</v>
      </c>
      <c r="AX5" s="19">
        <v>0.60972222222222272</v>
      </c>
      <c r="AY5" s="19">
        <v>5.5555555555556017E-2</v>
      </c>
      <c r="AZ5" s="19">
        <v>0.15781250000000055</v>
      </c>
      <c r="BA5" s="19">
        <v>0.11630234119699059</v>
      </c>
      <c r="BB5" s="19">
        <v>0.20999676058401931</v>
      </c>
      <c r="BC5" s="19">
        <v>0.35573532161934596</v>
      </c>
      <c r="BD5" s="19">
        <v>0.30664411333808189</v>
      </c>
      <c r="BE5" s="19">
        <v>0.25981853077530892</v>
      </c>
      <c r="BF5" s="19">
        <v>0.26394229081338566</v>
      </c>
      <c r="BG5" s="19">
        <v>4.1307979935470453E-2</v>
      </c>
      <c r="BH5" s="19">
        <v>0.64611607811178728</v>
      </c>
      <c r="BI5" s="19">
        <v>0.23518518518518566</v>
      </c>
      <c r="BJ5" s="19">
        <v>0.27639935770234986</v>
      </c>
      <c r="BK5" s="19">
        <v>0.26943012562182445</v>
      </c>
      <c r="BL5" s="19">
        <v>0.18000000000000105</v>
      </c>
    </row>
    <row r="6" spans="1:64">
      <c r="A6" t="s">
        <v>41</v>
      </c>
      <c r="E6" s="31">
        <f>E5/(SQRT(2))</f>
        <v>5.2472500000000135</v>
      </c>
      <c r="I6" s="31">
        <f>I5/(SQRT(2))</f>
        <v>1.4344999999999939</v>
      </c>
      <c r="M6" s="31">
        <f>M5/(SQRT(2))</f>
        <v>0.15100000000000202</v>
      </c>
      <c r="Q6" s="31">
        <f>Q5/(SQRT(2))</f>
        <v>2.9445000000000259</v>
      </c>
      <c r="U6" t="s">
        <v>47</v>
      </c>
      <c r="V6">
        <v>2.066666666666666</v>
      </c>
      <c r="W6">
        <v>4.9888888888888889</v>
      </c>
      <c r="X6">
        <v>2.2777777777777768</v>
      </c>
      <c r="Y6">
        <v>2.2714285714285705</v>
      </c>
      <c r="Z6">
        <v>2.4023809523809532</v>
      </c>
      <c r="AA6">
        <v>2.4976190476190472</v>
      </c>
      <c r="AB6">
        <v>2.6380952380952385</v>
      </c>
      <c r="AC6">
        <v>3.0055555555555555</v>
      </c>
      <c r="AD6" s="46">
        <v>1.2099999999999995</v>
      </c>
      <c r="AE6">
        <v>2.8666666666666671</v>
      </c>
      <c r="AF6">
        <v>2.3833333333333337</v>
      </c>
      <c r="AG6">
        <v>3.2059523809523798</v>
      </c>
      <c r="AH6">
        <v>3.1928571428571431</v>
      </c>
      <c r="AI6">
        <v>2.60952380952381</v>
      </c>
      <c r="AJ6" s="48">
        <v>1.467857142857143</v>
      </c>
      <c r="AK6">
        <v>2.9214285714285708</v>
      </c>
      <c r="AL6">
        <v>2.8761904761904766</v>
      </c>
      <c r="AM6">
        <v>3.1178571428571429</v>
      </c>
      <c r="AN6">
        <v>3.5111111111111111</v>
      </c>
      <c r="AO6">
        <v>2.8124999999999996</v>
      </c>
      <c r="AP6">
        <v>2.979166666666667</v>
      </c>
      <c r="AQ6" s="45" t="s">
        <v>140</v>
      </c>
      <c r="AR6">
        <v>3.8900000000000006</v>
      </c>
      <c r="AU6" t="s">
        <v>47</v>
      </c>
      <c r="AV6">
        <v>2.066666666666666</v>
      </c>
      <c r="AW6">
        <v>4.9888888888888889</v>
      </c>
      <c r="AX6">
        <v>2.2777777777777768</v>
      </c>
      <c r="AY6">
        <v>3.0055555555555555</v>
      </c>
      <c r="AZ6">
        <v>2.8666666666666671</v>
      </c>
      <c r="BA6">
        <v>2.3833333333333337</v>
      </c>
      <c r="BB6">
        <v>3.2059523809523798</v>
      </c>
      <c r="BC6">
        <v>3.1928571428571431</v>
      </c>
      <c r="BD6">
        <v>2.60952380952381</v>
      </c>
      <c r="BE6" s="48">
        <v>1.467857142857143</v>
      </c>
      <c r="BF6">
        <v>2.9214285714285708</v>
      </c>
      <c r="BG6">
        <v>2.8761904761904766</v>
      </c>
      <c r="BH6">
        <v>3.1178571428571429</v>
      </c>
      <c r="BI6">
        <v>3.5111111111111111</v>
      </c>
      <c r="BJ6">
        <v>2.8124999999999996</v>
      </c>
      <c r="BK6">
        <v>2.979166666666667</v>
      </c>
      <c r="BL6">
        <v>3.8900000000000006</v>
      </c>
    </row>
    <row r="7" spans="1:64">
      <c r="U7" s="19" t="s">
        <v>48</v>
      </c>
      <c r="V7" s="19">
        <v>4.4444444444445168E-2</v>
      </c>
      <c r="W7" s="19">
        <v>0.48888888888888937</v>
      </c>
      <c r="X7" s="19">
        <v>0.21481481481481435</v>
      </c>
      <c r="Y7" s="19">
        <v>5.2380952380953305E-2</v>
      </c>
      <c r="Z7" s="19">
        <v>3.571428571428692E-2</v>
      </c>
      <c r="AA7" s="19">
        <v>4.5238095238094633E-2</v>
      </c>
      <c r="AB7" s="19">
        <v>2.8571428571428466E-2</v>
      </c>
      <c r="AC7" s="19">
        <v>9.2592592592588546E-3</v>
      </c>
      <c r="AD7" s="46">
        <v>2.0033333333333325</v>
      </c>
      <c r="AE7" s="19">
        <v>0.15416666666666679</v>
      </c>
      <c r="AF7" s="19">
        <v>8.3333333333333467E-2</v>
      </c>
      <c r="AG7" s="19">
        <v>0.17261904761904723</v>
      </c>
      <c r="AH7" s="19">
        <v>0.33571428571428624</v>
      </c>
      <c r="AI7" s="19">
        <v>0.12380952380952359</v>
      </c>
      <c r="AJ7" s="48">
        <v>1.1464285714285711</v>
      </c>
      <c r="AK7" s="19">
        <v>0.13571428571428523</v>
      </c>
      <c r="AL7" s="19">
        <v>0.2238095238095241</v>
      </c>
      <c r="AM7" s="19">
        <v>6.071428571428527E-2</v>
      </c>
      <c r="AN7" s="19">
        <v>4.4444444444444287E-2</v>
      </c>
      <c r="AO7" s="19">
        <v>8.7500000000000355E-2</v>
      </c>
      <c r="AP7" s="19">
        <v>0.1375000000000004</v>
      </c>
      <c r="AQ7" s="45" t="s">
        <v>140</v>
      </c>
      <c r="AR7" s="19">
        <v>0.28000000000000108</v>
      </c>
      <c r="AU7" s="19" t="s">
        <v>48</v>
      </c>
      <c r="AV7" s="19">
        <v>4.4444444444445168E-2</v>
      </c>
      <c r="AW7" s="19">
        <v>0.48888888888888937</v>
      </c>
      <c r="AX7" s="19">
        <v>0.21481481481481435</v>
      </c>
      <c r="AY7" s="19">
        <v>9.2592592592588546E-3</v>
      </c>
      <c r="AZ7" s="19">
        <v>0.15416666666666679</v>
      </c>
      <c r="BA7" s="19">
        <v>8.3333333333333467E-2</v>
      </c>
      <c r="BB7" s="19">
        <v>0.17261904761904723</v>
      </c>
      <c r="BC7" s="19">
        <v>0.33571428571428624</v>
      </c>
      <c r="BD7" s="19">
        <v>0.12380952380952359</v>
      </c>
      <c r="BE7" s="48">
        <v>1.1464285714285711</v>
      </c>
      <c r="BF7" s="19">
        <v>0.13571428571428523</v>
      </c>
      <c r="BG7" s="19">
        <v>0.2238095238095241</v>
      </c>
      <c r="BH7" s="19">
        <v>6.071428571428527E-2</v>
      </c>
      <c r="BI7" s="19">
        <v>4.4444444444444287E-2</v>
      </c>
      <c r="BJ7" s="19">
        <v>8.7500000000000355E-2</v>
      </c>
      <c r="BK7" s="19">
        <v>0.1375000000000004</v>
      </c>
      <c r="BL7" s="19">
        <v>0.28000000000000108</v>
      </c>
    </row>
    <row r="8" spans="1:64">
      <c r="A8" s="50" t="s">
        <v>52</v>
      </c>
      <c r="B8" s="29" t="s">
        <v>90</v>
      </c>
      <c r="C8" s="29" t="s">
        <v>87</v>
      </c>
      <c r="D8" s="29" t="s">
        <v>142</v>
      </c>
      <c r="E8" s="30" t="s">
        <v>141</v>
      </c>
      <c r="F8" s="29" t="s">
        <v>91</v>
      </c>
      <c r="G8" s="29" t="s">
        <v>86</v>
      </c>
      <c r="H8" s="29" t="s">
        <v>143</v>
      </c>
      <c r="I8" s="30" t="s">
        <v>144</v>
      </c>
      <c r="J8" s="29" t="s">
        <v>93</v>
      </c>
      <c r="K8" s="29" t="s">
        <v>94</v>
      </c>
      <c r="L8" s="29" t="s">
        <v>145</v>
      </c>
      <c r="M8" s="30" t="s">
        <v>146</v>
      </c>
      <c r="N8" s="29" t="s">
        <v>95</v>
      </c>
      <c r="O8" s="29" t="s">
        <v>96</v>
      </c>
      <c r="P8" s="29" t="s">
        <v>148</v>
      </c>
      <c r="Q8" s="30" t="s">
        <v>147</v>
      </c>
      <c r="R8" s="36" t="s">
        <v>104</v>
      </c>
      <c r="U8" t="s">
        <v>49</v>
      </c>
      <c r="V8">
        <v>1.6277777777777784</v>
      </c>
      <c r="W8">
        <v>4.5444444444444416</v>
      </c>
      <c r="X8">
        <v>2.9370370370370358</v>
      </c>
      <c r="Y8">
        <v>2.295238095238096</v>
      </c>
      <c r="Z8">
        <v>3.0857142857142854</v>
      </c>
      <c r="AA8">
        <v>3.519047619047619</v>
      </c>
      <c r="AB8">
        <v>2.6142857142857139</v>
      </c>
      <c r="AC8">
        <v>2.42962962962963</v>
      </c>
      <c r="AD8" s="46">
        <v>-2.9433333333333338</v>
      </c>
      <c r="AE8">
        <v>2.645833333333333</v>
      </c>
      <c r="AF8">
        <v>2.1694444444444452</v>
      </c>
      <c r="AG8">
        <v>3.009523809523809</v>
      </c>
      <c r="AH8">
        <v>2.7619047619047619</v>
      </c>
      <c r="AI8">
        <v>2.2928571428571427</v>
      </c>
      <c r="AJ8">
        <v>2.6833333333333336</v>
      </c>
      <c r="AK8">
        <v>2.4547619047619045</v>
      </c>
      <c r="AL8">
        <v>2.0238095238095237</v>
      </c>
      <c r="AM8">
        <v>2.4785714285714286</v>
      </c>
      <c r="AN8">
        <v>2.8481481481481472</v>
      </c>
      <c r="AO8">
        <v>2.4583333333333339</v>
      </c>
      <c r="AP8">
        <v>2.4111111111111097</v>
      </c>
      <c r="AQ8" s="45" t="s">
        <v>140</v>
      </c>
      <c r="AR8">
        <v>3.816250000000001</v>
      </c>
      <c r="AU8" t="s">
        <v>49</v>
      </c>
      <c r="AV8">
        <v>1.6277777777777784</v>
      </c>
      <c r="AW8">
        <v>4.5444444444444416</v>
      </c>
      <c r="AX8">
        <v>2.9370370370370358</v>
      </c>
      <c r="AY8">
        <v>2.42962962962963</v>
      </c>
      <c r="AZ8">
        <v>2.645833333333333</v>
      </c>
      <c r="BA8">
        <v>2.1694444444444452</v>
      </c>
      <c r="BB8">
        <v>3.009523809523809</v>
      </c>
      <c r="BC8">
        <v>2.7619047619047619</v>
      </c>
      <c r="BD8">
        <v>2.2928571428571427</v>
      </c>
      <c r="BE8">
        <v>2.6833333333333336</v>
      </c>
      <c r="BF8">
        <v>2.4547619047619045</v>
      </c>
      <c r="BG8">
        <v>2.0238095238095237</v>
      </c>
      <c r="BH8">
        <v>2.4785714285714286</v>
      </c>
      <c r="BI8">
        <v>2.8481481481481472</v>
      </c>
      <c r="BJ8">
        <v>2.4583333333333339</v>
      </c>
      <c r="BK8">
        <v>2.4111111111111097</v>
      </c>
      <c r="BL8">
        <v>3.816250000000001</v>
      </c>
    </row>
    <row r="9" spans="1:64">
      <c r="A9" s="31">
        <v>1</v>
      </c>
      <c r="B9" s="31">
        <v>312.89999999999998</v>
      </c>
      <c r="C9" s="31">
        <v>250.7</v>
      </c>
      <c r="D9" s="31">
        <f>(B9-C9)*4.53</f>
        <v>281.76599999999996</v>
      </c>
      <c r="E9" s="32">
        <f>D9+E2</f>
        <v>297.13024999999999</v>
      </c>
      <c r="F9" s="31">
        <v>392.3</v>
      </c>
      <c r="G9" s="31">
        <v>268.89999999999998</v>
      </c>
      <c r="H9" s="31">
        <f>(F9-G9)*4.53</f>
        <v>559.00200000000018</v>
      </c>
      <c r="I9" s="32">
        <f>H9+I2</f>
        <v>564.92875000000015</v>
      </c>
      <c r="J9" s="31">
        <v>390.4</v>
      </c>
      <c r="K9" s="31">
        <v>349.9</v>
      </c>
      <c r="L9" s="31">
        <f>(J9-K9)*4.53</f>
        <v>183.465</v>
      </c>
      <c r="M9" s="32">
        <f>L9+M2</f>
        <v>190.63750000000002</v>
      </c>
      <c r="N9" s="31">
        <v>371.7</v>
      </c>
      <c r="O9" s="31">
        <v>324.2</v>
      </c>
      <c r="P9" s="31">
        <f>(N9-O9)*4.53</f>
        <v>215.17500000000001</v>
      </c>
      <c r="Q9" s="32">
        <f>P9+Q2</f>
        <v>284.48400000000004</v>
      </c>
      <c r="R9" t="s">
        <v>60</v>
      </c>
      <c r="U9" s="19" t="s">
        <v>50</v>
      </c>
      <c r="V9" s="19">
        <v>7.2222222222222854E-2</v>
      </c>
      <c r="W9" s="19">
        <v>0.73333333333333728</v>
      </c>
      <c r="X9" s="19">
        <v>0.56296296296296211</v>
      </c>
      <c r="Y9" s="19">
        <v>0.56666666666666787</v>
      </c>
      <c r="Z9" s="19">
        <v>0.94761904761904736</v>
      </c>
      <c r="AA9" s="19">
        <v>1.0523809523809526</v>
      </c>
      <c r="AB9" s="19">
        <v>0.41904761904761895</v>
      </c>
      <c r="AC9" s="19">
        <v>0.22962962962962985</v>
      </c>
      <c r="AD9" s="46">
        <v>1.5633333333333348</v>
      </c>
      <c r="AE9" s="19">
        <v>0.21666666666666612</v>
      </c>
      <c r="AF9" s="19">
        <v>0.15277777777777787</v>
      </c>
      <c r="AG9" s="19">
        <v>0.29523809523809463</v>
      </c>
      <c r="AH9" s="19">
        <v>0.22380952380952457</v>
      </c>
      <c r="AI9" s="19">
        <v>4.047619047619011E-2</v>
      </c>
      <c r="AJ9" s="19">
        <v>0.62142857142857111</v>
      </c>
      <c r="AK9" s="19">
        <v>4.5238095238095515E-2</v>
      </c>
      <c r="AL9" s="19">
        <v>1.9047619047619202E-2</v>
      </c>
      <c r="AM9" s="19">
        <v>0.19285714285714303</v>
      </c>
      <c r="AN9" s="19">
        <v>0.56296296296296378</v>
      </c>
      <c r="AO9" s="19">
        <v>0.10833333333333361</v>
      </c>
      <c r="AP9" s="19">
        <v>0.12222222222222155</v>
      </c>
      <c r="AQ9" s="45" t="s">
        <v>140</v>
      </c>
      <c r="AR9" s="15">
        <v>0.49625000000000002</v>
      </c>
      <c r="AU9" s="19" t="s">
        <v>50</v>
      </c>
      <c r="AV9" s="19">
        <v>7.2222222222222854E-2</v>
      </c>
      <c r="AW9" s="19">
        <v>0.73333333333333728</v>
      </c>
      <c r="AX9" s="19">
        <v>0.56296296296296211</v>
      </c>
      <c r="AY9" s="19">
        <v>0.22962962962962985</v>
      </c>
      <c r="AZ9" s="19">
        <v>0.21666666666666612</v>
      </c>
      <c r="BA9" s="19">
        <v>0.15277777777777787</v>
      </c>
      <c r="BB9" s="19">
        <v>0.29523809523809463</v>
      </c>
      <c r="BC9" s="19">
        <v>0.22380952380952457</v>
      </c>
      <c r="BD9" s="19">
        <v>4.047619047619011E-2</v>
      </c>
      <c r="BE9" s="19">
        <v>0.62142857142857111</v>
      </c>
      <c r="BF9" s="19">
        <v>4.5238095238095515E-2</v>
      </c>
      <c r="BG9" s="19">
        <v>1.9047619047619202E-2</v>
      </c>
      <c r="BH9" s="19">
        <v>0.19285714285714303</v>
      </c>
      <c r="BI9" s="19">
        <v>0.56296296296296378</v>
      </c>
      <c r="BJ9" s="19">
        <v>0.10833333333333361</v>
      </c>
      <c r="BK9" s="19">
        <v>0.12222222222222155</v>
      </c>
      <c r="BL9" s="49">
        <v>0.49625000000000002</v>
      </c>
    </row>
    <row r="10" spans="1:64">
      <c r="A10" s="31">
        <v>2</v>
      </c>
      <c r="B10" s="31">
        <v>321.3</v>
      </c>
      <c r="C10" s="31">
        <v>296.10000000000002</v>
      </c>
      <c r="D10" s="31">
        <f>(B10-C10)*4.53</f>
        <v>114.15599999999995</v>
      </c>
      <c r="E10" s="32">
        <f>D10+E3</f>
        <v>119.02574999999995</v>
      </c>
      <c r="F10" s="31">
        <v>379.9</v>
      </c>
      <c r="G10" s="31">
        <v>343.9</v>
      </c>
      <c r="H10" s="31">
        <f>(F10-G10)*4.53</f>
        <v>163.08000000000001</v>
      </c>
      <c r="I10" s="32">
        <f>H10+I3</f>
        <v>166.13775000000001</v>
      </c>
      <c r="J10" s="31">
        <v>358.2</v>
      </c>
      <c r="K10" s="31">
        <v>308.89999999999998</v>
      </c>
      <c r="L10" s="31">
        <f>(J10-K10)*4.53</f>
        <v>223.32900000000006</v>
      </c>
      <c r="M10" s="32">
        <f>L10+M3</f>
        <v>230.19950000000006</v>
      </c>
      <c r="N10" s="31">
        <v>349.4</v>
      </c>
      <c r="O10" s="31">
        <v>315.10000000000002</v>
      </c>
      <c r="P10" s="31">
        <f>(N10-O10)*4.53</f>
        <v>155.37899999999979</v>
      </c>
      <c r="Q10" s="32">
        <f>P10+Q3</f>
        <v>218.79899999999981</v>
      </c>
    </row>
    <row r="11" spans="1:64">
      <c r="A11" t="s">
        <v>98</v>
      </c>
      <c r="E11" s="32">
        <f>AVERAGE(E9:E10)</f>
        <v>208.07799999999997</v>
      </c>
      <c r="I11" s="32">
        <f>AVERAGE(I9:I10)</f>
        <v>365.53325000000007</v>
      </c>
      <c r="M11" s="32">
        <f>AVERAGE(M9:M10)</f>
        <v>210.41850000000005</v>
      </c>
      <c r="Q11" s="32">
        <f>AVERAGE(Q9:Q10)</f>
        <v>251.64149999999992</v>
      </c>
    </row>
    <row r="12" spans="1:64">
      <c r="A12" t="s">
        <v>99</v>
      </c>
      <c r="E12" s="32">
        <f>STDEV(E9:E10)</f>
        <v>125.9388997098395</v>
      </c>
      <c r="I12" s="32">
        <f>STDEV(I9:I10)</f>
        <v>281.98782037616456</v>
      </c>
      <c r="M12" s="32">
        <f>STDEV(M9:M10)</f>
        <v>27.974558477302221</v>
      </c>
      <c r="Q12" s="32">
        <f>STDEV(Q9:Q10)</f>
        <v>46.446308922238508</v>
      </c>
    </row>
    <row r="13" spans="1:64">
      <c r="A13" t="s">
        <v>41</v>
      </c>
      <c r="E13" s="31">
        <f>E12/(SQRT(2))</f>
        <v>89.052250000000029</v>
      </c>
      <c r="I13" s="31">
        <f>I12/(SQRT(2))</f>
        <v>199.39550000000006</v>
      </c>
      <c r="M13" s="31">
        <f>M12/(SQRT(2))</f>
        <v>19.781000000000017</v>
      </c>
      <c r="Q13" s="31">
        <f>Q12/(SQRT(2))</f>
        <v>32.842500000000094</v>
      </c>
    </row>
    <row r="15" spans="1:64">
      <c r="A15" s="50" t="s">
        <v>55</v>
      </c>
      <c r="B15" s="29" t="s">
        <v>90</v>
      </c>
      <c r="C15" s="29" t="s">
        <v>87</v>
      </c>
      <c r="D15" s="29" t="s">
        <v>142</v>
      </c>
      <c r="E15" s="30" t="s">
        <v>141</v>
      </c>
      <c r="F15" s="29" t="s">
        <v>91</v>
      </c>
      <c r="G15" s="29" t="s">
        <v>86</v>
      </c>
      <c r="H15" s="29" t="s">
        <v>143</v>
      </c>
      <c r="I15" s="30" t="s">
        <v>144</v>
      </c>
      <c r="J15" s="29" t="s">
        <v>93</v>
      </c>
      <c r="K15" s="29" t="s">
        <v>94</v>
      </c>
      <c r="L15" s="29" t="s">
        <v>145</v>
      </c>
      <c r="M15" s="30" t="s">
        <v>146</v>
      </c>
      <c r="N15" s="29" t="s">
        <v>95</v>
      </c>
      <c r="O15" s="29" t="s">
        <v>96</v>
      </c>
      <c r="P15" s="29" t="s">
        <v>148</v>
      </c>
      <c r="Q15" s="30" t="s">
        <v>147</v>
      </c>
      <c r="R15" s="36" t="s">
        <v>105</v>
      </c>
    </row>
    <row r="16" spans="1:64">
      <c r="A16" s="31">
        <v>1</v>
      </c>
      <c r="B16" s="31">
        <v>562</v>
      </c>
      <c r="C16" s="51">
        <v>458.5</v>
      </c>
      <c r="D16" s="31">
        <f>(B16-C16)*4.53</f>
        <v>468.85500000000002</v>
      </c>
      <c r="E16" s="32">
        <f>D16+E9</f>
        <v>765.98524999999995</v>
      </c>
      <c r="F16" s="31">
        <v>504.5</v>
      </c>
      <c r="G16" s="31">
        <v>448</v>
      </c>
      <c r="H16" s="31">
        <f>(F16-G16)*4.53</f>
        <v>255.94500000000002</v>
      </c>
      <c r="J16" s="31">
        <v>515.29999999999995</v>
      </c>
      <c r="K16" s="31">
        <v>448</v>
      </c>
      <c r="L16" s="31">
        <f>(J16-K16)*4.53</f>
        <v>304.8689999999998</v>
      </c>
      <c r="N16" s="31">
        <v>539.79999999999995</v>
      </c>
      <c r="O16" s="31">
        <v>445.3</v>
      </c>
      <c r="P16" s="31">
        <f>(N16-O16)*4.53</f>
        <v>428.08499999999975</v>
      </c>
      <c r="R16" t="s">
        <v>58</v>
      </c>
    </row>
    <row r="17" spans="1:24">
      <c r="A17" s="31">
        <v>2</v>
      </c>
      <c r="B17" s="31">
        <v>520.6</v>
      </c>
      <c r="C17" s="51">
        <v>475.4</v>
      </c>
      <c r="D17" s="31">
        <f>(B17-C17)*4.53</f>
        <v>204.75600000000023</v>
      </c>
      <c r="E17" s="32">
        <f>D17+E10</f>
        <v>323.78175000000016</v>
      </c>
      <c r="F17" s="31">
        <v>556.9</v>
      </c>
      <c r="G17" s="31">
        <v>506.7</v>
      </c>
      <c r="H17" s="31">
        <f>(F17-G17)*4.53</f>
        <v>227.40599999999995</v>
      </c>
      <c r="J17" s="31">
        <v>562.4</v>
      </c>
      <c r="K17" s="31">
        <v>506.7</v>
      </c>
      <c r="L17" s="31">
        <f>(J17-K17)*4.53</f>
        <v>252.32099999999997</v>
      </c>
      <c r="N17" s="31">
        <v>522.79999999999995</v>
      </c>
      <c r="O17" s="31">
        <v>458.7</v>
      </c>
      <c r="P17" s="31">
        <f>(N17-O17)*4.53</f>
        <v>290.37299999999988</v>
      </c>
    </row>
    <row r="18" spans="1:24">
      <c r="A18" t="s">
        <v>98</v>
      </c>
      <c r="X18" t="s">
        <v>149</v>
      </c>
    </row>
    <row r="19" spans="1:24">
      <c r="A19" t="s">
        <v>99</v>
      </c>
    </row>
    <row r="20" spans="1:24">
      <c r="A20" t="s">
        <v>41</v>
      </c>
    </row>
    <row r="22" spans="1:24">
      <c r="A22" s="50" t="s">
        <v>57</v>
      </c>
      <c r="B22" s="29" t="s">
        <v>90</v>
      </c>
      <c r="C22" s="29" t="s">
        <v>87</v>
      </c>
      <c r="D22" s="29" t="s">
        <v>142</v>
      </c>
      <c r="E22" s="30" t="s">
        <v>141</v>
      </c>
      <c r="F22" s="29" t="s">
        <v>91</v>
      </c>
      <c r="G22" s="29" t="s">
        <v>86</v>
      </c>
      <c r="H22" s="29" t="s">
        <v>143</v>
      </c>
      <c r="I22" s="30" t="s">
        <v>144</v>
      </c>
      <c r="J22" s="29" t="s">
        <v>93</v>
      </c>
      <c r="K22" s="29" t="s">
        <v>94</v>
      </c>
      <c r="L22" s="29" t="s">
        <v>145</v>
      </c>
      <c r="M22" s="30" t="s">
        <v>146</v>
      </c>
      <c r="N22" s="29" t="s">
        <v>95</v>
      </c>
      <c r="O22" s="29" t="s">
        <v>96</v>
      </c>
      <c r="P22" s="29" t="s">
        <v>148</v>
      </c>
      <c r="Q22" s="30" t="s">
        <v>147</v>
      </c>
      <c r="R22" s="36" t="s">
        <v>106</v>
      </c>
    </row>
    <row r="23" spans="1:24">
      <c r="A23" s="31">
        <v>1</v>
      </c>
      <c r="B23" s="51">
        <v>458.5</v>
      </c>
      <c r="C23" s="51">
        <v>234.5</v>
      </c>
      <c r="D23" s="31">
        <f>((B23-C23)/4)/7</f>
        <v>8</v>
      </c>
      <c r="F23" s="31">
        <v>448</v>
      </c>
      <c r="G23" s="31">
        <v>187.5</v>
      </c>
      <c r="H23" s="31">
        <f>((F23-G23)/4)/7</f>
        <v>9.3035714285714288</v>
      </c>
      <c r="J23" s="31">
        <v>448</v>
      </c>
      <c r="K23" s="31">
        <v>399.2</v>
      </c>
      <c r="L23" s="31">
        <f>((J23-K23)/3)/7</f>
        <v>2.323809523809524</v>
      </c>
      <c r="N23" s="31">
        <v>445.3</v>
      </c>
      <c r="O23" s="31">
        <v>385.2</v>
      </c>
      <c r="P23" s="31">
        <f>((N23-O23)/3)/7</f>
        <v>2.8619047619047633</v>
      </c>
      <c r="R23" t="s">
        <v>60</v>
      </c>
    </row>
    <row r="24" spans="1:24">
      <c r="A24" s="31">
        <v>2</v>
      </c>
      <c r="B24" s="51">
        <v>475.4</v>
      </c>
      <c r="C24" s="51">
        <v>450.5</v>
      </c>
      <c r="D24" s="31">
        <f>((B24-C24)/2)/7</f>
        <v>1.7785714285714269</v>
      </c>
      <c r="F24" s="31">
        <v>506.7</v>
      </c>
      <c r="G24" s="31">
        <v>459.8</v>
      </c>
      <c r="H24" s="31">
        <f>((F24-G24)/2)/7</f>
        <v>3.3499999999999983</v>
      </c>
      <c r="J24" s="31">
        <v>506.7</v>
      </c>
      <c r="K24" s="31">
        <v>460.1</v>
      </c>
      <c r="L24" s="31">
        <f>((J24-K24)/3)/7</f>
        <v>2.2190476190476174</v>
      </c>
      <c r="N24" s="31">
        <v>458.7</v>
      </c>
      <c r="O24" s="31">
        <v>422.4</v>
      </c>
      <c r="P24" s="31">
        <f>((N24-O24)/3)/7</f>
        <v>1.7285714285714291</v>
      </c>
      <c r="R24" s="40" t="s">
        <v>107</v>
      </c>
    </row>
    <row r="25" spans="1:24">
      <c r="A25" t="s">
        <v>98</v>
      </c>
      <c r="D25" s="31">
        <f>AVERAGE(D23:D24)</f>
        <v>4.8892857142857133</v>
      </c>
      <c r="H25" s="31">
        <f>AVERAGE(H23:H24)</f>
        <v>6.3267857142857133</v>
      </c>
      <c r="L25" s="31">
        <f>AVERAGE(L23:L24)</f>
        <v>2.2714285714285705</v>
      </c>
      <c r="P25" s="31">
        <f>AVERAGE(P23:P24)</f>
        <v>2.295238095238096</v>
      </c>
      <c r="R25" t="s">
        <v>108</v>
      </c>
    </row>
    <row r="26" spans="1:24">
      <c r="A26" t="s">
        <v>99</v>
      </c>
      <c r="D26" s="31">
        <f>STDEV(D23:D24)</f>
        <v>4.3992143315248793</v>
      </c>
      <c r="H26" s="31">
        <f>STDEV(H23:H24)</f>
        <v>4.2098107294213394</v>
      </c>
      <c r="L26" s="31">
        <f>STDEV(L23:L24)</f>
        <v>7.4077853267163429E-2</v>
      </c>
      <c r="P26" s="31">
        <f>STDEV(P23:P24)</f>
        <v>0.80138768534475557</v>
      </c>
    </row>
    <row r="27" spans="1:24">
      <c r="A27" t="s">
        <v>41</v>
      </c>
      <c r="D27" s="31">
        <f>D26/(SQRT(2))</f>
        <v>3.1107142857142867</v>
      </c>
      <c r="H27" s="31">
        <f>H26/(SQRT(2))</f>
        <v>2.976785714285715</v>
      </c>
      <c r="L27" s="31">
        <f>L26/(SQRT(2))</f>
        <v>5.2380952380953305E-2</v>
      </c>
      <c r="P27" s="31">
        <f>P26/(SQRT(2))</f>
        <v>0.56666666666666787</v>
      </c>
    </row>
    <row r="28" spans="1:24">
      <c r="A28" s="25"/>
      <c r="B28" s="52"/>
      <c r="C28" s="52"/>
      <c r="D28" s="52"/>
      <c r="E28" s="53"/>
    </row>
    <row r="29" spans="1:24">
      <c r="A29" s="50" t="s">
        <v>59</v>
      </c>
      <c r="B29" s="29" t="s">
        <v>90</v>
      </c>
      <c r="C29" s="29" t="s">
        <v>87</v>
      </c>
      <c r="D29" s="29" t="s">
        <v>142</v>
      </c>
      <c r="E29" s="30" t="s">
        <v>141</v>
      </c>
      <c r="F29" s="29" t="s">
        <v>91</v>
      </c>
      <c r="G29" s="29" t="s">
        <v>86</v>
      </c>
      <c r="H29" s="29" t="s">
        <v>143</v>
      </c>
      <c r="I29" s="30" t="s">
        <v>144</v>
      </c>
      <c r="J29" s="29" t="s">
        <v>93</v>
      </c>
      <c r="K29" s="29" t="s">
        <v>94</v>
      </c>
      <c r="L29" s="29" t="s">
        <v>145</v>
      </c>
      <c r="M29" s="30" t="s">
        <v>146</v>
      </c>
      <c r="N29" s="29" t="s">
        <v>95</v>
      </c>
      <c r="O29" s="29" t="s">
        <v>96</v>
      </c>
      <c r="P29" s="29" t="s">
        <v>148</v>
      </c>
      <c r="Q29" s="30" t="s">
        <v>147</v>
      </c>
      <c r="R29" s="36" t="s">
        <v>109</v>
      </c>
    </row>
    <row r="30" spans="1:24">
      <c r="A30" s="31">
        <v>1</v>
      </c>
      <c r="B30" s="51">
        <v>484</v>
      </c>
      <c r="C30" s="31">
        <v>407.9</v>
      </c>
      <c r="D30" s="31">
        <f>((B30-C30)/4)/7</f>
        <v>2.7178571428571439</v>
      </c>
      <c r="F30" s="31">
        <v>448.7</v>
      </c>
      <c r="G30" s="31">
        <v>242.9</v>
      </c>
      <c r="H30" s="31">
        <f>((F30-G30)/4)/7</f>
        <v>7.35</v>
      </c>
      <c r="J30" s="31">
        <v>399.2</v>
      </c>
      <c r="K30" s="31">
        <v>349.5</v>
      </c>
      <c r="L30" s="31">
        <f>((J30-K30)/3)/7</f>
        <v>2.3666666666666663</v>
      </c>
      <c r="N30" s="31">
        <v>385.2</v>
      </c>
      <c r="O30" s="51">
        <v>300.5</v>
      </c>
      <c r="P30" s="31">
        <f>((N30-O30)/3)/7</f>
        <v>4.0333333333333332</v>
      </c>
      <c r="R30" t="s">
        <v>60</v>
      </c>
    </row>
    <row r="31" spans="1:24">
      <c r="A31" s="31">
        <v>2</v>
      </c>
      <c r="B31" s="51">
        <v>450.5</v>
      </c>
      <c r="C31" s="31">
        <v>418.9</v>
      </c>
      <c r="D31" s="31">
        <f>((B31-C31)/2)/7</f>
        <v>2.2571428571428589</v>
      </c>
      <c r="F31" s="31">
        <v>459.8</v>
      </c>
      <c r="G31" s="31">
        <v>426.1</v>
      </c>
      <c r="H31" s="31">
        <f>((F31-G31)/2)/7</f>
        <v>2.4071428571428561</v>
      </c>
      <c r="J31" s="31">
        <v>460.1</v>
      </c>
      <c r="K31" s="31">
        <v>408.9</v>
      </c>
      <c r="L31" s="31">
        <f>((J31-K31)/3)/7</f>
        <v>2.4380952380952401</v>
      </c>
      <c r="N31" s="31">
        <v>422.4</v>
      </c>
      <c r="O31" s="51">
        <v>377.5</v>
      </c>
      <c r="P31" s="31">
        <f>((N31-O31)/3)/7</f>
        <v>2.1380952380952372</v>
      </c>
      <c r="R31" s="40" t="s">
        <v>110</v>
      </c>
    </row>
    <row r="32" spans="1:24">
      <c r="A32" t="s">
        <v>98</v>
      </c>
      <c r="D32" s="31">
        <f>AVERAGE(D30:D31)</f>
        <v>2.4875000000000016</v>
      </c>
      <c r="H32" s="31">
        <f>AVERAGE(H30:H31)</f>
        <v>4.8785714285714281</v>
      </c>
      <c r="L32" s="31">
        <f>AVERAGE(L30:L31)</f>
        <v>2.4023809523809532</v>
      </c>
      <c r="P32" s="31">
        <f>AVERAGE(P30:P31)</f>
        <v>3.0857142857142854</v>
      </c>
      <c r="R32" t="s">
        <v>108</v>
      </c>
    </row>
    <row r="33" spans="1:18">
      <c r="A33" t="s">
        <v>99</v>
      </c>
      <c r="D33" s="31">
        <f>STDEV(D30:D31)</f>
        <v>0.32577419561808746</v>
      </c>
      <c r="H33" s="31">
        <f>STDEV(H30:H31)</f>
        <v>3.4951278041506488</v>
      </c>
      <c r="L33" s="31">
        <f>STDEV(L30:L31)</f>
        <v>5.0507627227612241E-2</v>
      </c>
      <c r="P33" s="31">
        <f>STDEV(P30:P31)</f>
        <v>1.3401357091059327</v>
      </c>
    </row>
    <row r="34" spans="1:18">
      <c r="A34" t="s">
        <v>41</v>
      </c>
      <c r="D34" s="31">
        <f>D33/(SQRT(2))</f>
        <v>0.23035714285714248</v>
      </c>
      <c r="H34" s="31">
        <f>H33/(SQRT(2))</f>
        <v>2.4714285714285711</v>
      </c>
      <c r="L34" s="31">
        <f>L33/(SQRT(2))</f>
        <v>3.571428571428692E-2</v>
      </c>
      <c r="P34" s="31">
        <f>P33/(SQRT(2))</f>
        <v>0.94761904761904736</v>
      </c>
    </row>
    <row r="35" spans="1:18">
      <c r="A35" s="25"/>
      <c r="B35" s="52"/>
      <c r="C35" s="52"/>
      <c r="D35" s="52"/>
      <c r="E35" s="53"/>
    </row>
    <row r="36" spans="1:18">
      <c r="A36" s="50" t="s">
        <v>61</v>
      </c>
      <c r="B36" s="29" t="s">
        <v>90</v>
      </c>
      <c r="C36" s="29" t="s">
        <v>87</v>
      </c>
      <c r="D36" s="29" t="s">
        <v>142</v>
      </c>
      <c r="E36" s="30" t="s">
        <v>141</v>
      </c>
      <c r="F36" s="29" t="s">
        <v>91</v>
      </c>
      <c r="G36" s="29" t="s">
        <v>86</v>
      </c>
      <c r="H36" s="29" t="s">
        <v>143</v>
      </c>
      <c r="I36" s="30" t="s">
        <v>144</v>
      </c>
      <c r="J36" s="29" t="s">
        <v>93</v>
      </c>
      <c r="K36" s="29" t="s">
        <v>94</v>
      </c>
      <c r="L36" s="29" t="s">
        <v>145</v>
      </c>
      <c r="M36" s="30" t="s">
        <v>146</v>
      </c>
      <c r="N36" s="29" t="s">
        <v>95</v>
      </c>
      <c r="O36" s="29" t="s">
        <v>96</v>
      </c>
      <c r="P36" s="29" t="s">
        <v>148</v>
      </c>
      <c r="Q36" s="30" t="s">
        <v>147</v>
      </c>
      <c r="R36" s="36" t="s">
        <v>111</v>
      </c>
    </row>
    <row r="37" spans="1:18">
      <c r="A37" s="31">
        <v>1</v>
      </c>
      <c r="B37" s="31">
        <v>407.9</v>
      </c>
      <c r="C37" s="31">
        <v>335.9</v>
      </c>
      <c r="D37" s="31">
        <f>((B37-C37)/4)/7</f>
        <v>2.5714285714285716</v>
      </c>
      <c r="F37" s="31">
        <v>242.9</v>
      </c>
      <c r="G37" s="31">
        <v>371.7</v>
      </c>
      <c r="H37" s="31">
        <f>((F37-G37)/4)/7</f>
        <v>-4.5999999999999996</v>
      </c>
      <c r="J37" s="31">
        <v>349.5</v>
      </c>
      <c r="K37" s="31">
        <v>296.10000000000002</v>
      </c>
      <c r="L37" s="31">
        <f>((J37-K37)/3)/7</f>
        <v>2.5428571428571418</v>
      </c>
      <c r="N37" s="51">
        <v>300.5</v>
      </c>
      <c r="O37" s="51">
        <v>248.7</v>
      </c>
      <c r="P37" s="31">
        <f>((N37-O37)/3)/7</f>
        <v>2.4666666666666672</v>
      </c>
      <c r="R37" t="s">
        <v>60</v>
      </c>
    </row>
    <row r="38" spans="1:18">
      <c r="A38" s="31">
        <v>2</v>
      </c>
      <c r="B38" s="31">
        <v>418.9</v>
      </c>
      <c r="C38" s="31">
        <v>387.1</v>
      </c>
      <c r="D38" s="31">
        <f>((B38-C38)/2)/7</f>
        <v>2.2714285714285682</v>
      </c>
      <c r="F38" s="31">
        <v>426.1</v>
      </c>
      <c r="G38" s="31">
        <v>192.6</v>
      </c>
      <c r="H38" s="31">
        <f>((F38-G38)/2)/7</f>
        <v>16.678571428571431</v>
      </c>
      <c r="J38" s="31">
        <v>408.9</v>
      </c>
      <c r="K38" s="31">
        <v>357.4</v>
      </c>
      <c r="L38" s="31">
        <f>((J38-K38)/3)/7</f>
        <v>2.4523809523809526</v>
      </c>
      <c r="N38" s="51">
        <v>377.5</v>
      </c>
      <c r="O38" s="51">
        <v>281.5</v>
      </c>
      <c r="P38" s="31">
        <f>((N38-O38)/3)/7</f>
        <v>4.5714285714285712</v>
      </c>
      <c r="R38" s="40" t="s">
        <v>110</v>
      </c>
    </row>
    <row r="39" spans="1:18">
      <c r="A39" t="s">
        <v>98</v>
      </c>
      <c r="D39" s="31">
        <f>AVERAGE(D37:D38)</f>
        <v>2.4214285714285699</v>
      </c>
      <c r="H39" s="31">
        <f>AVERAGE(H37:H38)</f>
        <v>6.0392857142857155</v>
      </c>
      <c r="L39" s="31">
        <f>AVERAGE(L37:L38)</f>
        <v>2.4976190476190472</v>
      </c>
      <c r="P39" s="31">
        <f>AVERAGE(P37:P38)</f>
        <v>3.519047619047619</v>
      </c>
      <c r="R39" t="s">
        <v>108</v>
      </c>
    </row>
    <row r="40" spans="1:18">
      <c r="A40" t="s">
        <v>99</v>
      </c>
      <c r="D40" s="31">
        <f>STDEV(D37:D38)</f>
        <v>0.21213203435596664</v>
      </c>
      <c r="H40" s="31">
        <f>STDEV(H37:H38)</f>
        <v>15.04622215110518</v>
      </c>
      <c r="L40" s="31">
        <f>STDEV(L37:L38)</f>
        <v>6.3976327821639159E-2</v>
      </c>
      <c r="P40" s="31">
        <f>STDEV(P37:P38)</f>
        <v>1.4882914156402576</v>
      </c>
      <c r="R40" t="s">
        <v>112</v>
      </c>
    </row>
    <row r="41" spans="1:18">
      <c r="A41" t="s">
        <v>41</v>
      </c>
      <c r="D41" s="31">
        <f>D40/(SQRT(2))</f>
        <v>0.15000000000000169</v>
      </c>
      <c r="H41" s="31">
        <f>H40/(SQRT(2))</f>
        <v>10.639285714285714</v>
      </c>
      <c r="L41" s="31">
        <f>L40/(SQRT(2))</f>
        <v>4.5238095238094633E-2</v>
      </c>
      <c r="P41" s="31">
        <f>P40/(SQRT(2))</f>
        <v>1.0523809523809526</v>
      </c>
    </row>
    <row r="43" spans="1:18">
      <c r="A43" s="50" t="s">
        <v>62</v>
      </c>
      <c r="B43" s="29" t="s">
        <v>90</v>
      </c>
      <c r="C43" s="29" t="s">
        <v>87</v>
      </c>
      <c r="D43" s="29" t="s">
        <v>142</v>
      </c>
      <c r="E43" s="30" t="s">
        <v>141</v>
      </c>
      <c r="F43" s="29" t="s">
        <v>91</v>
      </c>
      <c r="G43" s="29" t="s">
        <v>86</v>
      </c>
      <c r="H43" s="29" t="s">
        <v>143</v>
      </c>
      <c r="I43" s="30" t="s">
        <v>144</v>
      </c>
      <c r="J43" s="29" t="s">
        <v>93</v>
      </c>
      <c r="K43" s="29" t="s">
        <v>94</v>
      </c>
      <c r="L43" s="29" t="s">
        <v>145</v>
      </c>
      <c r="M43" s="30" t="s">
        <v>146</v>
      </c>
      <c r="N43" s="29" t="s">
        <v>95</v>
      </c>
      <c r="O43" s="29" t="s">
        <v>96</v>
      </c>
      <c r="P43" s="29" t="s">
        <v>148</v>
      </c>
      <c r="Q43" s="30" t="s">
        <v>147</v>
      </c>
      <c r="R43" s="36" t="s">
        <v>113</v>
      </c>
    </row>
    <row r="44" spans="1:18">
      <c r="A44" s="31">
        <v>1</v>
      </c>
      <c r="B44" s="31">
        <v>335.9</v>
      </c>
      <c r="C44" s="31">
        <v>270</v>
      </c>
      <c r="D44" s="31">
        <f>((B44-C44)/4)/7</f>
        <v>2.3535714285714278</v>
      </c>
      <c r="F44" s="31">
        <v>371.7</v>
      </c>
      <c r="G44" s="31">
        <v>227.6</v>
      </c>
      <c r="H44" s="31">
        <f>((F44-G44)/4)/7</f>
        <v>5.1464285714285714</v>
      </c>
      <c r="J44" s="31">
        <v>296.10000000000002</v>
      </c>
      <c r="K44" s="31">
        <v>241.3</v>
      </c>
      <c r="L44" s="31">
        <f>((J44-K44)/3)/7</f>
        <v>2.60952380952381</v>
      </c>
      <c r="N44" s="51">
        <v>248.7</v>
      </c>
      <c r="O44" s="51">
        <v>202.6</v>
      </c>
      <c r="P44" s="31">
        <f>((N44-O44)/3)/7</f>
        <v>2.195238095238095</v>
      </c>
      <c r="R44" t="s">
        <v>60</v>
      </c>
    </row>
    <row r="45" spans="1:18">
      <c r="A45" s="31">
        <v>2</v>
      </c>
      <c r="B45" s="31">
        <v>387.1</v>
      </c>
      <c r="C45" s="31">
        <v>352</v>
      </c>
      <c r="D45" s="31">
        <f>((B45-C45)/2)/7</f>
        <v>2.5071428571428589</v>
      </c>
      <c r="F45" s="31">
        <v>192.6</v>
      </c>
      <c r="G45" s="31">
        <v>364.7</v>
      </c>
      <c r="H45" s="31">
        <f>((F45-G45)/2)/7</f>
        <v>-12.292857142857143</v>
      </c>
      <c r="J45" s="31">
        <v>357.4</v>
      </c>
      <c r="K45" s="31">
        <v>301.39999999999998</v>
      </c>
      <c r="L45" s="31">
        <f>((J45-K45)/3)/7</f>
        <v>2.666666666666667</v>
      </c>
      <c r="N45" s="51">
        <v>281.5</v>
      </c>
      <c r="O45" s="51">
        <v>217.8</v>
      </c>
      <c r="P45" s="31">
        <f>((N45-O45)/3)/7</f>
        <v>3.0333333333333328</v>
      </c>
      <c r="R45" s="40" t="s">
        <v>114</v>
      </c>
    </row>
    <row r="46" spans="1:18">
      <c r="A46" t="s">
        <v>98</v>
      </c>
      <c r="D46" s="31">
        <f>AVERAGE(D44:D45)</f>
        <v>2.4303571428571433</v>
      </c>
      <c r="H46" s="31">
        <f>AVERAGE(H44:H45)</f>
        <v>-3.5732142857142857</v>
      </c>
      <c r="L46" s="31">
        <f>AVERAGE(L44:L45)</f>
        <v>2.6380952380952385</v>
      </c>
      <c r="P46" s="31">
        <f>AVERAGE(P44:P45)</f>
        <v>2.6142857142857139</v>
      </c>
      <c r="R46" t="s">
        <v>112</v>
      </c>
    </row>
    <row r="47" spans="1:18">
      <c r="A47" t="s">
        <v>99</v>
      </c>
      <c r="D47" s="31">
        <f>STDEV(D44:D45)</f>
        <v>0.10859139853936446</v>
      </c>
      <c r="H47" s="31">
        <f>STDEV(H44:H45)</f>
        <v>12.331437187621113</v>
      </c>
      <c r="L47" s="31">
        <f>STDEV(L44:L45)</f>
        <v>4.0406101782088283E-2</v>
      </c>
      <c r="P47" s="31">
        <f>STDEV(P44:P45)</f>
        <v>0.59262282613729689</v>
      </c>
    </row>
    <row r="48" spans="1:18">
      <c r="A48" t="s">
        <v>41</v>
      </c>
      <c r="D48" s="31">
        <f>D47/(SQRT(2))</f>
        <v>7.6785714285715553E-2</v>
      </c>
      <c r="H48" s="31">
        <f>H47/(SQRT(2))</f>
        <v>8.7196428571428566</v>
      </c>
      <c r="L48" s="31">
        <f>L47/(SQRT(2))</f>
        <v>2.8571428571428466E-2</v>
      </c>
      <c r="P48" s="31">
        <f>P47/(SQRT(2))</f>
        <v>0.41904761904761895</v>
      </c>
    </row>
    <row r="50" spans="1:18">
      <c r="A50" s="50" t="s">
        <v>63</v>
      </c>
      <c r="B50" s="29" t="s">
        <v>90</v>
      </c>
      <c r="C50" s="29" t="s">
        <v>87</v>
      </c>
      <c r="D50" s="29" t="s">
        <v>142</v>
      </c>
      <c r="E50" s="30" t="s">
        <v>141</v>
      </c>
      <c r="F50" s="29" t="s">
        <v>91</v>
      </c>
      <c r="G50" s="29" t="s">
        <v>86</v>
      </c>
      <c r="H50" s="29" t="s">
        <v>143</v>
      </c>
      <c r="I50" s="30" t="s">
        <v>144</v>
      </c>
      <c r="J50" s="29" t="s">
        <v>93</v>
      </c>
      <c r="K50" s="29" t="s">
        <v>94</v>
      </c>
      <c r="L50" s="29" t="s">
        <v>145</v>
      </c>
      <c r="M50" s="30" t="s">
        <v>146</v>
      </c>
      <c r="N50" s="29" t="s">
        <v>95</v>
      </c>
      <c r="O50" s="29" t="s">
        <v>96</v>
      </c>
      <c r="P50" s="29" t="s">
        <v>148</v>
      </c>
      <c r="Q50" s="30" t="s">
        <v>147</v>
      </c>
      <c r="R50" s="36" t="s">
        <v>115</v>
      </c>
    </row>
    <row r="51" spans="1:18">
      <c r="A51" s="31">
        <v>1</v>
      </c>
      <c r="B51" s="31">
        <v>270</v>
      </c>
      <c r="C51" s="31">
        <v>182.9</v>
      </c>
      <c r="D51" s="31">
        <f>((B51-C51)/4)/9</f>
        <v>2.4194444444444443</v>
      </c>
      <c r="F51" s="31">
        <v>227.6</v>
      </c>
      <c r="G51" s="31">
        <v>143.19999999999999</v>
      </c>
      <c r="H51" s="31">
        <f>((F51-G51)/4)/9</f>
        <v>2.3444444444444446</v>
      </c>
      <c r="J51" s="31">
        <v>241.3</v>
      </c>
      <c r="K51" s="31">
        <v>160.4</v>
      </c>
      <c r="L51" s="31">
        <f>((J51-K51)/3)/9</f>
        <v>2.9962962962962965</v>
      </c>
      <c r="N51" s="51">
        <v>202.6</v>
      </c>
      <c r="O51" s="51">
        <v>143.19999999999999</v>
      </c>
      <c r="P51" s="31">
        <f>((N51-O51)/3)/9</f>
        <v>2.2000000000000002</v>
      </c>
      <c r="R51" t="s">
        <v>58</v>
      </c>
    </row>
    <row r="52" spans="1:18">
      <c r="A52" s="31">
        <v>2</v>
      </c>
      <c r="B52" s="31">
        <v>352</v>
      </c>
      <c r="C52" s="31">
        <v>308.3</v>
      </c>
      <c r="D52" s="31">
        <f>((B52-C52)/2)/9</f>
        <v>2.4277777777777771</v>
      </c>
      <c r="F52" s="31">
        <v>364.7</v>
      </c>
      <c r="G52" s="31">
        <v>324.5</v>
      </c>
      <c r="H52" s="31">
        <f>((F52-G52)/2)/9</f>
        <v>2.2333333333333325</v>
      </c>
      <c r="J52" s="31">
        <v>301.39999999999998</v>
      </c>
      <c r="K52" s="31">
        <v>220</v>
      </c>
      <c r="L52" s="31">
        <f>((J52-K52)/3)/9</f>
        <v>3.0148148148148142</v>
      </c>
      <c r="N52" s="51">
        <v>217.8</v>
      </c>
      <c r="O52" s="51">
        <v>146</v>
      </c>
      <c r="P52" s="31">
        <f>((N52-O52)/3)/9</f>
        <v>2.6592592592592599</v>
      </c>
      <c r="R52" s="40"/>
    </row>
    <row r="53" spans="1:18">
      <c r="A53" t="s">
        <v>98</v>
      </c>
      <c r="D53" s="31">
        <f>AVERAGE(D51:D52)</f>
        <v>2.4236111111111107</v>
      </c>
      <c r="H53" s="31">
        <f>AVERAGE(H51:H52)</f>
        <v>2.2888888888888888</v>
      </c>
      <c r="L53" s="31">
        <f>AVERAGE(L51:L52)</f>
        <v>3.0055555555555555</v>
      </c>
      <c r="P53" s="31">
        <f>AVERAGE(P51:P52)</f>
        <v>2.42962962962963</v>
      </c>
    </row>
    <row r="54" spans="1:18">
      <c r="A54" t="s">
        <v>99</v>
      </c>
      <c r="D54" s="31">
        <f>STDEV(D51:D52)</f>
        <v>5.8925565098875612E-3</v>
      </c>
      <c r="H54" s="31">
        <f>STDEV(H51:H52)</f>
        <v>7.8567420131839275E-2</v>
      </c>
      <c r="L54" s="31">
        <f>STDEV(L51:L52)</f>
        <v>1.3094570021972531E-2</v>
      </c>
      <c r="P54" s="31">
        <f>STDEV(P51:P52)</f>
        <v>0.32474533654493326</v>
      </c>
    </row>
    <row r="55" spans="1:18">
      <c r="A55" t="s">
        <v>41</v>
      </c>
      <c r="D55" s="31">
        <f>D54/(SQRT(2))</f>
        <v>4.1666666666664298E-3</v>
      </c>
      <c r="H55" s="31">
        <f>H54/(SQRT(2))</f>
        <v>5.5555555555556017E-2</v>
      </c>
      <c r="L55" s="31">
        <f>L54/(SQRT(2))</f>
        <v>9.2592592592588546E-3</v>
      </c>
      <c r="P55" s="31">
        <f>P54/(SQRT(2))</f>
        <v>0.22962962962962985</v>
      </c>
    </row>
    <row r="57" spans="1:18">
      <c r="A57" s="50" t="s">
        <v>64</v>
      </c>
      <c r="B57" s="29" t="s">
        <v>90</v>
      </c>
      <c r="C57" s="29" t="s">
        <v>87</v>
      </c>
      <c r="D57" s="29" t="s">
        <v>142</v>
      </c>
      <c r="E57" s="30" t="s">
        <v>141</v>
      </c>
      <c r="F57" s="29" t="s">
        <v>91</v>
      </c>
      <c r="G57" s="29" t="s">
        <v>86</v>
      </c>
      <c r="H57" s="29" t="s">
        <v>143</v>
      </c>
      <c r="I57" s="30" t="s">
        <v>144</v>
      </c>
      <c r="J57" s="29" t="s">
        <v>93</v>
      </c>
      <c r="K57" s="29" t="s">
        <v>94</v>
      </c>
      <c r="L57" s="29" t="s">
        <v>145</v>
      </c>
      <c r="M57" s="30" t="s">
        <v>146</v>
      </c>
      <c r="N57" s="29" t="s">
        <v>95</v>
      </c>
      <c r="O57" s="29" t="s">
        <v>96</v>
      </c>
      <c r="P57" s="29" t="s">
        <v>148</v>
      </c>
      <c r="Q57" s="30" t="s">
        <v>147</v>
      </c>
      <c r="R57" s="36" t="s">
        <v>116</v>
      </c>
    </row>
    <row r="58" spans="1:18">
      <c r="A58" s="31">
        <v>1</v>
      </c>
      <c r="B58" s="31">
        <v>182.9</v>
      </c>
      <c r="C58" s="31">
        <v>156.30000000000001</v>
      </c>
      <c r="D58" s="31">
        <f>((B58-C58)/4)/5</f>
        <v>1.3299999999999996</v>
      </c>
      <c r="F58" s="31">
        <v>143.19999999999999</v>
      </c>
      <c r="G58" s="31">
        <v>163.80000000000001</v>
      </c>
      <c r="H58" s="31">
        <f>((F58-G58)/4)/5</f>
        <v>-1.0300000000000011</v>
      </c>
      <c r="J58" s="31">
        <v>160.4</v>
      </c>
      <c r="K58" s="31">
        <v>172.3</v>
      </c>
      <c r="L58" s="31">
        <f>((J58-K58)/3)/5</f>
        <v>-0.79333333333333367</v>
      </c>
      <c r="N58" s="51">
        <v>143.19999999999999</v>
      </c>
      <c r="O58" s="51">
        <v>210.8</v>
      </c>
      <c r="P58" s="31">
        <f>((N58-O58)/3)/5</f>
        <v>-4.5066666666666686</v>
      </c>
      <c r="R58" t="s">
        <v>66</v>
      </c>
    </row>
    <row r="59" spans="1:18">
      <c r="A59" s="31">
        <v>2</v>
      </c>
      <c r="B59" s="31">
        <v>308.3</v>
      </c>
      <c r="C59" s="31">
        <v>278.2</v>
      </c>
      <c r="D59" s="31">
        <f>((B59-C59)/2)/5</f>
        <v>3.0100000000000025</v>
      </c>
      <c r="F59" s="31">
        <v>324.5</v>
      </c>
      <c r="G59" s="31">
        <v>295.8</v>
      </c>
      <c r="H59" s="31">
        <f>((F59-G59)/2)/5</f>
        <v>2.8699999999999988</v>
      </c>
      <c r="J59" s="31">
        <v>220</v>
      </c>
      <c r="K59" s="31">
        <v>171.8</v>
      </c>
      <c r="L59" s="31">
        <f>((J59-K59)/3)/5</f>
        <v>3.2133333333333325</v>
      </c>
      <c r="N59" s="51">
        <v>146</v>
      </c>
      <c r="O59" s="51">
        <v>166.7</v>
      </c>
      <c r="P59" s="31">
        <f>((N59-O59)/3)/5</f>
        <v>-1.3799999999999992</v>
      </c>
      <c r="R59" s="40" t="s">
        <v>119</v>
      </c>
    </row>
    <row r="60" spans="1:18">
      <c r="A60" t="s">
        <v>98</v>
      </c>
      <c r="D60" s="31">
        <f>AVERAGE(D58:D59)</f>
        <v>2.1700000000000008</v>
      </c>
      <c r="H60" s="31">
        <f>AVERAGE(H58:H59)</f>
        <v>0.91999999999999882</v>
      </c>
      <c r="L60" s="31">
        <f>AVERAGE(L58:L59)</f>
        <v>1.2099999999999995</v>
      </c>
      <c r="P60" s="31">
        <f>AVERAGE(P58:P59)</f>
        <v>-2.9433333333333338</v>
      </c>
      <c r="R60" t="s">
        <v>117</v>
      </c>
    </row>
    <row r="61" spans="1:18">
      <c r="A61" t="s">
        <v>99</v>
      </c>
      <c r="D61" s="31">
        <f>STDEV(D58:D59)</f>
        <v>1.1879393923934025</v>
      </c>
      <c r="H61" s="31">
        <f>STDEV(H58:H59)</f>
        <v>2.7577164466275352</v>
      </c>
      <c r="L61" s="31">
        <f>STDEV(L58:L59)</f>
        <v>2.8331411699540996</v>
      </c>
      <c r="P61" s="31">
        <f>STDEV(P58:P59)</f>
        <v>2.2108872025099409</v>
      </c>
    </row>
    <row r="62" spans="1:18">
      <c r="A62" t="s">
        <v>41</v>
      </c>
      <c r="D62" s="31">
        <f>D61/(SQRT(2))</f>
        <v>0.84000000000000186</v>
      </c>
      <c r="H62" s="31">
        <f>H61/(SQRT(2))</f>
        <v>1.9499999999999997</v>
      </c>
      <c r="L62" s="31">
        <f>L61/(SQRT(2))</f>
        <v>2.0033333333333325</v>
      </c>
      <c r="P62" s="31">
        <f>P61/(SQRT(2))</f>
        <v>1.5633333333333348</v>
      </c>
    </row>
    <row r="64" spans="1:18">
      <c r="A64" s="50" t="s">
        <v>65</v>
      </c>
      <c r="B64" s="29" t="s">
        <v>90</v>
      </c>
      <c r="C64" s="29" t="s">
        <v>87</v>
      </c>
      <c r="D64" s="29" t="s">
        <v>142</v>
      </c>
      <c r="E64" s="30" t="s">
        <v>141</v>
      </c>
      <c r="F64" s="29" t="s">
        <v>91</v>
      </c>
      <c r="G64" s="29" t="s">
        <v>86</v>
      </c>
      <c r="H64" s="29" t="s">
        <v>143</v>
      </c>
      <c r="I64" s="30" t="s">
        <v>144</v>
      </c>
      <c r="J64" s="29" t="s">
        <v>93</v>
      </c>
      <c r="K64" s="29" t="s">
        <v>94</v>
      </c>
      <c r="L64" s="29" t="s">
        <v>145</v>
      </c>
      <c r="M64" s="30" t="s">
        <v>146</v>
      </c>
      <c r="N64" s="29" t="s">
        <v>95</v>
      </c>
      <c r="O64" s="29" t="s">
        <v>96</v>
      </c>
      <c r="P64" s="29" t="s">
        <v>148</v>
      </c>
      <c r="Q64" s="30" t="s">
        <v>147</v>
      </c>
      <c r="R64" s="36" t="s">
        <v>118</v>
      </c>
    </row>
    <row r="65" spans="1:18">
      <c r="A65" s="31">
        <v>1</v>
      </c>
      <c r="B65" s="31">
        <v>156.30000000000001</v>
      </c>
      <c r="C65" s="31">
        <v>73.7</v>
      </c>
      <c r="D65" s="31">
        <f>((B65-C65)/4)/8</f>
        <v>2.5812500000000003</v>
      </c>
      <c r="F65" s="31">
        <v>163.80000000000001</v>
      </c>
      <c r="G65" s="31">
        <v>87.3</v>
      </c>
      <c r="H65" s="31">
        <f>((F65-G65)/4)/8</f>
        <v>2.3906250000000004</v>
      </c>
      <c r="J65" s="31">
        <v>172.3</v>
      </c>
      <c r="K65" s="31">
        <v>107.2</v>
      </c>
      <c r="L65" s="31">
        <f>((J65-K65)/3)/8</f>
        <v>2.7125000000000004</v>
      </c>
      <c r="N65" s="51">
        <v>210.8</v>
      </c>
      <c r="O65" s="51">
        <v>152.5</v>
      </c>
      <c r="P65" s="31">
        <f>((N65-O65)/3)/8</f>
        <v>2.4291666666666671</v>
      </c>
      <c r="R65" t="s">
        <v>68</v>
      </c>
    </row>
    <row r="66" spans="1:18">
      <c r="A66" s="31">
        <v>2</v>
      </c>
      <c r="B66" s="31">
        <v>278.2</v>
      </c>
      <c r="C66" s="31">
        <v>239.7</v>
      </c>
      <c r="D66" s="31">
        <f>((B66-C66)/2)/8</f>
        <v>2.40625</v>
      </c>
      <c r="F66" s="31">
        <v>295.8</v>
      </c>
      <c r="G66" s="31">
        <v>262.60000000000002</v>
      </c>
      <c r="H66" s="31">
        <f>((F66-G66)/2)/8</f>
        <v>2.0749999999999993</v>
      </c>
      <c r="J66" s="31">
        <v>171.8</v>
      </c>
      <c r="K66" s="31">
        <v>99.3</v>
      </c>
      <c r="L66" s="31">
        <f>((J66-K66)/3)/8</f>
        <v>3.0208333333333339</v>
      </c>
      <c r="N66" s="51">
        <v>166.7</v>
      </c>
      <c r="O66" s="51">
        <v>98</v>
      </c>
      <c r="P66" s="31">
        <f>((N66-O66)/3)/8</f>
        <v>2.8624999999999994</v>
      </c>
      <c r="R66" s="40"/>
    </row>
    <row r="67" spans="1:18">
      <c r="A67" t="s">
        <v>98</v>
      </c>
      <c r="D67" s="31">
        <f>AVERAGE(D65:D66)</f>
        <v>2.4937500000000004</v>
      </c>
      <c r="H67" s="31">
        <f>AVERAGE(H65:H66)</f>
        <v>2.2328124999999996</v>
      </c>
      <c r="L67" s="31">
        <f>AVERAGE(L65:L66)</f>
        <v>2.8666666666666671</v>
      </c>
      <c r="P67" s="31">
        <f>AVERAGE(P65:P66)</f>
        <v>2.645833333333333</v>
      </c>
    </row>
    <row r="68" spans="1:18">
      <c r="A68" t="s">
        <v>99</v>
      </c>
      <c r="D68" s="31">
        <f>STDEV(D65:D66)</f>
        <v>0.123743686707646</v>
      </c>
      <c r="H68" s="31">
        <f>STDEV(H65:H66)</f>
        <v>0.22318057781200487</v>
      </c>
      <c r="L68" s="31">
        <f>STDEV(L65:L66)</f>
        <v>0.21802459086585232</v>
      </c>
      <c r="P68" s="31">
        <f>STDEV(P65:P66)</f>
        <v>0.30641293851416984</v>
      </c>
    </row>
    <row r="69" spans="1:18">
      <c r="A69" t="s">
        <v>41</v>
      </c>
      <c r="D69" s="31">
        <f>D68/(SQRT(2))</f>
        <v>8.7500000000000119E-2</v>
      </c>
      <c r="H69" s="31">
        <f>H68/(SQRT(2))</f>
        <v>0.15781250000000055</v>
      </c>
      <c r="L69" s="31">
        <f>L68/(SQRT(2))</f>
        <v>0.15416666666666679</v>
      </c>
      <c r="P69" s="31">
        <f>P68/(SQRT(2))</f>
        <v>0.21666666666666612</v>
      </c>
    </row>
    <row r="71" spans="1:18">
      <c r="A71" s="50" t="s">
        <v>67</v>
      </c>
      <c r="B71" s="29" t="s">
        <v>90</v>
      </c>
      <c r="C71" s="29" t="s">
        <v>87</v>
      </c>
      <c r="D71" s="29" t="s">
        <v>142</v>
      </c>
      <c r="E71" s="30" t="s">
        <v>141</v>
      </c>
      <c r="F71" s="29" t="s">
        <v>91</v>
      </c>
      <c r="G71" s="29" t="s">
        <v>86</v>
      </c>
      <c r="H71" s="29" t="s">
        <v>143</v>
      </c>
      <c r="I71" s="30" t="s">
        <v>144</v>
      </c>
      <c r="J71" s="29" t="s">
        <v>93</v>
      </c>
      <c r="K71" s="29" t="s">
        <v>94</v>
      </c>
      <c r="L71" s="29" t="s">
        <v>145</v>
      </c>
      <c r="M71" s="30" t="s">
        <v>146</v>
      </c>
      <c r="N71" s="29" t="s">
        <v>95</v>
      </c>
      <c r="O71" s="29" t="s">
        <v>96</v>
      </c>
      <c r="P71" s="29" t="s">
        <v>148</v>
      </c>
      <c r="Q71" s="30" t="s">
        <v>147</v>
      </c>
      <c r="R71" s="36" t="s">
        <v>120</v>
      </c>
    </row>
    <row r="72" spans="1:18">
      <c r="A72" s="31">
        <v>1</v>
      </c>
      <c r="B72" s="31">
        <v>220.6</v>
      </c>
      <c r="C72" s="31">
        <v>165.2</v>
      </c>
      <c r="D72" s="31">
        <f>((B72-C72)/4)/6</f>
        <v>2.3083333333333336</v>
      </c>
      <c r="F72" s="31">
        <v>158.5</v>
      </c>
      <c r="G72" s="39">
        <v>139.5</v>
      </c>
      <c r="H72" s="31">
        <f>((F72-G72)/2)/5</f>
        <v>1.9</v>
      </c>
      <c r="J72" s="31">
        <v>231.5</v>
      </c>
      <c r="K72" s="31">
        <v>190.1</v>
      </c>
      <c r="L72" s="31">
        <f>((J72-K72)/3)/6</f>
        <v>2.3000000000000003</v>
      </c>
      <c r="N72" s="51">
        <v>310.5</v>
      </c>
      <c r="O72" s="51">
        <v>274.2</v>
      </c>
      <c r="P72" s="31">
        <f>((N72-O72)/3)/6</f>
        <v>2.0166666666666671</v>
      </c>
      <c r="R72" t="s">
        <v>70</v>
      </c>
    </row>
    <row r="73" spans="1:18">
      <c r="A73" s="31">
        <v>2</v>
      </c>
      <c r="B73" s="31">
        <v>239.7</v>
      </c>
      <c r="C73" s="31">
        <v>211.3</v>
      </c>
      <c r="D73" s="31">
        <f>((B73-C73)/2)/6</f>
        <v>2.3666666666666649</v>
      </c>
      <c r="F73" s="31">
        <v>262.60000000000002</v>
      </c>
      <c r="G73" s="31">
        <v>237.9</v>
      </c>
      <c r="H73" s="31">
        <f>((F73-G73)/2)/6</f>
        <v>2.0583333333333349</v>
      </c>
      <c r="J73" s="31">
        <v>292.5</v>
      </c>
      <c r="K73" s="31">
        <v>248.1</v>
      </c>
      <c r="L73" s="31">
        <f>((J73-K73)/3)/6</f>
        <v>2.4666666666666672</v>
      </c>
      <c r="N73" s="51">
        <v>252.5</v>
      </c>
      <c r="O73" s="51">
        <v>210.7</v>
      </c>
      <c r="P73" s="31">
        <f>((N73-O73)/3)/6</f>
        <v>2.3222222222222229</v>
      </c>
      <c r="R73" s="42" t="s">
        <v>122</v>
      </c>
    </row>
    <row r="74" spans="1:18">
      <c r="A74" s="31">
        <v>3</v>
      </c>
      <c r="F74" s="31">
        <v>104.3</v>
      </c>
      <c r="G74" s="31">
        <v>81.3</v>
      </c>
      <c r="H74" s="31">
        <f>((F74-G74)/2)/5</f>
        <v>2.2999999999999998</v>
      </c>
      <c r="N74" s="51"/>
      <c r="O74" s="51"/>
      <c r="R74" s="40"/>
    </row>
    <row r="75" spans="1:18">
      <c r="A75" t="s">
        <v>98</v>
      </c>
      <c r="D75" s="31">
        <f>AVERAGE(D72:D73)</f>
        <v>2.3374999999999995</v>
      </c>
      <c r="H75" s="31">
        <f>AVERAGE(H72:H74)</f>
        <v>2.0861111111111117</v>
      </c>
      <c r="L75" s="31">
        <f>AVERAGE(L72:L73)</f>
        <v>2.3833333333333337</v>
      </c>
      <c r="P75" s="31">
        <f>AVERAGE(P72:P73)</f>
        <v>2.1694444444444452</v>
      </c>
    </row>
    <row r="76" spans="1:18">
      <c r="A76" t="s">
        <v>99</v>
      </c>
      <c r="D76" s="31">
        <f>STDEV(D72:D73)</f>
        <v>4.124789556921387E-2</v>
      </c>
      <c r="H76" s="31">
        <f>STDEV(H72:H74)</f>
        <v>0.20144156399239865</v>
      </c>
      <c r="L76" s="31">
        <f>STDEV(L72:L73)</f>
        <v>0.11785113019775813</v>
      </c>
      <c r="P76" s="31">
        <f>STDEV(P72:P73)</f>
        <v>0.21606040536255636</v>
      </c>
    </row>
    <row r="77" spans="1:18">
      <c r="A77" t="s">
        <v>41</v>
      </c>
      <c r="D77" s="31">
        <f>D76/(SQRT(2))</f>
        <v>2.9166666666665675E-2</v>
      </c>
      <c r="H77" s="31">
        <f>H76/(SQRT(3))</f>
        <v>0.11630234119699059</v>
      </c>
      <c r="L77" s="31">
        <f>L76/(SQRT(2))</f>
        <v>8.3333333333333467E-2</v>
      </c>
      <c r="P77" s="31">
        <f>P76/(SQRT(2))</f>
        <v>0.15277777777777787</v>
      </c>
    </row>
    <row r="79" spans="1:18">
      <c r="A79" s="50" t="s">
        <v>69</v>
      </c>
      <c r="B79" s="29" t="s">
        <v>90</v>
      </c>
      <c r="C79" s="29" t="s">
        <v>87</v>
      </c>
      <c r="D79" s="29" t="s">
        <v>142</v>
      </c>
      <c r="E79" s="30" t="s">
        <v>141</v>
      </c>
      <c r="F79" s="29" t="s">
        <v>91</v>
      </c>
      <c r="G79" s="29" t="s">
        <v>86</v>
      </c>
      <c r="H79" s="29" t="s">
        <v>143</v>
      </c>
      <c r="I79" s="30" t="s">
        <v>144</v>
      </c>
      <c r="J79" s="29" t="s">
        <v>93</v>
      </c>
      <c r="K79" s="29" t="s">
        <v>94</v>
      </c>
      <c r="L79" s="29" t="s">
        <v>145</v>
      </c>
      <c r="M79" s="30" t="s">
        <v>146</v>
      </c>
      <c r="N79" s="29" t="s">
        <v>95</v>
      </c>
      <c r="O79" s="29" t="s">
        <v>96</v>
      </c>
      <c r="P79" s="29" t="s">
        <v>148</v>
      </c>
      <c r="Q79" s="30" t="s">
        <v>147</v>
      </c>
      <c r="R79" s="36" t="s">
        <v>123</v>
      </c>
    </row>
    <row r="80" spans="1:18">
      <c r="A80" s="31">
        <v>1</v>
      </c>
      <c r="B80" s="31">
        <v>165.2</v>
      </c>
      <c r="C80" s="31">
        <v>84.4</v>
      </c>
      <c r="D80" s="31">
        <f>((B80-C80)/4)/7</f>
        <v>2.8857142857142852</v>
      </c>
      <c r="F80" s="39">
        <v>139.5</v>
      </c>
      <c r="G80" s="39">
        <v>97.1</v>
      </c>
      <c r="H80" s="31">
        <f>((F80-G80)/2)/7</f>
        <v>3.0285714285714289</v>
      </c>
      <c r="J80" s="31">
        <v>190.1</v>
      </c>
      <c r="K80" s="31">
        <v>126.4</v>
      </c>
      <c r="L80" s="31">
        <f>((J80-K80)/3)/7</f>
        <v>3.0333333333333328</v>
      </c>
      <c r="N80" s="51">
        <v>274.2</v>
      </c>
      <c r="O80" s="51">
        <v>217.2</v>
      </c>
      <c r="P80" s="31">
        <f>((N80-O80)/3)/7</f>
        <v>2.7142857142857144</v>
      </c>
      <c r="R80" t="s">
        <v>60</v>
      </c>
    </row>
    <row r="81" spans="1:18">
      <c r="A81" s="31">
        <v>2</v>
      </c>
      <c r="B81" s="31">
        <v>211.3</v>
      </c>
      <c r="C81" s="31">
        <v>167.3</v>
      </c>
      <c r="D81" s="31">
        <f>((B81-C81)/2)/7</f>
        <v>3.1428571428571428</v>
      </c>
      <c r="F81" s="31">
        <v>237.9</v>
      </c>
      <c r="G81" s="31">
        <v>202.8</v>
      </c>
      <c r="H81" s="31">
        <f>((F81-G81)/2)/7</f>
        <v>2.5071428571428567</v>
      </c>
      <c r="J81" s="31">
        <v>248.1</v>
      </c>
      <c r="K81" s="31">
        <v>200.8</v>
      </c>
      <c r="L81" s="31">
        <f>((J81-K81)/2)/7</f>
        <v>3.3785714285714272</v>
      </c>
      <c r="N81" s="51">
        <v>210.7</v>
      </c>
      <c r="O81" s="51">
        <v>141.30000000000001</v>
      </c>
      <c r="P81" s="31">
        <f>((N81-O81)/3)/7</f>
        <v>3.3047619047619037</v>
      </c>
      <c r="R81" s="42"/>
    </row>
    <row r="82" spans="1:18">
      <c r="A82" s="31">
        <v>3</v>
      </c>
      <c r="F82" s="31">
        <v>81.3</v>
      </c>
      <c r="G82" s="31">
        <v>48.7</v>
      </c>
      <c r="H82" s="31">
        <f>((F82-G82)/2)/7</f>
        <v>2.3285714285714283</v>
      </c>
      <c r="N82" s="51"/>
      <c r="O82" s="51"/>
      <c r="R82" s="40"/>
    </row>
    <row r="83" spans="1:18">
      <c r="A83" t="s">
        <v>98</v>
      </c>
      <c r="D83" s="31">
        <f>AVERAGE(D80:D81)</f>
        <v>3.0142857142857142</v>
      </c>
      <c r="H83" s="31">
        <f>AVERAGE(H80:H82)</f>
        <v>2.6214285714285714</v>
      </c>
      <c r="L83" s="31">
        <f>AVERAGE(L80:L81)</f>
        <v>3.2059523809523798</v>
      </c>
      <c r="P83" s="31">
        <f>AVERAGE(P80:P81)</f>
        <v>3.009523809523809</v>
      </c>
    </row>
    <row r="84" spans="1:18">
      <c r="A84" t="s">
        <v>99</v>
      </c>
      <c r="D84" s="31">
        <f>STDEV(D80:D81)</f>
        <v>0.18182745801939823</v>
      </c>
      <c r="H84" s="31">
        <f>STDEV(H80:H82)</f>
        <v>0.36372505875639882</v>
      </c>
      <c r="L84" s="31">
        <f>STDEV(L80:L81)</f>
        <v>0.24412019826678372</v>
      </c>
      <c r="P84" s="31">
        <f>STDEV(P80:P81)</f>
        <v>0.41752971841491293</v>
      </c>
    </row>
    <row r="85" spans="1:18">
      <c r="A85" t="s">
        <v>41</v>
      </c>
      <c r="D85" s="31">
        <f>D84/(SQRT(2))</f>
        <v>0.12857142857142878</v>
      </c>
      <c r="H85" s="31">
        <f>H84/(SQRT(3))</f>
        <v>0.20999676058401931</v>
      </c>
      <c r="L85" s="31">
        <f>L84/(SQRT(2))</f>
        <v>0.17261904761904723</v>
      </c>
      <c r="P85" s="31">
        <f>P84/(SQRT(2))</f>
        <v>0.29523809523809463</v>
      </c>
    </row>
    <row r="87" spans="1:18">
      <c r="A87" s="50" t="s">
        <v>71</v>
      </c>
      <c r="B87" s="29" t="s">
        <v>90</v>
      </c>
      <c r="C87" s="29" t="s">
        <v>87</v>
      </c>
      <c r="D87" s="29" t="s">
        <v>142</v>
      </c>
      <c r="E87" s="30" t="s">
        <v>141</v>
      </c>
      <c r="F87" s="29" t="s">
        <v>91</v>
      </c>
      <c r="G87" s="29" t="s">
        <v>86</v>
      </c>
      <c r="H87" s="29" t="s">
        <v>143</v>
      </c>
      <c r="I87" s="30" t="s">
        <v>144</v>
      </c>
      <c r="J87" s="29" t="s">
        <v>93</v>
      </c>
      <c r="K87" s="29" t="s">
        <v>94</v>
      </c>
      <c r="L87" s="29" t="s">
        <v>145</v>
      </c>
      <c r="M87" s="30" t="s">
        <v>146</v>
      </c>
      <c r="N87" s="29" t="s">
        <v>95</v>
      </c>
      <c r="O87" s="29" t="s">
        <v>96</v>
      </c>
      <c r="P87" s="29" t="s">
        <v>148</v>
      </c>
      <c r="Q87" s="30" t="s">
        <v>147</v>
      </c>
      <c r="R87" s="36" t="s">
        <v>125</v>
      </c>
    </row>
    <row r="88" spans="1:18">
      <c r="A88" s="31">
        <v>1</v>
      </c>
      <c r="B88" s="31">
        <v>187.3</v>
      </c>
      <c r="C88" s="31">
        <v>100.1</v>
      </c>
      <c r="D88" s="31">
        <f>((B88-C88)/4)/7</f>
        <v>3.1142857142857148</v>
      </c>
      <c r="F88" s="39">
        <v>203.3</v>
      </c>
      <c r="G88" s="39">
        <v>148.80000000000001</v>
      </c>
      <c r="H88" s="31">
        <f>((F88-G88)/2)/7</f>
        <v>3.8928571428571428</v>
      </c>
      <c r="J88" s="31">
        <v>191.4</v>
      </c>
      <c r="K88" s="31">
        <v>131.4</v>
      </c>
      <c r="L88" s="31">
        <f>((J88-K88)/3)/7</f>
        <v>2.8571428571428572</v>
      </c>
      <c r="N88" s="51">
        <v>217.2</v>
      </c>
      <c r="O88" s="51">
        <v>163.9</v>
      </c>
      <c r="P88" s="31">
        <f>((N88-O88)/3)/7</f>
        <v>2.5380952380952375</v>
      </c>
      <c r="R88" t="s">
        <v>60</v>
      </c>
    </row>
    <row r="89" spans="1:18">
      <c r="A89" s="31">
        <v>2</v>
      </c>
      <c r="B89" s="31">
        <v>167.3</v>
      </c>
      <c r="C89" s="31">
        <v>128.19999999999999</v>
      </c>
      <c r="D89" s="31">
        <f>((B89-C89)/2)/7</f>
        <v>2.7928571428571445</v>
      </c>
      <c r="F89" s="31">
        <v>202.8</v>
      </c>
      <c r="G89" s="31">
        <v>164.1</v>
      </c>
      <c r="H89" s="31">
        <f>((F89-G89)/2)/7</f>
        <v>2.7642857142857156</v>
      </c>
      <c r="J89" s="31">
        <v>200.8</v>
      </c>
      <c r="K89" s="31">
        <v>151.4</v>
      </c>
      <c r="L89" s="31">
        <f>((J89-K89)/2)/7</f>
        <v>3.5285714285714289</v>
      </c>
      <c r="N89" s="51">
        <v>141.30000000000001</v>
      </c>
      <c r="O89" s="51">
        <v>78.599999999999994</v>
      </c>
      <c r="P89" s="31">
        <f>((N89-O89)/3)/7</f>
        <v>2.9857142857142867</v>
      </c>
      <c r="R89" s="42"/>
    </row>
    <row r="90" spans="1:18">
      <c r="A90" s="31">
        <v>3</v>
      </c>
      <c r="F90" s="31">
        <v>195.7</v>
      </c>
      <c r="G90" s="31">
        <v>143.1</v>
      </c>
      <c r="H90" s="31">
        <f>((F90-G90)/2)/7</f>
        <v>3.7571428571428567</v>
      </c>
      <c r="N90" s="51"/>
      <c r="O90" s="51"/>
      <c r="R90" s="40"/>
    </row>
    <row r="91" spans="1:18">
      <c r="A91" t="s">
        <v>98</v>
      </c>
      <c r="D91" s="31">
        <f>AVERAGE(D88:D89)</f>
        <v>2.9535714285714296</v>
      </c>
      <c r="H91" s="31">
        <f>AVERAGE(H88:H90)</f>
        <v>3.4714285714285715</v>
      </c>
      <c r="L91" s="31">
        <f>AVERAGE(L88:L89)</f>
        <v>3.1928571428571431</v>
      </c>
      <c r="P91" s="31">
        <f>AVERAGE(P88:P89)</f>
        <v>2.7619047619047619</v>
      </c>
    </row>
    <row r="92" spans="1:18">
      <c r="A92" t="s">
        <v>99</v>
      </c>
      <c r="D92" s="31">
        <f>STDEV(D88:D89)</f>
        <v>0.2272843225242466</v>
      </c>
      <c r="H92" s="31">
        <f>STDEV(H88:H90)</f>
        <v>0.61615165109156245</v>
      </c>
      <c r="L92" s="31">
        <f>STDEV(L88:L89)</f>
        <v>0.47477169593953983</v>
      </c>
      <c r="P92" s="31">
        <f>STDEV(P88:P89)</f>
        <v>0.31651446395969379</v>
      </c>
    </row>
    <row r="93" spans="1:18">
      <c r="A93" t="s">
        <v>41</v>
      </c>
      <c r="D93" s="31">
        <f>D92/(SQRT(2))</f>
        <v>0.16071428571428512</v>
      </c>
      <c r="H93" s="31">
        <f>H92/(SQRT(3))</f>
        <v>0.35573532161934596</v>
      </c>
      <c r="L93" s="31">
        <f>L92/(SQRT(2))</f>
        <v>0.33571428571428624</v>
      </c>
      <c r="P93" s="31">
        <f>P92/(SQRT(2))</f>
        <v>0.22380952380952457</v>
      </c>
    </row>
    <row r="95" spans="1:18">
      <c r="A95" s="50" t="s">
        <v>72</v>
      </c>
      <c r="B95" s="29" t="s">
        <v>90</v>
      </c>
      <c r="C95" s="29" t="s">
        <v>87</v>
      </c>
      <c r="D95" s="29" t="s">
        <v>142</v>
      </c>
      <c r="E95" s="30" t="s">
        <v>141</v>
      </c>
      <c r="F95" s="29" t="s">
        <v>91</v>
      </c>
      <c r="G95" s="29" t="s">
        <v>86</v>
      </c>
      <c r="H95" s="29" t="s">
        <v>143</v>
      </c>
      <c r="I95" s="30" t="s">
        <v>144</v>
      </c>
      <c r="J95" s="29" t="s">
        <v>93</v>
      </c>
      <c r="K95" s="29" t="s">
        <v>94</v>
      </c>
      <c r="L95" s="29" t="s">
        <v>145</v>
      </c>
      <c r="M95" s="30" t="s">
        <v>146</v>
      </c>
      <c r="N95" s="29" t="s">
        <v>95</v>
      </c>
      <c r="O95" s="29" t="s">
        <v>96</v>
      </c>
      <c r="P95" s="29" t="s">
        <v>148</v>
      </c>
      <c r="Q95" s="30" t="s">
        <v>147</v>
      </c>
      <c r="R95" s="36" t="s">
        <v>126</v>
      </c>
    </row>
    <row r="96" spans="1:18">
      <c r="A96" s="31">
        <v>1</v>
      </c>
      <c r="B96" s="31">
        <v>100.1</v>
      </c>
      <c r="C96" s="31">
        <v>26.3</v>
      </c>
      <c r="D96" s="31">
        <f>((B96-C96)/4)/7</f>
        <v>2.6357142857142857</v>
      </c>
      <c r="F96" s="39">
        <v>148.80000000000001</v>
      </c>
      <c r="G96" s="39">
        <v>104.5</v>
      </c>
      <c r="H96" s="31">
        <f>((F96-G96)/2)/7</f>
        <v>3.164285714285715</v>
      </c>
      <c r="J96" s="31">
        <v>131.4</v>
      </c>
      <c r="K96" s="31">
        <v>74</v>
      </c>
      <c r="L96" s="31">
        <f>((J96-K96)/3)/7</f>
        <v>2.7333333333333338</v>
      </c>
      <c r="N96" s="51">
        <v>163.9</v>
      </c>
      <c r="O96" s="51">
        <v>116.6</v>
      </c>
      <c r="P96" s="31">
        <f>((N96-O96)/3)/7</f>
        <v>2.2523809523809528</v>
      </c>
      <c r="R96" t="s">
        <v>60</v>
      </c>
    </row>
    <row r="97" spans="1:18">
      <c r="A97" s="31">
        <v>2</v>
      </c>
      <c r="B97" s="31">
        <v>128.19999999999999</v>
      </c>
      <c r="C97" s="31">
        <v>94.9</v>
      </c>
      <c r="D97" s="31">
        <f>((B97-C97)/2)/7</f>
        <v>2.3785714285714272</v>
      </c>
      <c r="F97" s="31">
        <v>164.1</v>
      </c>
      <c r="G97" s="31">
        <v>134.5</v>
      </c>
      <c r="H97" s="31">
        <f>((F97-G97)/2)/7</f>
        <v>2.1142857142857139</v>
      </c>
      <c r="J97" s="31">
        <v>151.4</v>
      </c>
      <c r="K97" s="31">
        <v>116.6</v>
      </c>
      <c r="L97" s="31">
        <f>((J97-K97)/2)/7</f>
        <v>2.4857142857142867</v>
      </c>
      <c r="N97" s="51">
        <v>78.599999999999994</v>
      </c>
      <c r="O97" s="51">
        <v>29.6</v>
      </c>
      <c r="P97" s="31">
        <f>((N97-O97)/3)/7</f>
        <v>2.333333333333333</v>
      </c>
      <c r="R97" s="42"/>
    </row>
    <row r="98" spans="1:18">
      <c r="A98" s="31">
        <v>3</v>
      </c>
      <c r="F98" s="31">
        <v>143.1</v>
      </c>
      <c r="G98" s="31">
        <v>108.1</v>
      </c>
      <c r="H98" s="31">
        <f>((F98-G98)/2)/7</f>
        <v>2.5</v>
      </c>
      <c r="N98" s="51"/>
      <c r="O98" s="51"/>
      <c r="R98" s="40"/>
    </row>
    <row r="99" spans="1:18">
      <c r="A99" t="s">
        <v>98</v>
      </c>
      <c r="D99" s="31">
        <f>AVERAGE(D96:D97)</f>
        <v>2.5071428571428562</v>
      </c>
      <c r="H99" s="31">
        <f>AVERAGE(H96:H98)</f>
        <v>2.592857142857143</v>
      </c>
      <c r="L99" s="31">
        <f>AVERAGE(L96:L97)</f>
        <v>2.60952380952381</v>
      </c>
      <c r="P99" s="31">
        <f>AVERAGE(P96:P97)</f>
        <v>2.2928571428571427</v>
      </c>
    </row>
    <row r="100" spans="1:18">
      <c r="A100" t="s">
        <v>99</v>
      </c>
      <c r="D100" s="31">
        <f>STDEV(D96:D97)</f>
        <v>0.18182745801939887</v>
      </c>
      <c r="H100" s="31">
        <f>STDEV(H96:H98)</f>
        <v>0.53112318414346704</v>
      </c>
      <c r="L100" s="31">
        <f>STDEV(L96:L97)</f>
        <v>0.1750931077223829</v>
      </c>
      <c r="P100" s="31">
        <f>STDEV(P96:P97)</f>
        <v>5.724197752462476E-2</v>
      </c>
    </row>
    <row r="101" spans="1:18">
      <c r="A101" t="s">
        <v>41</v>
      </c>
      <c r="D101" s="31">
        <f>D100/(SQRT(2))</f>
        <v>0.12857142857142922</v>
      </c>
      <c r="H101" s="31">
        <f>H100/(SQRT(3))</f>
        <v>0.30664411333808189</v>
      </c>
      <c r="L101" s="31">
        <f>L100/(SQRT(2))</f>
        <v>0.12380952380952359</v>
      </c>
      <c r="P101" s="31">
        <f>P100/(SQRT(2))</f>
        <v>4.047619047619011E-2</v>
      </c>
    </row>
    <row r="103" spans="1:18">
      <c r="A103" s="50" t="s">
        <v>73</v>
      </c>
      <c r="B103" s="29" t="s">
        <v>90</v>
      </c>
      <c r="C103" s="29" t="s">
        <v>87</v>
      </c>
      <c r="D103" s="29" t="s">
        <v>142</v>
      </c>
      <c r="E103" s="30" t="s">
        <v>141</v>
      </c>
      <c r="F103" s="29" t="s">
        <v>91</v>
      </c>
      <c r="G103" s="29" t="s">
        <v>86</v>
      </c>
      <c r="H103" s="29" t="s">
        <v>143</v>
      </c>
      <c r="I103" s="30" t="s">
        <v>144</v>
      </c>
      <c r="J103" s="29" t="s">
        <v>93</v>
      </c>
      <c r="K103" s="29" t="s">
        <v>94</v>
      </c>
      <c r="L103" s="29" t="s">
        <v>145</v>
      </c>
      <c r="M103" s="30" t="s">
        <v>146</v>
      </c>
      <c r="N103" s="29" t="s">
        <v>95</v>
      </c>
      <c r="O103" s="29" t="s">
        <v>96</v>
      </c>
      <c r="P103" s="29" t="s">
        <v>148</v>
      </c>
      <c r="Q103" s="30" t="s">
        <v>147</v>
      </c>
      <c r="R103" s="36" t="s">
        <v>127</v>
      </c>
    </row>
    <row r="104" spans="1:18">
      <c r="A104" s="31">
        <v>1</v>
      </c>
      <c r="B104" s="31">
        <v>179.6</v>
      </c>
      <c r="C104" s="31">
        <v>103</v>
      </c>
      <c r="D104" s="31">
        <f>((B104-C104)/4)/7</f>
        <v>2.7357142857142853</v>
      </c>
      <c r="F104" s="39">
        <v>104.5</v>
      </c>
      <c r="G104" s="39">
        <v>62.1</v>
      </c>
      <c r="H104" s="31">
        <f>((F104-G104)/2)/7</f>
        <v>3.0285714285714285</v>
      </c>
      <c r="J104" s="31">
        <v>219</v>
      </c>
      <c r="K104" s="31">
        <v>164.1</v>
      </c>
      <c r="L104" s="31">
        <f>((J104-K104)/3)/7</f>
        <v>2.6142857142857143</v>
      </c>
      <c r="N104" s="51">
        <v>116.6</v>
      </c>
      <c r="O104" s="51">
        <v>73.3</v>
      </c>
      <c r="P104" s="31">
        <f>((N104-O104)/3)/7</f>
        <v>2.0619047619047617</v>
      </c>
      <c r="R104" t="s">
        <v>60</v>
      </c>
    </row>
    <row r="105" spans="1:18">
      <c r="A105" s="31">
        <v>2</v>
      </c>
      <c r="B105" s="31">
        <v>175.4</v>
      </c>
      <c r="C105" s="31">
        <v>135.4</v>
      </c>
      <c r="D105" s="31">
        <f>((B105-C105)/2)/7</f>
        <v>2.8571428571428572</v>
      </c>
      <c r="F105" s="31">
        <v>134.5</v>
      </c>
      <c r="G105" s="31">
        <v>103.3</v>
      </c>
      <c r="H105" s="31">
        <f>((F105-G105)/2)/7</f>
        <v>2.2285714285714286</v>
      </c>
      <c r="J105" s="31">
        <v>116.6</v>
      </c>
      <c r="K105" s="31">
        <v>112.1</v>
      </c>
      <c r="L105" s="31">
        <f>((J105-K105)/2)/7</f>
        <v>0.32142857142857145</v>
      </c>
      <c r="N105" s="51">
        <v>211.5</v>
      </c>
      <c r="O105" s="51">
        <v>142.1</v>
      </c>
      <c r="P105" s="31">
        <f>((N105-O105)/3)/7</f>
        <v>3.304761904761905</v>
      </c>
      <c r="R105" s="40" t="s">
        <v>128</v>
      </c>
    </row>
    <row r="106" spans="1:18">
      <c r="A106" s="31">
        <v>3</v>
      </c>
      <c r="F106" s="31">
        <v>108.1</v>
      </c>
      <c r="G106" s="31">
        <v>76.3</v>
      </c>
      <c r="H106" s="31">
        <f>((F106-G106)/2)/7</f>
        <v>2.2714285714285714</v>
      </c>
      <c r="N106" s="51"/>
      <c r="O106" s="51"/>
      <c r="R106" s="40"/>
    </row>
    <row r="107" spans="1:18">
      <c r="A107" t="s">
        <v>98</v>
      </c>
      <c r="D107" s="31">
        <f>AVERAGE(D104:D105)</f>
        <v>2.7964285714285713</v>
      </c>
      <c r="H107" s="31">
        <f>AVERAGE(H104:H106)</f>
        <v>2.5095238095238095</v>
      </c>
      <c r="L107" s="31">
        <f>AVERAGE(L104:L105)</f>
        <v>1.467857142857143</v>
      </c>
      <c r="P107" s="31">
        <f>AVERAGE(P104:P105)</f>
        <v>2.6833333333333336</v>
      </c>
    </row>
    <row r="108" spans="1:18">
      <c r="A108" t="s">
        <v>99</v>
      </c>
      <c r="D108" s="31">
        <f>STDEV(D104:D105)</f>
        <v>8.5862966286938236E-2</v>
      </c>
      <c r="H108" s="31">
        <f>STDEV(H104:H106)</f>
        <v>0.45001889605073303</v>
      </c>
      <c r="L108" s="31">
        <f>STDEV(L104:L105)</f>
        <v>1.6212948340062978</v>
      </c>
      <c r="P108" s="31">
        <f>STDEV(P104:P105)</f>
        <v>0.87883271376042293</v>
      </c>
    </row>
    <row r="109" spans="1:18">
      <c r="A109" t="s">
        <v>41</v>
      </c>
      <c r="D109" s="31">
        <f>D108/(SQRT(2))</f>
        <v>6.0714285714285936E-2</v>
      </c>
      <c r="H109" s="31">
        <f>H108/(SQRT(3))</f>
        <v>0.25981853077530892</v>
      </c>
      <c r="L109" s="31">
        <f>L108/(SQRT(2))</f>
        <v>1.1464285714285711</v>
      </c>
      <c r="P109" s="31">
        <f>P108/(SQRT(2))</f>
        <v>0.62142857142857111</v>
      </c>
    </row>
    <row r="111" spans="1:18">
      <c r="A111" s="50" t="s">
        <v>74</v>
      </c>
      <c r="B111" s="29" t="s">
        <v>90</v>
      </c>
      <c r="C111" s="29" t="s">
        <v>87</v>
      </c>
      <c r="D111" s="29" t="s">
        <v>142</v>
      </c>
      <c r="E111" s="30" t="s">
        <v>141</v>
      </c>
      <c r="F111" s="29" t="s">
        <v>91</v>
      </c>
      <c r="G111" s="29" t="s">
        <v>86</v>
      </c>
      <c r="H111" s="29" t="s">
        <v>143</v>
      </c>
      <c r="I111" s="30" t="s">
        <v>144</v>
      </c>
      <c r="J111" s="29" t="s">
        <v>93</v>
      </c>
      <c r="K111" s="29" t="s">
        <v>94</v>
      </c>
      <c r="L111" s="29" t="s">
        <v>145</v>
      </c>
      <c r="M111" s="30" t="s">
        <v>146</v>
      </c>
      <c r="N111" s="29" t="s">
        <v>95</v>
      </c>
      <c r="O111" s="29" t="s">
        <v>96</v>
      </c>
      <c r="P111" s="29" t="s">
        <v>148</v>
      </c>
      <c r="Q111" s="30" t="s">
        <v>147</v>
      </c>
      <c r="R111" s="36" t="s">
        <v>129</v>
      </c>
    </row>
    <row r="112" spans="1:18">
      <c r="A112" s="31">
        <v>1</v>
      </c>
      <c r="B112" s="31">
        <v>222.9</v>
      </c>
      <c r="C112" s="31">
        <v>137.4</v>
      </c>
      <c r="D112" s="31">
        <f>((B112-C112)/4)/7</f>
        <v>3.0535714285714284</v>
      </c>
      <c r="F112" s="39">
        <v>232.4</v>
      </c>
      <c r="G112" s="39">
        <v>181.3</v>
      </c>
      <c r="H112" s="31">
        <f>((F112-G112)/2)/7</f>
        <v>3.6499999999999995</v>
      </c>
      <c r="J112" s="31">
        <v>164.1</v>
      </c>
      <c r="K112" s="31">
        <v>105.6</v>
      </c>
      <c r="L112" s="31">
        <f>((J112-K112)/3)/7</f>
        <v>2.7857142857142856</v>
      </c>
      <c r="N112" s="51">
        <v>203.4</v>
      </c>
      <c r="O112" s="51">
        <v>150.9</v>
      </c>
      <c r="P112" s="31">
        <f>((N112-O112)/3)/7</f>
        <v>2.5</v>
      </c>
      <c r="R112" t="s">
        <v>60</v>
      </c>
    </row>
    <row r="113" spans="1:18">
      <c r="A113" s="31">
        <v>2</v>
      </c>
      <c r="B113" s="31">
        <v>135.4</v>
      </c>
      <c r="C113" s="31">
        <v>95.8</v>
      </c>
      <c r="D113" s="31">
        <f>((B113-C113)/2)/7</f>
        <v>2.8285714285714292</v>
      </c>
      <c r="F113" s="31">
        <v>201.5</v>
      </c>
      <c r="G113" s="31">
        <v>163.19999999999999</v>
      </c>
      <c r="H113" s="31">
        <f>((F113-G113)/2)/7</f>
        <v>2.7357142857142867</v>
      </c>
      <c r="J113" s="31">
        <v>221.1</v>
      </c>
      <c r="K113" s="31">
        <v>178.3</v>
      </c>
      <c r="L113" s="31">
        <f>((J113-K113)/2)/7</f>
        <v>3.0571428571428561</v>
      </c>
      <c r="N113" s="51">
        <v>142.1</v>
      </c>
      <c r="O113" s="51">
        <v>91.5</v>
      </c>
      <c r="P113" s="31">
        <f>((N113-O113)/3)/7</f>
        <v>2.409523809523809</v>
      </c>
      <c r="R113" s="40"/>
    </row>
    <row r="114" spans="1:18">
      <c r="A114" s="31">
        <v>3</v>
      </c>
      <c r="F114" s="31">
        <v>175.6</v>
      </c>
      <c r="G114" s="31">
        <v>130.80000000000001</v>
      </c>
      <c r="H114" s="31">
        <f>((F114-G114)/2)/7</f>
        <v>3.1999999999999988</v>
      </c>
      <c r="N114" s="51"/>
      <c r="O114" s="51"/>
      <c r="R114" s="40"/>
    </row>
    <row r="115" spans="1:18">
      <c r="A115" t="s">
        <v>98</v>
      </c>
      <c r="D115" s="31">
        <f>AVERAGE(D112:D113)</f>
        <v>2.941071428571429</v>
      </c>
      <c r="H115" s="31">
        <f>AVERAGE(H112:H114)</f>
        <v>3.195238095238095</v>
      </c>
      <c r="L115" s="31">
        <f>AVERAGE(L112:L113)</f>
        <v>2.9214285714285708</v>
      </c>
      <c r="P115" s="31">
        <f>AVERAGE(P112:P113)</f>
        <v>2.4547619047619045</v>
      </c>
    </row>
    <row r="116" spans="1:18">
      <c r="A116" t="s">
        <v>99</v>
      </c>
      <c r="D116" s="31">
        <f>STDEV(D112:D113)</f>
        <v>0.15909902576697263</v>
      </c>
      <c r="H116" s="31">
        <f>STDEV(H112:H114)</f>
        <v>0.45716145795490409</v>
      </c>
      <c r="L116" s="31">
        <f>STDEV(L112:L113)</f>
        <v>0.19192898346491938</v>
      </c>
      <c r="P116" s="31">
        <f>STDEV(P112:P113)</f>
        <v>6.3976327821640408E-2</v>
      </c>
    </row>
    <row r="117" spans="1:18">
      <c r="A117" t="s">
        <v>41</v>
      </c>
      <c r="D117" s="31">
        <f>D116/(SQRT(2))</f>
        <v>0.1124999999999996</v>
      </c>
      <c r="H117" s="31">
        <f>H116/(SQRT(3))</f>
        <v>0.26394229081338566</v>
      </c>
      <c r="L117" s="31">
        <f>L116/(SQRT(2))</f>
        <v>0.13571428571428523</v>
      </c>
      <c r="P117" s="31">
        <f>P116/(SQRT(2))</f>
        <v>4.5238095238095515E-2</v>
      </c>
    </row>
    <row r="119" spans="1:18">
      <c r="A119" s="50" t="s">
        <v>75</v>
      </c>
      <c r="B119" s="29" t="s">
        <v>90</v>
      </c>
      <c r="C119" s="29" t="s">
        <v>87</v>
      </c>
      <c r="D119" s="29" t="s">
        <v>142</v>
      </c>
      <c r="E119" s="30" t="s">
        <v>141</v>
      </c>
      <c r="F119" s="29" t="s">
        <v>91</v>
      </c>
      <c r="G119" s="29" t="s">
        <v>86</v>
      </c>
      <c r="H119" s="29" t="s">
        <v>143</v>
      </c>
      <c r="I119" s="30" t="s">
        <v>144</v>
      </c>
      <c r="J119" s="29" t="s">
        <v>93</v>
      </c>
      <c r="K119" s="29" t="s">
        <v>94</v>
      </c>
      <c r="L119" s="29" t="s">
        <v>145</v>
      </c>
      <c r="M119" s="30" t="s">
        <v>146</v>
      </c>
      <c r="N119" s="29" t="s">
        <v>95</v>
      </c>
      <c r="O119" s="29" t="s">
        <v>96</v>
      </c>
      <c r="P119" s="29" t="s">
        <v>148</v>
      </c>
      <c r="Q119" s="30" t="s">
        <v>147</v>
      </c>
      <c r="R119" s="36" t="s">
        <v>130</v>
      </c>
    </row>
    <row r="120" spans="1:18">
      <c r="A120" s="31">
        <v>1</v>
      </c>
      <c r="B120" s="31">
        <v>137.4</v>
      </c>
      <c r="C120" s="31">
        <v>57.1</v>
      </c>
      <c r="D120" s="31">
        <f>((B120-C120)/4)/7</f>
        <v>2.8678571428571433</v>
      </c>
      <c r="F120" s="39">
        <v>181.3</v>
      </c>
      <c r="G120" s="39">
        <v>148.30000000000001</v>
      </c>
      <c r="H120" s="31">
        <f>((F120-G120)/2)/7</f>
        <v>2.3571428571428572</v>
      </c>
      <c r="J120" s="31">
        <v>105.6</v>
      </c>
      <c r="K120" s="31">
        <v>49.9</v>
      </c>
      <c r="L120" s="31">
        <f>((J120-K120)/3)/7</f>
        <v>2.6523809523809523</v>
      </c>
      <c r="N120" s="51">
        <v>150.9</v>
      </c>
      <c r="O120" s="51">
        <v>108</v>
      </c>
      <c r="P120" s="31">
        <f>((N120-O120)/3)/7</f>
        <v>2.0428571428571431</v>
      </c>
      <c r="R120" t="s">
        <v>60</v>
      </c>
    </row>
    <row r="121" spans="1:18">
      <c r="A121" s="31">
        <v>2</v>
      </c>
      <c r="B121" s="31">
        <v>95.8</v>
      </c>
      <c r="C121" s="31">
        <v>54.5</v>
      </c>
      <c r="D121" s="31">
        <f>((B121-C121)/2)/7</f>
        <v>2.9499999999999997</v>
      </c>
      <c r="F121" s="31">
        <v>163.19999999999999</v>
      </c>
      <c r="G121" s="31">
        <v>129.30000000000001</v>
      </c>
      <c r="H121" s="31">
        <f>((F121-G121)/2)/7</f>
        <v>2.4214285714285699</v>
      </c>
      <c r="J121" s="31">
        <v>178.3</v>
      </c>
      <c r="K121" s="31">
        <v>134.9</v>
      </c>
      <c r="L121" s="31">
        <f>((J121-K121)/2)/7</f>
        <v>3.1000000000000005</v>
      </c>
      <c r="N121" s="51">
        <v>91.5</v>
      </c>
      <c r="O121" s="51">
        <v>49.4</v>
      </c>
      <c r="P121" s="31">
        <f>((N121-O121)/3)/7</f>
        <v>2.0047619047619047</v>
      </c>
      <c r="R121" s="40"/>
    </row>
    <row r="122" spans="1:18">
      <c r="A122" s="31">
        <v>3</v>
      </c>
      <c r="F122" s="31">
        <v>130.80000000000001</v>
      </c>
      <c r="G122" s="31">
        <v>95.8</v>
      </c>
      <c r="H122" s="31">
        <f>((F122-G122)/2)/7</f>
        <v>2.5000000000000009</v>
      </c>
      <c r="N122" s="51"/>
      <c r="O122" s="51"/>
      <c r="R122" s="40"/>
    </row>
    <row r="123" spans="1:18">
      <c r="A123" t="s">
        <v>98</v>
      </c>
      <c r="D123" s="31">
        <f>AVERAGE(D120:D121)</f>
        <v>2.9089285714285715</v>
      </c>
      <c r="H123" s="31">
        <f>AVERAGE(H120:H122)</f>
        <v>2.426190476190476</v>
      </c>
      <c r="L123" s="31">
        <f>AVERAGE(L120:L121)</f>
        <v>2.8761904761904766</v>
      </c>
      <c r="P123" s="31">
        <f>AVERAGE(P120:P121)</f>
        <v>2.0238095238095237</v>
      </c>
    </row>
    <row r="124" spans="1:18">
      <c r="A124" t="s">
        <v>99</v>
      </c>
      <c r="D124" s="31">
        <f>STDEV(D120:D121)</f>
        <v>5.8083771311751596E-2</v>
      </c>
      <c r="H124" s="31">
        <f>STDEV(H120:H122)</f>
        <v>7.1547520006270571E-2</v>
      </c>
      <c r="L124" s="31">
        <f>STDEV(L120:L121)</f>
        <v>0.31651446395969313</v>
      </c>
      <c r="P124" s="31">
        <f>STDEV(P120:P121)</f>
        <v>2.6937401188059172E-2</v>
      </c>
    </row>
    <row r="125" spans="1:18">
      <c r="A125" t="s">
        <v>41</v>
      </c>
      <c r="D125" s="31">
        <f>D124/(SQRT(2))</f>
        <v>4.1071428571428197E-2</v>
      </c>
      <c r="H125" s="31">
        <f>H124/(SQRT(3))</f>
        <v>4.1307979935470453E-2</v>
      </c>
      <c r="L125" s="31">
        <f>L124/(SQRT(2))</f>
        <v>0.2238095238095241</v>
      </c>
      <c r="P125" s="31">
        <f>P124/(SQRT(2))</f>
        <v>1.9047619047619202E-2</v>
      </c>
    </row>
    <row r="127" spans="1:18">
      <c r="A127" s="50" t="s">
        <v>76</v>
      </c>
      <c r="B127" s="29" t="s">
        <v>90</v>
      </c>
      <c r="C127" s="29" t="s">
        <v>87</v>
      </c>
      <c r="D127" s="29" t="s">
        <v>142</v>
      </c>
      <c r="E127" s="30" t="s">
        <v>141</v>
      </c>
      <c r="F127" s="29" t="s">
        <v>91</v>
      </c>
      <c r="G127" s="29" t="s">
        <v>86</v>
      </c>
      <c r="H127" s="29" t="s">
        <v>143</v>
      </c>
      <c r="I127" s="30" t="s">
        <v>144</v>
      </c>
      <c r="J127" s="29" t="s">
        <v>93</v>
      </c>
      <c r="K127" s="29" t="s">
        <v>94</v>
      </c>
      <c r="L127" s="29" t="s">
        <v>145</v>
      </c>
      <c r="M127" s="30" t="s">
        <v>146</v>
      </c>
      <c r="N127" s="29" t="s">
        <v>95</v>
      </c>
      <c r="O127" s="29" t="s">
        <v>96</v>
      </c>
      <c r="P127" s="29" t="s">
        <v>148</v>
      </c>
      <c r="Q127" s="30" t="s">
        <v>147</v>
      </c>
      <c r="R127" s="36" t="s">
        <v>131</v>
      </c>
    </row>
    <row r="128" spans="1:18">
      <c r="A128" s="31">
        <v>1</v>
      </c>
      <c r="B128" s="31">
        <v>153.1</v>
      </c>
      <c r="C128" s="31">
        <v>89.2</v>
      </c>
      <c r="D128" s="31">
        <f>((B128-C128)/3)/7</f>
        <v>3.0428571428571423</v>
      </c>
      <c r="F128" s="39">
        <v>148.30000000000001</v>
      </c>
      <c r="G128" s="39">
        <v>105.4</v>
      </c>
      <c r="H128" s="31">
        <f>((F128-G128)/2)/7</f>
        <v>3.0642857142857145</v>
      </c>
      <c r="J128" s="31">
        <v>192.1</v>
      </c>
      <c r="K128" s="31">
        <v>147.6</v>
      </c>
      <c r="L128" s="31">
        <f>((J128-K128)/2)/7</f>
        <v>3.1785714285714284</v>
      </c>
      <c r="N128" s="51">
        <v>192.1</v>
      </c>
      <c r="O128" s="51">
        <v>154.69999999999999</v>
      </c>
      <c r="P128" s="31">
        <f>((N128-O128)/2)/7</f>
        <v>2.6714285714285717</v>
      </c>
      <c r="R128" t="s">
        <v>60</v>
      </c>
    </row>
    <row r="129" spans="1:18">
      <c r="A129" s="31">
        <v>2</v>
      </c>
      <c r="B129" s="31">
        <v>163.80000000000001</v>
      </c>
      <c r="C129" s="31">
        <v>109.9</v>
      </c>
      <c r="D129" s="31">
        <f>((B129-C129)/2)/7</f>
        <v>3.8500000000000005</v>
      </c>
      <c r="F129" s="31">
        <v>129.30000000000001</v>
      </c>
      <c r="G129" s="31">
        <v>92</v>
      </c>
      <c r="H129" s="31">
        <f>((F129-G129)/2)/7</f>
        <v>2.664285714285715</v>
      </c>
      <c r="J129" s="31">
        <v>134.9</v>
      </c>
      <c r="K129" s="31">
        <v>92.1</v>
      </c>
      <c r="L129" s="31">
        <f>((J129-K129)/2)/7</f>
        <v>3.0571428571428578</v>
      </c>
      <c r="N129" s="51">
        <v>200</v>
      </c>
      <c r="O129" s="51">
        <v>152</v>
      </c>
      <c r="P129" s="31">
        <f>((N129-O129)/3)/7</f>
        <v>2.2857142857142856</v>
      </c>
      <c r="R129" s="40"/>
    </row>
    <row r="130" spans="1:18">
      <c r="A130" s="31">
        <v>3</v>
      </c>
      <c r="F130" s="31">
        <v>181.2</v>
      </c>
      <c r="G130" s="31">
        <v>147.80000000000001</v>
      </c>
      <c r="H130" s="31">
        <f>((F130-G130)/1)/7</f>
        <v>4.7714285714285678</v>
      </c>
      <c r="N130" s="51"/>
      <c r="O130" s="51"/>
      <c r="R130" s="40"/>
    </row>
    <row r="131" spans="1:18">
      <c r="A131" t="s">
        <v>98</v>
      </c>
      <c r="D131" s="31">
        <f>AVERAGE(D128:D129)</f>
        <v>3.4464285714285712</v>
      </c>
      <c r="H131" s="31">
        <f>AVERAGE(H128:H130)</f>
        <v>3.4999999999999987</v>
      </c>
      <c r="L131" s="31">
        <f>AVERAGE(L128:L129)</f>
        <v>3.1178571428571429</v>
      </c>
      <c r="P131" s="31">
        <f>AVERAGE(P128:P129)</f>
        <v>2.4785714285714286</v>
      </c>
    </row>
    <row r="132" spans="1:18">
      <c r="A132" t="s">
        <v>99</v>
      </c>
      <c r="D132" s="31">
        <f>STDEV(D128:D129)</f>
        <v>0.57073618767200129</v>
      </c>
      <c r="H132" s="31">
        <f>STDEV(H128:H130)</f>
        <v>1.1191058748767568</v>
      </c>
      <c r="L132" s="31">
        <f>STDEV(L128:L129)</f>
        <v>8.5862966286937292E-2</v>
      </c>
      <c r="P132" s="31">
        <f>STDEV(P128:P129)</f>
        <v>0.27274118702909717</v>
      </c>
    </row>
    <row r="133" spans="1:18">
      <c r="A133" t="s">
        <v>41</v>
      </c>
      <c r="D133" s="31">
        <f>D132/(SQRT(2))</f>
        <v>0.40357142857143014</v>
      </c>
      <c r="H133" s="31">
        <f>H132/(SQRT(3))</f>
        <v>0.64611607811178728</v>
      </c>
      <c r="L133" s="31">
        <f>L132/(SQRT(2))</f>
        <v>6.071428571428527E-2</v>
      </c>
      <c r="P133" s="31">
        <f>P132/(SQRT(2))</f>
        <v>0.19285714285714303</v>
      </c>
    </row>
    <row r="135" spans="1:18">
      <c r="A135" s="50" t="s">
        <v>77</v>
      </c>
      <c r="B135" s="29" t="s">
        <v>90</v>
      </c>
      <c r="C135" s="29" t="s">
        <v>87</v>
      </c>
      <c r="D135" s="29" t="s">
        <v>142</v>
      </c>
      <c r="E135" s="30" t="s">
        <v>141</v>
      </c>
      <c r="F135" s="29" t="s">
        <v>91</v>
      </c>
      <c r="G135" s="29" t="s">
        <v>86</v>
      </c>
      <c r="H135" s="29" t="s">
        <v>143</v>
      </c>
      <c r="I135" s="30" t="s">
        <v>144</v>
      </c>
      <c r="J135" s="29" t="s">
        <v>93</v>
      </c>
      <c r="K135" s="29" t="s">
        <v>94</v>
      </c>
      <c r="L135" s="29" t="s">
        <v>145</v>
      </c>
      <c r="M135" s="30" t="s">
        <v>146</v>
      </c>
      <c r="N135" s="29" t="s">
        <v>95</v>
      </c>
      <c r="O135" s="29" t="s">
        <v>96</v>
      </c>
      <c r="P135" s="29" t="s">
        <v>148</v>
      </c>
      <c r="Q135" s="30" t="s">
        <v>147</v>
      </c>
      <c r="R135" s="36" t="s">
        <v>133</v>
      </c>
    </row>
    <row r="136" spans="1:18">
      <c r="A136" s="31">
        <v>1</v>
      </c>
      <c r="B136" s="31">
        <v>181.8</v>
      </c>
      <c r="C136" s="31">
        <v>88.1</v>
      </c>
      <c r="D136" s="31">
        <f>((B136-C136)/3)/9</f>
        <v>3.4703703703703708</v>
      </c>
      <c r="F136" s="39">
        <v>105.4</v>
      </c>
      <c r="G136" s="39">
        <v>41.7</v>
      </c>
      <c r="H136" s="31">
        <f>((F136-G136)/2)/9</f>
        <v>3.5388888888888892</v>
      </c>
      <c r="J136" s="31">
        <v>147.6</v>
      </c>
      <c r="K136" s="31">
        <v>83.6</v>
      </c>
      <c r="L136" s="31">
        <f>((J136-K136)/2)/9</f>
        <v>3.5555555555555554</v>
      </c>
      <c r="N136" s="51">
        <v>154.69999999999999</v>
      </c>
      <c r="O136" s="51">
        <v>124</v>
      </c>
      <c r="P136" s="31">
        <f>((N136-O136)/1)/9</f>
        <v>3.4111111111111097</v>
      </c>
      <c r="R136" t="s">
        <v>58</v>
      </c>
    </row>
    <row r="137" spans="1:18">
      <c r="A137" s="31">
        <v>2</v>
      </c>
      <c r="B137" s="31">
        <v>109.9</v>
      </c>
      <c r="C137" s="31">
        <v>37.200000000000003</v>
      </c>
      <c r="D137" s="31">
        <f>((B137-C137)/2)/9</f>
        <v>4.0388888888888888</v>
      </c>
      <c r="F137" s="31">
        <v>148.69999999999999</v>
      </c>
      <c r="G137" s="31">
        <v>97</v>
      </c>
      <c r="H137" s="31">
        <f>((F137-G137)/2)/9</f>
        <v>2.8722222222222218</v>
      </c>
      <c r="J137" s="31">
        <v>178.8</v>
      </c>
      <c r="K137" s="31">
        <v>116.4</v>
      </c>
      <c r="L137" s="31">
        <f>((J137-K137)/2)/9</f>
        <v>3.4666666666666668</v>
      </c>
      <c r="N137" s="51">
        <v>152</v>
      </c>
      <c r="O137" s="51">
        <v>90.3</v>
      </c>
      <c r="P137" s="31">
        <f>((N137-O137)/3)/9</f>
        <v>2.2851851851851852</v>
      </c>
      <c r="R137" s="40"/>
    </row>
    <row r="138" spans="1:18">
      <c r="A138" s="31">
        <v>3</v>
      </c>
      <c r="F138" s="31">
        <v>147.80000000000001</v>
      </c>
      <c r="G138" s="31">
        <v>115.3</v>
      </c>
      <c r="H138" s="31">
        <f>((F138-G138)/1)/9</f>
        <v>3.6111111111111125</v>
      </c>
      <c r="N138" s="51"/>
      <c r="O138" s="51"/>
      <c r="R138" s="40"/>
    </row>
    <row r="139" spans="1:18">
      <c r="A139" t="s">
        <v>98</v>
      </c>
      <c r="D139" s="31">
        <f>AVERAGE(D136:D137)</f>
        <v>3.7546296296296298</v>
      </c>
      <c r="H139" s="31">
        <f>AVERAGE(H136:H138)</f>
        <v>3.3407407407407415</v>
      </c>
      <c r="L139" s="31">
        <f>AVERAGE(L136:L137)</f>
        <v>3.5111111111111111</v>
      </c>
      <c r="P139" s="31">
        <f>AVERAGE(P136:P137)</f>
        <v>2.8481481481481472</v>
      </c>
    </row>
    <row r="140" spans="1:18">
      <c r="A140" t="s">
        <v>99</v>
      </c>
      <c r="D140" s="31">
        <f>STDEV(D136:D137)</f>
        <v>0.40200329967457388</v>
      </c>
      <c r="H140" s="31">
        <f>STDEV(H136:H138)</f>
        <v>0.40735268992823676</v>
      </c>
      <c r="L140" s="31">
        <f>STDEV(L136:L137)</f>
        <v>6.2853936105470673E-2</v>
      </c>
      <c r="P140" s="31">
        <f>STDEV(P136:P137)</f>
        <v>0.79614985733596577</v>
      </c>
    </row>
    <row r="141" spans="1:18">
      <c r="A141" t="s">
        <v>41</v>
      </c>
      <c r="D141" s="31">
        <f>D140/(SQRT(2))</f>
        <v>0.28425925925925899</v>
      </c>
      <c r="H141" s="31">
        <f>H140/(SQRT(3))</f>
        <v>0.23518518518518566</v>
      </c>
      <c r="L141" s="31">
        <f>L140/(SQRT(2))</f>
        <v>4.4444444444444287E-2</v>
      </c>
      <c r="P141" s="31">
        <f>P140/(SQRT(2))</f>
        <v>0.56296296296296378</v>
      </c>
    </row>
    <row r="143" spans="1:18">
      <c r="A143" s="50" t="s">
        <v>78</v>
      </c>
      <c r="B143" s="29" t="s">
        <v>90</v>
      </c>
      <c r="C143" s="29" t="s">
        <v>87</v>
      </c>
      <c r="D143" s="29" t="s">
        <v>142</v>
      </c>
      <c r="E143" s="30" t="s">
        <v>141</v>
      </c>
      <c r="F143" s="29" t="s">
        <v>91</v>
      </c>
      <c r="G143" s="29" t="s">
        <v>86</v>
      </c>
      <c r="H143" s="29" t="s">
        <v>143</v>
      </c>
      <c r="I143" s="30" t="s">
        <v>144</v>
      </c>
      <c r="J143" s="29" t="s">
        <v>93</v>
      </c>
      <c r="K143" s="29" t="s">
        <v>94</v>
      </c>
      <c r="L143" s="29" t="s">
        <v>145</v>
      </c>
      <c r="M143" s="30" t="s">
        <v>146</v>
      </c>
      <c r="N143" s="29" t="s">
        <v>95</v>
      </c>
      <c r="O143" s="29" t="s">
        <v>96</v>
      </c>
      <c r="P143" s="29" t="s">
        <v>148</v>
      </c>
      <c r="Q143" s="30" t="s">
        <v>147</v>
      </c>
      <c r="R143" s="36" t="s">
        <v>134</v>
      </c>
    </row>
    <row r="144" spans="1:18">
      <c r="A144" s="31">
        <v>1</v>
      </c>
      <c r="B144" s="31">
        <v>155.4</v>
      </c>
      <c r="C144" s="31">
        <v>104.6</v>
      </c>
      <c r="D144" s="31">
        <f>((B144-C144)/3)/6</f>
        <v>2.8222222222222229</v>
      </c>
      <c r="F144" s="39">
        <v>125.7</v>
      </c>
      <c r="G144" s="39">
        <v>92.9</v>
      </c>
      <c r="H144" s="31">
        <f>((F144-G144)/2)/6</f>
        <v>2.7333333333333329</v>
      </c>
      <c r="J144" s="31">
        <v>162</v>
      </c>
      <c r="K144" s="31">
        <v>127.2</v>
      </c>
      <c r="L144" s="31">
        <f>((J144-K144)/2)/6</f>
        <v>2.9</v>
      </c>
      <c r="N144" s="51">
        <v>124</v>
      </c>
      <c r="O144" s="51">
        <v>108.6</v>
      </c>
      <c r="P144" s="31">
        <f>((N144-O144)/1)/6</f>
        <v>2.5666666666666678</v>
      </c>
      <c r="R144" t="s">
        <v>70</v>
      </c>
    </row>
    <row r="145" spans="1:18">
      <c r="A145" s="31">
        <v>2</v>
      </c>
      <c r="B145" s="31">
        <v>173.6</v>
      </c>
      <c r="C145" s="31">
        <v>140.69999999999999</v>
      </c>
      <c r="D145" s="31">
        <f>((B145-C145)/2)/6</f>
        <v>2.7416666666666671</v>
      </c>
      <c r="F145" s="31">
        <v>174.5</v>
      </c>
      <c r="G145" s="31">
        <v>141.6</v>
      </c>
      <c r="H145" s="31">
        <f>((F145-G145)/2)/6</f>
        <v>2.7416666666666671</v>
      </c>
      <c r="J145" s="31">
        <v>186.7</v>
      </c>
      <c r="K145" s="31">
        <v>154</v>
      </c>
      <c r="L145" s="31">
        <f>((J145-K145)/2)/6</f>
        <v>2.7249999999999992</v>
      </c>
      <c r="N145" s="51">
        <v>174.4</v>
      </c>
      <c r="O145" s="51">
        <v>132.1</v>
      </c>
      <c r="P145" s="31">
        <f>((N145-O145)/3)/6</f>
        <v>2.3500000000000005</v>
      </c>
      <c r="R145" s="40"/>
    </row>
    <row r="146" spans="1:18">
      <c r="A146" s="31">
        <v>3</v>
      </c>
      <c r="F146" s="31">
        <v>115.3</v>
      </c>
      <c r="G146" s="31">
        <v>93.9</v>
      </c>
      <c r="H146" s="31">
        <f>((F146-G146)/1)/6</f>
        <v>3.5666666666666651</v>
      </c>
      <c r="N146" s="51"/>
      <c r="O146" s="51"/>
      <c r="R146" s="40"/>
    </row>
    <row r="147" spans="1:18">
      <c r="A147" t="s">
        <v>98</v>
      </c>
      <c r="D147" s="31">
        <f>AVERAGE(D144:D145)</f>
        <v>2.781944444444445</v>
      </c>
      <c r="H147" s="31">
        <f>AVERAGE(H144:H146)</f>
        <v>3.013888888888888</v>
      </c>
      <c r="L147" s="31">
        <f>AVERAGE(L144:L145)</f>
        <v>2.8124999999999996</v>
      </c>
      <c r="P147" s="31">
        <f>AVERAGE(P144:P145)</f>
        <v>2.4583333333333339</v>
      </c>
    </row>
    <row r="148" spans="1:18">
      <c r="A148" t="s">
        <v>99</v>
      </c>
      <c r="D148" s="31">
        <f>STDEV(D144:D145)</f>
        <v>5.6961379595583103E-2</v>
      </c>
      <c r="H148" s="31">
        <f>STDEV(H144:H146)</f>
        <v>0.47873773071987402</v>
      </c>
      <c r="L148" s="31">
        <f>STDEV(L144:L145)</f>
        <v>0.12374368670764632</v>
      </c>
      <c r="P148" s="31">
        <f>STDEV(P144:P145)</f>
        <v>0.1532064692570857</v>
      </c>
    </row>
    <row r="149" spans="1:18">
      <c r="A149" t="s">
        <v>41</v>
      </c>
      <c r="D149" s="31">
        <f>D148/(SQRT(2))</f>
        <v>4.027777777777785E-2</v>
      </c>
      <c r="H149" s="31">
        <f>H148/(SQRT(3))</f>
        <v>0.27639935770234986</v>
      </c>
      <c r="L149" s="31">
        <f>L148/(SQRT(2))</f>
        <v>8.7500000000000355E-2</v>
      </c>
      <c r="P149" s="31">
        <f>P148/(SQRT(2))</f>
        <v>0.10833333333333361</v>
      </c>
    </row>
    <row r="151" spans="1:18">
      <c r="A151" s="50" t="s">
        <v>80</v>
      </c>
      <c r="B151" s="29" t="s">
        <v>90</v>
      </c>
      <c r="C151" s="29" t="s">
        <v>87</v>
      </c>
      <c r="D151" s="29" t="s">
        <v>142</v>
      </c>
      <c r="E151" s="30" t="s">
        <v>141</v>
      </c>
      <c r="F151" s="29" t="s">
        <v>91</v>
      </c>
      <c r="G151" s="29" t="s">
        <v>86</v>
      </c>
      <c r="H151" s="29" t="s">
        <v>143</v>
      </c>
      <c r="I151" s="30" t="s">
        <v>144</v>
      </c>
      <c r="J151" s="29" t="s">
        <v>93</v>
      </c>
      <c r="K151" s="29" t="s">
        <v>94</v>
      </c>
      <c r="L151" s="29" t="s">
        <v>145</v>
      </c>
      <c r="M151" s="30" t="s">
        <v>146</v>
      </c>
      <c r="N151" s="29" t="s">
        <v>95</v>
      </c>
      <c r="O151" s="29" t="s">
        <v>96</v>
      </c>
      <c r="P151" s="29" t="s">
        <v>148</v>
      </c>
      <c r="Q151" s="30" t="s">
        <v>147</v>
      </c>
      <c r="R151" s="36" t="s">
        <v>135</v>
      </c>
    </row>
    <row r="152" spans="1:18">
      <c r="A152" s="31">
        <v>1</v>
      </c>
      <c r="B152" s="31">
        <v>104.6</v>
      </c>
      <c r="C152" s="31">
        <v>52</v>
      </c>
      <c r="D152" s="31">
        <f>((B152-C152)/3)/6</f>
        <v>2.9222222222222221</v>
      </c>
      <c r="F152" s="39">
        <v>92.9</v>
      </c>
      <c r="G152" s="39">
        <v>57.5</v>
      </c>
      <c r="H152" s="31">
        <f>((F152-G152)/2)/6</f>
        <v>2.9500000000000006</v>
      </c>
      <c r="J152" s="31">
        <v>127.2</v>
      </c>
      <c r="K152" s="31">
        <v>89.8</v>
      </c>
      <c r="L152" s="31">
        <f>((J152-K152)/2)/6</f>
        <v>3.1166666666666671</v>
      </c>
      <c r="N152" s="51">
        <v>108.6</v>
      </c>
      <c r="O152" s="51">
        <v>93.4</v>
      </c>
      <c r="P152" s="31">
        <f>((N152-O152)/1)/6</f>
        <v>2.5333333333333314</v>
      </c>
      <c r="R152" t="s">
        <v>70</v>
      </c>
    </row>
    <row r="153" spans="1:18">
      <c r="A153" s="31">
        <v>2</v>
      </c>
      <c r="B153" s="31">
        <v>140.69999999999999</v>
      </c>
      <c r="C153" s="31">
        <v>105.7</v>
      </c>
      <c r="D153" s="31">
        <f>((B153-C153)/2)/6</f>
        <v>2.9166666666666656</v>
      </c>
      <c r="F153" s="31">
        <v>141.6</v>
      </c>
      <c r="G153" s="31">
        <v>107.8</v>
      </c>
      <c r="H153" s="31">
        <f>((F153-G153)/2)/6</f>
        <v>2.8166666666666664</v>
      </c>
      <c r="J153" s="31">
        <v>154</v>
      </c>
      <c r="K153" s="31">
        <v>119.9</v>
      </c>
      <c r="L153" s="31">
        <f>((J153-K153)/2)/6</f>
        <v>2.8416666666666663</v>
      </c>
      <c r="N153" s="51">
        <v>132.1</v>
      </c>
      <c r="O153" s="51">
        <v>90.9</v>
      </c>
      <c r="P153" s="31">
        <f>((N153-O153)/3)/6</f>
        <v>2.2888888888888883</v>
      </c>
      <c r="R153" s="40"/>
    </row>
    <row r="154" spans="1:18">
      <c r="A154" s="31">
        <v>3</v>
      </c>
      <c r="F154" s="31">
        <v>93.9</v>
      </c>
      <c r="G154" s="31">
        <v>71.8</v>
      </c>
      <c r="H154" s="31">
        <f>((F154-G154)/1)/6</f>
        <v>3.6833333333333349</v>
      </c>
      <c r="N154" s="51"/>
      <c r="O154" s="51"/>
      <c r="R154" s="40"/>
    </row>
    <row r="155" spans="1:18">
      <c r="A155" t="s">
        <v>98</v>
      </c>
      <c r="D155" s="31">
        <f>AVERAGE(D152:D153)</f>
        <v>2.9194444444444438</v>
      </c>
      <c r="H155" s="31">
        <f>AVERAGE(H152:H154)</f>
        <v>3.1500000000000008</v>
      </c>
      <c r="L155" s="31">
        <f>AVERAGE(L152:L153)</f>
        <v>2.979166666666667</v>
      </c>
      <c r="P155" s="31">
        <f>AVERAGE(P152:P153)</f>
        <v>2.4111111111111097</v>
      </c>
    </row>
    <row r="156" spans="1:18">
      <c r="A156" t="s">
        <v>99</v>
      </c>
      <c r="D156" s="31">
        <f>STDEV(D152:D153)</f>
        <v>3.928371006592545E-3</v>
      </c>
      <c r="H156" s="31">
        <f>STDEV(H152:H154)</f>
        <v>0.46666666666666506</v>
      </c>
      <c r="L156" s="31">
        <f>STDEV(L152:L153)</f>
        <v>0.19445436482630113</v>
      </c>
      <c r="P156" s="31">
        <f>STDEV(P152:P153)</f>
        <v>0.17284832429004401</v>
      </c>
    </row>
    <row r="157" spans="1:18">
      <c r="A157" t="s">
        <v>41</v>
      </c>
      <c r="D157" s="31">
        <f>D156/(SQRT(2))</f>
        <v>2.777777777778212E-3</v>
      </c>
      <c r="H157" s="31">
        <f>H156/(SQRT(3))</f>
        <v>0.26943012562182445</v>
      </c>
      <c r="L157" s="31">
        <f>L156/(SQRT(2))</f>
        <v>0.1375000000000004</v>
      </c>
      <c r="P157" s="31">
        <f>P156/(SQRT(2))</f>
        <v>0.12222222222222155</v>
      </c>
    </row>
    <row r="159" spans="1:18">
      <c r="A159" s="50" t="s">
        <v>81</v>
      </c>
      <c r="B159" s="29" t="s">
        <v>90</v>
      </c>
      <c r="C159" s="29" t="s">
        <v>87</v>
      </c>
      <c r="D159" s="29" t="s">
        <v>142</v>
      </c>
      <c r="E159" s="30" t="s">
        <v>141</v>
      </c>
      <c r="F159" s="29" t="s">
        <v>91</v>
      </c>
      <c r="G159" s="29" t="s">
        <v>86</v>
      </c>
      <c r="H159" s="29" t="s">
        <v>143</v>
      </c>
      <c r="I159" s="30" t="s">
        <v>144</v>
      </c>
      <c r="J159" s="29" t="s">
        <v>93</v>
      </c>
      <c r="K159" s="29" t="s">
        <v>94</v>
      </c>
      <c r="L159" s="29" t="s">
        <v>145</v>
      </c>
      <c r="M159" s="30" t="s">
        <v>146</v>
      </c>
      <c r="N159" s="29" t="s">
        <v>95</v>
      </c>
      <c r="O159" s="29" t="s">
        <v>96</v>
      </c>
      <c r="P159" s="29" t="s">
        <v>148</v>
      </c>
      <c r="Q159" s="30" t="s">
        <v>147</v>
      </c>
      <c r="R159" s="36" t="s">
        <v>136</v>
      </c>
    </row>
    <row r="160" spans="1:18">
      <c r="A160" s="31">
        <v>1</v>
      </c>
      <c r="B160" s="31">
        <v>73.8</v>
      </c>
      <c r="D160" s="31">
        <f>((B160-C160)/3)/6</f>
        <v>4.0999999999999996</v>
      </c>
      <c r="F160" s="39">
        <v>78.400000000000006</v>
      </c>
      <c r="G160" s="39"/>
      <c r="H160" s="31">
        <f>((F160-G160)/2)/6</f>
        <v>6.5333333333333341</v>
      </c>
      <c r="J160" s="31">
        <v>89.8</v>
      </c>
      <c r="L160" s="31">
        <f>((J160-K160)/2)/6</f>
        <v>7.4833333333333334</v>
      </c>
      <c r="N160" s="51">
        <v>93.4</v>
      </c>
      <c r="O160" s="51"/>
      <c r="P160" s="31">
        <f>((N160-O160)/1)/6</f>
        <v>15.566666666666668</v>
      </c>
      <c r="R160" t="s">
        <v>70</v>
      </c>
    </row>
    <row r="161" spans="1:18">
      <c r="A161" s="31">
        <v>2</v>
      </c>
      <c r="B161" s="31">
        <v>105.7</v>
      </c>
      <c r="D161" s="31">
        <f>((B161-C161)/2)/6</f>
        <v>8.8083333333333336</v>
      </c>
      <c r="F161" s="31">
        <v>107.8</v>
      </c>
      <c r="H161" s="31">
        <f>((F161-G161)/2)/6</f>
        <v>8.9833333333333325</v>
      </c>
      <c r="J161" s="31">
        <v>119.9</v>
      </c>
      <c r="L161" s="31">
        <f>((J161-K161)/2)/6</f>
        <v>9.9916666666666671</v>
      </c>
      <c r="N161" s="51">
        <v>90.9</v>
      </c>
      <c r="O161" s="51"/>
      <c r="P161" s="31">
        <f>((N161-O161)/3)/6</f>
        <v>5.05</v>
      </c>
      <c r="R161" s="40" t="s">
        <v>137</v>
      </c>
    </row>
    <row r="162" spans="1:18">
      <c r="A162" s="31">
        <v>3</v>
      </c>
      <c r="F162" s="31">
        <v>71.8</v>
      </c>
      <c r="H162" s="31">
        <f>((F162-G162)/1)/6</f>
        <v>11.966666666666667</v>
      </c>
      <c r="N162" s="51"/>
      <c r="O162" s="51"/>
      <c r="R162" s="40"/>
    </row>
    <row r="163" spans="1:18">
      <c r="A163" t="s">
        <v>98</v>
      </c>
      <c r="D163" s="31">
        <f>AVERAGE(D160:D161)</f>
        <v>6.4541666666666666</v>
      </c>
      <c r="H163" s="31">
        <f>AVERAGE(H160:H162)</f>
        <v>9.1611111111111114</v>
      </c>
      <c r="L163" s="31">
        <f>AVERAGE(L160:L161)</f>
        <v>8.7375000000000007</v>
      </c>
      <c r="P163" s="31">
        <f>AVERAGE(P160:P161)</f>
        <v>10.308333333333334</v>
      </c>
    </row>
    <row r="164" spans="1:18">
      <c r="A164" t="s">
        <v>99</v>
      </c>
      <c r="D164" s="31">
        <f>STDEV(D160:D161)</f>
        <v>3.329294428086663</v>
      </c>
      <c r="H164" s="31">
        <f>STDEV(H160:H162)</f>
        <v>2.7210258141887347</v>
      </c>
      <c r="L164" s="31">
        <f>STDEV(L160:L161)</f>
        <v>1.773659509476248</v>
      </c>
      <c r="P164" s="31">
        <f>STDEV(P160:P161)</f>
        <v>7.4364063154785285</v>
      </c>
    </row>
    <row r="165" spans="1:18">
      <c r="A165" t="s">
        <v>41</v>
      </c>
      <c r="D165" s="31">
        <f>D164/(SQRT(2))</f>
        <v>2.3541666666666679</v>
      </c>
      <c r="H165" s="31">
        <f>H164/(SQRT(3))</f>
        <v>1.5709849862937866</v>
      </c>
      <c r="L165" s="31">
        <f>L164/(SQRT(2))</f>
        <v>1.2541666666666604</v>
      </c>
      <c r="P165" s="31">
        <f>P164/(SQRT(2))</f>
        <v>5.2583333333333355</v>
      </c>
    </row>
    <row r="167" spans="1:18">
      <c r="A167" s="50" t="s">
        <v>82</v>
      </c>
      <c r="B167" s="29" t="s">
        <v>90</v>
      </c>
      <c r="C167" s="29" t="s">
        <v>87</v>
      </c>
      <c r="D167" s="29" t="s">
        <v>142</v>
      </c>
      <c r="E167" s="30" t="s">
        <v>141</v>
      </c>
      <c r="F167" s="29" t="s">
        <v>91</v>
      </c>
      <c r="G167" s="29" t="s">
        <v>86</v>
      </c>
      <c r="H167" s="29" t="s">
        <v>143</v>
      </c>
      <c r="I167" s="30" t="s">
        <v>144</v>
      </c>
      <c r="J167" s="29" t="s">
        <v>93</v>
      </c>
      <c r="K167" s="29" t="s">
        <v>94</v>
      </c>
      <c r="L167" s="29" t="s">
        <v>145</v>
      </c>
      <c r="M167" s="30" t="s">
        <v>146</v>
      </c>
      <c r="N167" s="29" t="s">
        <v>95</v>
      </c>
      <c r="O167" s="29" t="s">
        <v>96</v>
      </c>
      <c r="P167" s="29" t="s">
        <v>148</v>
      </c>
      <c r="Q167" s="30" t="s">
        <v>147</v>
      </c>
      <c r="R167" s="36" t="s">
        <v>138</v>
      </c>
    </row>
    <row r="168" spans="1:18">
      <c r="A168" s="31">
        <v>1</v>
      </c>
      <c r="B168" s="31">
        <v>154</v>
      </c>
      <c r="C168" s="31">
        <v>114.8</v>
      </c>
      <c r="D168" s="31">
        <f>((B168-C168)/3)/4</f>
        <v>3.2666666666666671</v>
      </c>
      <c r="F168" s="39">
        <v>125.3</v>
      </c>
      <c r="G168" s="39">
        <v>82.7</v>
      </c>
      <c r="H168" s="31">
        <f>((F168-G168)/2)/5</f>
        <v>4.26</v>
      </c>
      <c r="J168" s="31">
        <v>162.80000000000001</v>
      </c>
      <c r="K168" s="31">
        <v>121.1</v>
      </c>
      <c r="L168" s="31">
        <f>((J168-K168)/2)/5</f>
        <v>4.1700000000000017</v>
      </c>
      <c r="N168" s="51">
        <v>128.4</v>
      </c>
      <c r="O168" s="51">
        <v>111.8</v>
      </c>
      <c r="P168" s="31">
        <f>((N168-O168)/1)/5</f>
        <v>3.3200000000000016</v>
      </c>
      <c r="R168" t="s">
        <v>139</v>
      </c>
    </row>
    <row r="169" spans="1:18">
      <c r="A169" s="31">
        <v>2</v>
      </c>
      <c r="B169" s="31">
        <v>178.9</v>
      </c>
      <c r="C169" s="31">
        <v>147.30000000000001</v>
      </c>
      <c r="D169" s="31">
        <f>((B169-C169)/2)/4</f>
        <v>3.9499999999999993</v>
      </c>
      <c r="F169" s="31">
        <v>177.9</v>
      </c>
      <c r="G169" s="39">
        <v>131.69999999999999</v>
      </c>
      <c r="H169" s="31">
        <f>((F169-G169)/2)/5</f>
        <v>4.6200000000000019</v>
      </c>
      <c r="J169" s="31">
        <v>200.4</v>
      </c>
      <c r="K169" s="31">
        <v>164.3</v>
      </c>
      <c r="L169" s="31">
        <f>((J169-K169)/2)/5</f>
        <v>3.6099999999999994</v>
      </c>
      <c r="N169" s="51">
        <v>197.4</v>
      </c>
      <c r="O169" s="51">
        <v>162.9</v>
      </c>
      <c r="P169" s="31">
        <f>((N169-O169)/2)/4</f>
        <v>4.3125</v>
      </c>
      <c r="R169" s="40"/>
    </row>
    <row r="170" spans="1:18">
      <c r="A170" s="31"/>
      <c r="N170" s="51"/>
      <c r="O170" s="51"/>
      <c r="R170" s="40"/>
    </row>
    <row r="171" spans="1:18">
      <c r="A171" t="s">
        <v>98</v>
      </c>
      <c r="D171" s="31">
        <f>AVERAGE(D168:D169)</f>
        <v>3.6083333333333334</v>
      </c>
      <c r="H171" s="31">
        <f>AVERAGE(H168:H169)</f>
        <v>4.4400000000000013</v>
      </c>
      <c r="L171" s="31">
        <f>AVERAGE(L168:L169)</f>
        <v>3.8900000000000006</v>
      </c>
      <c r="P171" s="31">
        <f>AVERAGE(P168:P169)</f>
        <v>3.816250000000001</v>
      </c>
    </row>
    <row r="172" spans="1:18">
      <c r="A172" t="s">
        <v>99</v>
      </c>
      <c r="D172" s="31">
        <f>STDEV(D168:D169)</f>
        <v>0.48318963381080671</v>
      </c>
      <c r="H172" s="31">
        <f>STDEV(H168:H169)</f>
        <v>0.25455844122715859</v>
      </c>
      <c r="L172" s="31">
        <f>STDEV(L168:L169)</f>
        <v>0.39597979746446821</v>
      </c>
      <c r="P172" s="31">
        <f>STDEV(P168:P169)</f>
        <v>0.70180348032764572</v>
      </c>
    </row>
    <row r="173" spans="1:18">
      <c r="A173" t="s">
        <v>41</v>
      </c>
      <c r="D173" s="31">
        <f>D172/(SQRT(2))</f>
        <v>0.34166666666666612</v>
      </c>
      <c r="H173" s="31">
        <f>H172/(SQRT(2))</f>
        <v>0.18000000000000105</v>
      </c>
      <c r="L173" s="31">
        <f>L172/(SQRT(2))</f>
        <v>0.28000000000000108</v>
      </c>
      <c r="P173" s="31">
        <f>P172/(SQRT(2))</f>
        <v>0.49624999999999808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24hr stool collections Mouse ID</vt:lpstr>
      <vt:lpstr>Mouse ID Key</vt:lpstr>
      <vt:lpstr>Mouse Weights</vt:lpstr>
      <vt:lpstr>Food Consumed</vt:lpstr>
      <vt:lpstr>g food per mouse per week</vt:lpstr>
      <vt:lpstr>cum food intake take </vt:lpstr>
      <vt:lpstr>Cum food intake take 1</vt:lpstr>
      <vt:lpstr>Cumulative Food Intake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2019-02-08T00:18:36Z</dcterms:created>
  <dcterms:modified xsi:type="dcterms:W3CDTF">2019-05-15T22:07:28Z</dcterms:modified>
</cp:coreProperties>
</file>