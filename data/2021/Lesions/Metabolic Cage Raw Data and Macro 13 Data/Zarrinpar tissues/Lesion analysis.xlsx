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orit\Desktop\Zarrinpar tissues\"/>
    </mc:Choice>
  </mc:AlternateContent>
  <bookViews>
    <workbookView xWindow="0" yWindow="0" windowWidth="24300" windowHeight="11700" activeTab="1"/>
  </bookViews>
  <sheets>
    <sheet name="ApoE" sheetId="1" r:id="rId1"/>
    <sheet name="Ldlr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" i="2" l="1"/>
  <c r="I2" i="2"/>
  <c r="J2" i="1"/>
  <c r="I2" i="1"/>
  <c r="E24" i="1"/>
  <c r="E28" i="1"/>
  <c r="E21" i="2" l="1"/>
  <c r="E26" i="2"/>
  <c r="E25" i="2"/>
  <c r="E24" i="2"/>
  <c r="E23" i="2"/>
  <c r="E22" i="2"/>
  <c r="E20" i="2"/>
  <c r="J20" i="2" s="1"/>
  <c r="E17" i="2"/>
  <c r="E16" i="2"/>
  <c r="F15" i="2" s="1"/>
  <c r="E15" i="2"/>
  <c r="E14" i="2"/>
  <c r="E13" i="2"/>
  <c r="E12" i="2"/>
  <c r="E11" i="2"/>
  <c r="J11" i="2" s="1"/>
  <c r="E8" i="2"/>
  <c r="E7" i="2"/>
  <c r="E6" i="2"/>
  <c r="E5" i="2"/>
  <c r="E4" i="2"/>
  <c r="E3" i="2"/>
  <c r="E2" i="2"/>
  <c r="H2" i="1"/>
  <c r="G2" i="1"/>
  <c r="F2" i="1"/>
  <c r="E25" i="1"/>
  <c r="E26" i="1"/>
  <c r="E27" i="1"/>
  <c r="E29" i="1"/>
  <c r="E30" i="1"/>
  <c r="E31" i="1"/>
  <c r="E32" i="1"/>
  <c r="E14" i="1"/>
  <c r="E15" i="1"/>
  <c r="E16" i="1"/>
  <c r="E17" i="1"/>
  <c r="E18" i="1"/>
  <c r="E19" i="1"/>
  <c r="E20" i="1"/>
  <c r="E21" i="1"/>
  <c r="G18" i="1" s="1"/>
  <c r="H18" i="1" s="1"/>
  <c r="E3" i="1"/>
  <c r="E4" i="1"/>
  <c r="E5" i="1"/>
  <c r="E6" i="1"/>
  <c r="E7" i="1"/>
  <c r="E8" i="1"/>
  <c r="E9" i="1"/>
  <c r="E10" i="1"/>
  <c r="G24" i="1"/>
  <c r="H24" i="1" s="1"/>
  <c r="E13" i="1"/>
  <c r="J13" i="1" s="1"/>
  <c r="E2" i="1"/>
  <c r="J24" i="1" l="1"/>
  <c r="G29" i="1"/>
  <c r="H29" i="1" s="1"/>
  <c r="G13" i="1"/>
  <c r="H13" i="1" s="1"/>
  <c r="G20" i="2"/>
  <c r="H20" i="2" s="1"/>
  <c r="F24" i="2"/>
  <c r="I20" i="2" s="1"/>
  <c r="G15" i="2"/>
  <c r="H15" i="2" s="1"/>
  <c r="G6" i="2"/>
  <c r="H6" i="2" s="1"/>
  <c r="G11" i="2"/>
  <c r="H11" i="2" s="1"/>
  <c r="G24" i="2"/>
  <c r="H24" i="2" s="1"/>
  <c r="F20" i="2"/>
  <c r="F11" i="2"/>
  <c r="I11" i="2" s="1"/>
  <c r="F2" i="2"/>
  <c r="G2" i="2"/>
  <c r="H2" i="2" s="1"/>
  <c r="F6" i="2"/>
  <c r="F24" i="1"/>
  <c r="F13" i="1"/>
  <c r="F18" i="1"/>
  <c r="G7" i="1"/>
  <c r="H7" i="1" s="1"/>
  <c r="F29" i="1"/>
  <c r="I24" i="1" s="1"/>
  <c r="F7" i="1"/>
  <c r="I13" i="1" l="1"/>
</calcChain>
</file>

<file path=xl/sharedStrings.xml><?xml version="1.0" encoding="utf-8"?>
<sst xmlns="http://schemas.openxmlformats.org/spreadsheetml/2006/main" count="120" uniqueCount="30">
  <si>
    <t>Sample</t>
  </si>
  <si>
    <t>123L</t>
  </si>
  <si>
    <t>123N</t>
  </si>
  <si>
    <t>123R</t>
  </si>
  <si>
    <t>124L</t>
  </si>
  <si>
    <t>124N</t>
  </si>
  <si>
    <t>125B</t>
  </si>
  <si>
    <t>125L</t>
  </si>
  <si>
    <t>126L</t>
  </si>
  <si>
    <t>126N</t>
  </si>
  <si>
    <t>130R</t>
  </si>
  <si>
    <t>131L</t>
  </si>
  <si>
    <t>131N</t>
  </si>
  <si>
    <t>132L</t>
  </si>
  <si>
    <t>133L</t>
  </si>
  <si>
    <t>133N</t>
  </si>
  <si>
    <t>TRF</t>
  </si>
  <si>
    <t>AD LIB</t>
  </si>
  <si>
    <t>130N</t>
  </si>
  <si>
    <t>Total</t>
  </si>
  <si>
    <t>lesion</t>
  </si>
  <si>
    <t>%</t>
  </si>
  <si>
    <t>Average</t>
  </si>
  <si>
    <t>STDEV</t>
  </si>
  <si>
    <t>SEM</t>
  </si>
  <si>
    <t>Aorta</t>
  </si>
  <si>
    <t>Aortic arches</t>
  </si>
  <si>
    <t>PAs</t>
  </si>
  <si>
    <t>AD LIB/TRF</t>
  </si>
  <si>
    <t>TTEST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</si>
</sst>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1" xfId="0" applyBorder="1"/>
    <xf numFmtId="0" fontId="1" fillId="0" borderId="4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workbookViewId="0">
      <selection activeCell="J1" sqref="A1:J1"/>
    </sheetView>
  </sheetViews>
  <sheetFormatPr defaultRowHeight="14.25" x14ac:dyDescent="0.45"/>
  <cols>
    <col min="1" max="1" width="11.33203125" style="1" bestFit="1" customWidth="1"/>
    <col min="2" max="8" width="9.06640625" style="1"/>
    <col min="9" max="9" width="11.73046875" bestFit="1" customWidth="1"/>
  </cols>
  <sheetData>
    <row r="1" spans="1:10" ht="14.65" thickBot="1" x14ac:dyDescent="0.5">
      <c r="A1" s="3" t="s">
        <v>25</v>
      </c>
      <c r="B1" s="4" t="s">
        <v>0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  <c r="H1" s="4" t="s">
        <v>24</v>
      </c>
      <c r="I1" s="15" t="s">
        <v>28</v>
      </c>
      <c r="J1" s="16" t="s">
        <v>29</v>
      </c>
    </row>
    <row r="2" spans="1:10" x14ac:dyDescent="0.45">
      <c r="A2" s="11" t="s">
        <v>16</v>
      </c>
      <c r="B2" s="5" t="s">
        <v>1</v>
      </c>
      <c r="C2" s="5">
        <v>3.0529999999999999</v>
      </c>
      <c r="D2" s="5">
        <v>1.6559999999999999</v>
      </c>
      <c r="E2" s="6">
        <f>(D2/C2)*100</f>
        <v>54.241729446446115</v>
      </c>
      <c r="F2" s="5">
        <f>AVERAGE(E2:E6)</f>
        <v>60.101117088190541</v>
      </c>
      <c r="G2" s="5">
        <f>STDEV(E2:E6)</f>
        <v>9.5194497782573375</v>
      </c>
      <c r="H2" s="5">
        <f>G2/SQRT(5)</f>
        <v>4.2572273625157413</v>
      </c>
      <c r="I2" s="17">
        <f>F7/F2</f>
        <v>0.95806717613095249</v>
      </c>
      <c r="J2" s="18">
        <f>TTEST(E2:E6,E7:E10,2,2)</f>
        <v>0.70719914449528831</v>
      </c>
    </row>
    <row r="3" spans="1:10" x14ac:dyDescent="0.45">
      <c r="A3" s="12"/>
      <c r="B3" s="2" t="s">
        <v>2</v>
      </c>
      <c r="C3" s="2">
        <v>3.1059999999999999</v>
      </c>
      <c r="D3" s="2">
        <v>1.518</v>
      </c>
      <c r="E3" s="7">
        <f t="shared" ref="E3:E10" si="0">(D3/C3)*100</f>
        <v>48.87314874436575</v>
      </c>
      <c r="F3" s="2"/>
      <c r="G3" s="2"/>
      <c r="H3" s="2"/>
      <c r="I3" s="14"/>
      <c r="J3" s="19"/>
    </row>
    <row r="4" spans="1:10" x14ac:dyDescent="0.45">
      <c r="A4" s="12"/>
      <c r="B4" s="2" t="s">
        <v>3</v>
      </c>
      <c r="C4" s="2">
        <v>3.3439999999999999</v>
      </c>
      <c r="D4" s="2">
        <v>1.9239999999999999</v>
      </c>
      <c r="E4" s="7">
        <f t="shared" si="0"/>
        <v>57.535885167464116</v>
      </c>
      <c r="F4" s="2"/>
      <c r="G4" s="2"/>
      <c r="H4" s="2"/>
      <c r="I4" s="14"/>
      <c r="J4" s="19"/>
    </row>
    <row r="5" spans="1:10" x14ac:dyDescent="0.45">
      <c r="A5" s="12"/>
      <c r="B5" s="2" t="s">
        <v>4</v>
      </c>
      <c r="C5" s="2">
        <v>3.9510000000000001</v>
      </c>
      <c r="D5" s="2">
        <v>2.806</v>
      </c>
      <c r="E5" s="7">
        <f t="shared" si="0"/>
        <v>71.01999493799039</v>
      </c>
      <c r="F5" s="2"/>
      <c r="G5" s="2"/>
      <c r="H5" s="2"/>
      <c r="I5" s="14"/>
      <c r="J5" s="19"/>
    </row>
    <row r="6" spans="1:10" ht="14.65" thickBot="1" x14ac:dyDescent="0.5">
      <c r="A6" s="13"/>
      <c r="B6" s="8" t="s">
        <v>5</v>
      </c>
      <c r="C6" s="8">
        <v>3.9049999999999998</v>
      </c>
      <c r="D6" s="8">
        <v>2.6880000000000002</v>
      </c>
      <c r="E6" s="9">
        <f t="shared" si="0"/>
        <v>68.834827144686301</v>
      </c>
      <c r="F6" s="8"/>
      <c r="G6" s="8"/>
      <c r="H6" s="8"/>
      <c r="I6" s="20"/>
      <c r="J6" s="21"/>
    </row>
    <row r="7" spans="1:10" x14ac:dyDescent="0.45">
      <c r="A7" s="11" t="s">
        <v>17</v>
      </c>
      <c r="B7" s="5" t="s">
        <v>6</v>
      </c>
      <c r="C7" s="5">
        <v>3.0369999999999999</v>
      </c>
      <c r="D7" s="5">
        <v>1.5389999999999999</v>
      </c>
      <c r="E7" s="6">
        <f t="shared" si="0"/>
        <v>50.675008231807709</v>
      </c>
      <c r="F7" s="5">
        <f>AVERAGE(E7:E10)</f>
        <v>57.580907530998445</v>
      </c>
      <c r="G7" s="5">
        <f>STDEV(E7:E10)</f>
        <v>9.7077379162672042</v>
      </c>
      <c r="H7" s="5">
        <f>G7/2</f>
        <v>4.8538689581336021</v>
      </c>
      <c r="I7" s="17"/>
      <c r="J7" s="18"/>
    </row>
    <row r="8" spans="1:10" x14ac:dyDescent="0.45">
      <c r="A8" s="12"/>
      <c r="B8" s="2" t="s">
        <v>7</v>
      </c>
      <c r="C8" s="2">
        <v>3.0819999999999999</v>
      </c>
      <c r="D8" s="2">
        <v>2.1629999999999998</v>
      </c>
      <c r="E8" s="7">
        <f t="shared" si="0"/>
        <v>70.181700194678768</v>
      </c>
      <c r="F8" s="2"/>
      <c r="G8" s="2"/>
      <c r="H8" s="2"/>
      <c r="I8" s="14"/>
      <c r="J8" s="19"/>
    </row>
    <row r="9" spans="1:10" x14ac:dyDescent="0.45">
      <c r="A9" s="12"/>
      <c r="B9" s="2" t="s">
        <v>8</v>
      </c>
      <c r="C9" s="2">
        <v>3.016</v>
      </c>
      <c r="D9" s="2">
        <v>1.8160000000000001</v>
      </c>
      <c r="E9" s="7">
        <f t="shared" si="0"/>
        <v>60.212201591511935</v>
      </c>
      <c r="F9" s="2"/>
      <c r="G9" s="2"/>
      <c r="H9" s="2"/>
      <c r="I9" s="14"/>
      <c r="J9" s="19"/>
    </row>
    <row r="10" spans="1:10" ht="14.65" thickBot="1" x14ac:dyDescent="0.5">
      <c r="A10" s="13"/>
      <c r="B10" s="8" t="s">
        <v>9</v>
      </c>
      <c r="C10" s="8">
        <v>3.0190000000000001</v>
      </c>
      <c r="D10" s="8">
        <v>1.4870000000000001</v>
      </c>
      <c r="E10" s="9">
        <f t="shared" si="0"/>
        <v>49.254720105995361</v>
      </c>
      <c r="F10" s="8"/>
      <c r="G10" s="8"/>
      <c r="H10" s="8"/>
      <c r="I10" s="20"/>
      <c r="J10" s="21"/>
    </row>
    <row r="11" spans="1:10" ht="14.65" thickBot="1" x14ac:dyDescent="0.5">
      <c r="A11" s="10"/>
      <c r="B11" s="10"/>
      <c r="C11" s="10"/>
      <c r="D11" s="10"/>
      <c r="E11" s="10"/>
      <c r="F11" s="10"/>
      <c r="G11" s="10"/>
      <c r="H11" s="10"/>
    </row>
    <row r="12" spans="1:10" ht="14.65" thickBot="1" x14ac:dyDescent="0.5">
      <c r="A12" s="3" t="s">
        <v>26</v>
      </c>
      <c r="B12" s="4" t="s">
        <v>0</v>
      </c>
      <c r="C12" s="4" t="s">
        <v>19</v>
      </c>
      <c r="D12" s="4" t="s">
        <v>20</v>
      </c>
      <c r="E12" s="4" t="s">
        <v>21</v>
      </c>
      <c r="F12" s="4" t="s">
        <v>22</v>
      </c>
      <c r="G12" s="4" t="s">
        <v>23</v>
      </c>
      <c r="H12" s="4" t="s">
        <v>24</v>
      </c>
      <c r="I12" s="15" t="s">
        <v>28</v>
      </c>
      <c r="J12" s="16" t="s">
        <v>29</v>
      </c>
    </row>
    <row r="13" spans="1:10" x14ac:dyDescent="0.45">
      <c r="A13" s="11" t="s">
        <v>16</v>
      </c>
      <c r="B13" s="5" t="s">
        <v>1</v>
      </c>
      <c r="C13" s="5">
        <v>0.78800000000000003</v>
      </c>
      <c r="D13" s="5">
        <v>0.49399999999999999</v>
      </c>
      <c r="E13" s="6">
        <f>(D13/C13)*100</f>
        <v>62.690355329949234</v>
      </c>
      <c r="F13" s="5">
        <f>AVERAGE(E13:E17)</f>
        <v>64.154373740254471</v>
      </c>
      <c r="G13" s="5">
        <f>STDEV(E13:E17)</f>
        <v>5.9924005388168835</v>
      </c>
      <c r="H13" s="5">
        <f>G13/SQRT(5)</f>
        <v>2.6798829906401838</v>
      </c>
      <c r="I13" s="17">
        <f>F18/F13</f>
        <v>1.0598893389188435</v>
      </c>
      <c r="J13" s="18">
        <f>TTEST(E13:E17,E18:E21,2,2)</f>
        <v>0.37323726201401475</v>
      </c>
    </row>
    <row r="14" spans="1:10" x14ac:dyDescent="0.45">
      <c r="A14" s="12"/>
      <c r="B14" s="2" t="s">
        <v>2</v>
      </c>
      <c r="C14" s="2">
        <v>0.69599999999999995</v>
      </c>
      <c r="D14" s="2">
        <v>0.39700000000000002</v>
      </c>
      <c r="E14" s="7">
        <f t="shared" ref="E14:E21" si="1">(D14/C14)*100</f>
        <v>57.040229885057478</v>
      </c>
      <c r="F14" s="2"/>
      <c r="G14" s="2"/>
      <c r="H14" s="2"/>
      <c r="I14" s="14"/>
      <c r="J14" s="19"/>
    </row>
    <row r="15" spans="1:10" x14ac:dyDescent="0.45">
      <c r="A15" s="12"/>
      <c r="B15" s="2" t="s">
        <v>3</v>
      </c>
      <c r="C15" s="2">
        <v>0.78200000000000003</v>
      </c>
      <c r="D15" s="2">
        <v>0.47299999999999998</v>
      </c>
      <c r="E15" s="7">
        <f t="shared" si="1"/>
        <v>60.485933503836307</v>
      </c>
      <c r="F15" s="2"/>
      <c r="G15" s="2"/>
      <c r="H15" s="2"/>
      <c r="I15" s="14"/>
      <c r="J15" s="19"/>
    </row>
    <row r="16" spans="1:10" x14ac:dyDescent="0.45">
      <c r="A16" s="12"/>
      <c r="B16" s="2" t="s">
        <v>4</v>
      </c>
      <c r="C16" s="2">
        <v>0.89800000000000002</v>
      </c>
      <c r="D16" s="2">
        <v>0.64100000000000001</v>
      </c>
      <c r="E16" s="7">
        <f t="shared" si="1"/>
        <v>71.380846325167042</v>
      </c>
      <c r="F16" s="2"/>
      <c r="G16" s="2"/>
      <c r="H16" s="2"/>
      <c r="I16" s="14"/>
      <c r="J16" s="19"/>
    </row>
    <row r="17" spans="1:10" ht="14.65" thickBot="1" x14ac:dyDescent="0.5">
      <c r="A17" s="13"/>
      <c r="B17" s="8" t="s">
        <v>5</v>
      </c>
      <c r="C17" s="8">
        <v>0.95699999999999996</v>
      </c>
      <c r="D17" s="8">
        <v>0.66200000000000003</v>
      </c>
      <c r="E17" s="9">
        <f t="shared" si="1"/>
        <v>69.174503657262292</v>
      </c>
      <c r="F17" s="8"/>
      <c r="G17" s="8"/>
      <c r="H17" s="8"/>
      <c r="I17" s="20"/>
      <c r="J17" s="21"/>
    </row>
    <row r="18" spans="1:10" x14ac:dyDescent="0.45">
      <c r="A18" s="11" t="s">
        <v>17</v>
      </c>
      <c r="B18" s="5" t="s">
        <v>6</v>
      </c>
      <c r="C18" s="5">
        <v>0.73799999999999999</v>
      </c>
      <c r="D18" s="5">
        <v>0.49</v>
      </c>
      <c r="E18" s="6">
        <f t="shared" si="1"/>
        <v>66.395663956639567</v>
      </c>
      <c r="F18" s="5">
        <f>AVERAGE(E18:E21)</f>
        <v>67.996536772310719</v>
      </c>
      <c r="G18" s="5">
        <f>STDEV(E18:E21)</f>
        <v>6.0615714799835896</v>
      </c>
      <c r="H18" s="5">
        <f>G18/2</f>
        <v>3.0307857399917948</v>
      </c>
      <c r="I18" s="17"/>
      <c r="J18" s="18"/>
    </row>
    <row r="19" spans="1:10" x14ac:dyDescent="0.45">
      <c r="A19" s="12"/>
      <c r="B19" s="2" t="s">
        <v>7</v>
      </c>
      <c r="C19" s="2">
        <v>0.70599999999999996</v>
      </c>
      <c r="D19" s="2">
        <v>0.46300000000000002</v>
      </c>
      <c r="E19" s="7">
        <f t="shared" si="1"/>
        <v>65.580736543909353</v>
      </c>
      <c r="F19" s="2"/>
      <c r="G19" s="2"/>
      <c r="H19" s="2"/>
      <c r="I19" s="14"/>
      <c r="J19" s="19"/>
    </row>
    <row r="20" spans="1:10" x14ac:dyDescent="0.45">
      <c r="A20" s="12"/>
      <c r="B20" s="2" t="s">
        <v>8</v>
      </c>
      <c r="C20" s="2">
        <v>0.75600000000000001</v>
      </c>
      <c r="D20" s="2">
        <v>0.58099999999999996</v>
      </c>
      <c r="E20" s="7">
        <f t="shared" si="1"/>
        <v>76.851851851851848</v>
      </c>
      <c r="F20" s="2"/>
      <c r="G20" s="2"/>
      <c r="H20" s="2"/>
      <c r="I20" s="14"/>
      <c r="J20" s="19"/>
    </row>
    <row r="21" spans="1:10" ht="14.65" thickBot="1" x14ac:dyDescent="0.5">
      <c r="A21" s="13"/>
      <c r="B21" s="8" t="s">
        <v>9</v>
      </c>
      <c r="C21" s="8">
        <v>0.76</v>
      </c>
      <c r="D21" s="8">
        <v>0.48</v>
      </c>
      <c r="E21" s="9">
        <f t="shared" si="1"/>
        <v>63.157894736842103</v>
      </c>
      <c r="F21" s="8"/>
      <c r="G21" s="8"/>
      <c r="H21" s="8"/>
      <c r="I21" s="20"/>
      <c r="J21" s="21"/>
    </row>
    <row r="22" spans="1:10" ht="14.65" thickBot="1" x14ac:dyDescent="0.5">
      <c r="A22" s="2"/>
      <c r="B22" s="2"/>
      <c r="C22" s="2"/>
      <c r="D22" s="2"/>
      <c r="E22" s="2"/>
      <c r="F22" s="2"/>
      <c r="G22" s="2"/>
      <c r="H22" s="2"/>
    </row>
    <row r="23" spans="1:10" ht="14.65" thickBot="1" x14ac:dyDescent="0.5">
      <c r="A23" s="3" t="s">
        <v>27</v>
      </c>
      <c r="B23" s="4" t="s">
        <v>0</v>
      </c>
      <c r="C23" s="4" t="s">
        <v>19</v>
      </c>
      <c r="D23" s="4" t="s">
        <v>20</v>
      </c>
      <c r="E23" s="4" t="s">
        <v>21</v>
      </c>
      <c r="F23" s="4" t="s">
        <v>22</v>
      </c>
      <c r="G23" s="4" t="s">
        <v>23</v>
      </c>
      <c r="H23" s="4" t="s">
        <v>24</v>
      </c>
      <c r="I23" s="15" t="s">
        <v>28</v>
      </c>
      <c r="J23" s="16" t="s">
        <v>29</v>
      </c>
    </row>
    <row r="24" spans="1:10" x14ac:dyDescent="0.45">
      <c r="A24" s="11" t="s">
        <v>16</v>
      </c>
      <c r="B24" s="5" t="s">
        <v>1</v>
      </c>
      <c r="C24" s="5">
        <v>0.59499999999999997</v>
      </c>
      <c r="D24" s="5">
        <v>0.45400000000000001</v>
      </c>
      <c r="E24" s="6">
        <f>(D24/C24)*100</f>
        <v>76.302521008403374</v>
      </c>
      <c r="F24" s="5">
        <f>AVERAGE(E24:E28)</f>
        <v>62.088540539398437</v>
      </c>
      <c r="G24" s="5">
        <f>STDEV(E24:E28)</f>
        <v>11.91805765520073</v>
      </c>
      <c r="H24" s="5">
        <f>G24/SQRT(5)</f>
        <v>5.3299174153581159</v>
      </c>
      <c r="I24" s="17">
        <f>F29/F24</f>
        <v>0.76437043997797971</v>
      </c>
      <c r="J24" s="18">
        <f>TTEST(E24:E28,E29:E32,2,2)</f>
        <v>9.5889448761490442E-2</v>
      </c>
    </row>
    <row r="25" spans="1:10" x14ac:dyDescent="0.45">
      <c r="A25" s="12"/>
      <c r="B25" s="2" t="s">
        <v>2</v>
      </c>
      <c r="C25" s="2">
        <v>0.96599999999999997</v>
      </c>
      <c r="D25" s="2">
        <v>0.56899999999999995</v>
      </c>
      <c r="E25" s="7">
        <f t="shared" ref="E25:E32" si="2">(D25/C25)*100</f>
        <v>58.902691511387161</v>
      </c>
      <c r="F25" s="2"/>
      <c r="G25" s="2"/>
      <c r="H25" s="2"/>
      <c r="I25" s="14"/>
      <c r="J25" s="19"/>
    </row>
    <row r="26" spans="1:10" x14ac:dyDescent="0.45">
      <c r="A26" s="12"/>
      <c r="B26" s="2" t="s">
        <v>3</v>
      </c>
      <c r="C26" s="2">
        <v>0.85799999999999998</v>
      </c>
      <c r="D26" s="2">
        <v>0.43099999999999999</v>
      </c>
      <c r="E26" s="7">
        <f t="shared" si="2"/>
        <v>50.233100233100238</v>
      </c>
      <c r="F26" s="2"/>
      <c r="G26" s="2"/>
      <c r="H26" s="2"/>
      <c r="I26" s="14"/>
      <c r="J26" s="19"/>
    </row>
    <row r="27" spans="1:10" x14ac:dyDescent="0.45">
      <c r="A27" s="12"/>
      <c r="B27" s="2" t="s">
        <v>4</v>
      </c>
      <c r="C27" s="2">
        <v>0.94</v>
      </c>
      <c r="D27" s="2">
        <v>0.68500000000000005</v>
      </c>
      <c r="E27" s="7">
        <f t="shared" si="2"/>
        <v>72.872340425531917</v>
      </c>
      <c r="F27" s="2"/>
      <c r="G27" s="2"/>
      <c r="H27" s="2"/>
      <c r="I27" s="14"/>
      <c r="J27" s="19"/>
    </row>
    <row r="28" spans="1:10" ht="14.65" thickBot="1" x14ac:dyDescent="0.5">
      <c r="A28" s="13"/>
      <c r="B28" s="8" t="s">
        <v>5</v>
      </c>
      <c r="C28" s="8">
        <v>0.72699999999999998</v>
      </c>
      <c r="D28" s="8">
        <v>0.379</v>
      </c>
      <c r="E28" s="9">
        <f t="shared" si="2"/>
        <v>52.132049518569467</v>
      </c>
      <c r="F28" s="8"/>
      <c r="G28" s="8"/>
      <c r="H28" s="8"/>
      <c r="I28" s="20"/>
      <c r="J28" s="21"/>
    </row>
    <row r="29" spans="1:10" x14ac:dyDescent="0.45">
      <c r="A29" s="11" t="s">
        <v>17</v>
      </c>
      <c r="B29" s="5" t="s">
        <v>6</v>
      </c>
      <c r="C29" s="5">
        <v>0.59599999999999997</v>
      </c>
      <c r="D29" s="5">
        <v>0.22900000000000001</v>
      </c>
      <c r="E29" s="6">
        <f t="shared" si="2"/>
        <v>38.422818791946312</v>
      </c>
      <c r="F29" s="5">
        <f>AVERAGE(E29:E32)</f>
        <v>47.45864504969061</v>
      </c>
      <c r="G29" s="5">
        <f>STDEV(E29:E32)</f>
        <v>10.52108512717863</v>
      </c>
      <c r="H29" s="5">
        <f>G29/2</f>
        <v>5.2605425635893148</v>
      </c>
      <c r="I29" s="17"/>
      <c r="J29" s="18"/>
    </row>
    <row r="30" spans="1:10" x14ac:dyDescent="0.45">
      <c r="A30" s="12"/>
      <c r="B30" s="2" t="s">
        <v>7</v>
      </c>
      <c r="C30" s="2">
        <v>0.73899999999999999</v>
      </c>
      <c r="D30" s="2">
        <v>0.45800000000000002</v>
      </c>
      <c r="E30" s="7">
        <f t="shared" si="2"/>
        <v>61.975642760487148</v>
      </c>
      <c r="F30" s="2"/>
      <c r="G30" s="2"/>
      <c r="H30" s="2"/>
      <c r="I30" s="14"/>
      <c r="J30" s="19"/>
    </row>
    <row r="31" spans="1:10" x14ac:dyDescent="0.45">
      <c r="A31" s="12"/>
      <c r="B31" s="2" t="s">
        <v>8</v>
      </c>
      <c r="C31" s="2">
        <v>0.67800000000000005</v>
      </c>
      <c r="D31" s="2">
        <v>0.32700000000000001</v>
      </c>
      <c r="E31" s="7">
        <f t="shared" si="2"/>
        <v>48.230088495575217</v>
      </c>
      <c r="F31" s="2"/>
      <c r="G31" s="2"/>
      <c r="H31" s="2"/>
      <c r="I31" s="14"/>
      <c r="J31" s="19"/>
    </row>
    <row r="32" spans="1:10" ht="14.65" thickBot="1" x14ac:dyDescent="0.5">
      <c r="A32" s="13"/>
      <c r="B32" s="8" t="s">
        <v>9</v>
      </c>
      <c r="C32" s="8">
        <v>0.59699999999999998</v>
      </c>
      <c r="D32" s="8">
        <v>0.246</v>
      </c>
      <c r="E32" s="9">
        <f t="shared" si="2"/>
        <v>41.206030150753769</v>
      </c>
      <c r="F32" s="8"/>
      <c r="G32" s="8"/>
      <c r="H32" s="8"/>
      <c r="I32" s="20"/>
      <c r="J32" s="21"/>
    </row>
  </sheetData>
  <mergeCells count="6">
    <mergeCell ref="A29:A32"/>
    <mergeCell ref="A2:A6"/>
    <mergeCell ref="A7:A10"/>
    <mergeCell ref="A13:A17"/>
    <mergeCell ref="A18:A21"/>
    <mergeCell ref="A24:A2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tabSelected="1" workbookViewId="0">
      <selection activeCell="A19" sqref="A19:J26"/>
    </sheetView>
  </sheetViews>
  <sheetFormatPr defaultRowHeight="14.25" x14ac:dyDescent="0.45"/>
  <cols>
    <col min="1" max="1" width="11.33203125" style="1" bestFit="1" customWidth="1"/>
    <col min="2" max="2" width="6.73046875" style="1" bestFit="1" customWidth="1"/>
    <col min="3" max="4" width="5.73046875" style="1" bestFit="1" customWidth="1"/>
    <col min="5" max="8" width="11.73046875" style="1" bestFit="1" customWidth="1"/>
    <col min="9" max="10" width="11.73046875" bestFit="1" customWidth="1"/>
  </cols>
  <sheetData>
    <row r="1" spans="1:10" ht="14.65" thickBot="1" x14ac:dyDescent="0.5">
      <c r="A1" s="3" t="s">
        <v>25</v>
      </c>
      <c r="B1" s="4" t="s">
        <v>0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  <c r="H1" s="4" t="s">
        <v>24</v>
      </c>
      <c r="I1" s="15" t="s">
        <v>28</v>
      </c>
      <c r="J1" s="16" t="s">
        <v>29</v>
      </c>
    </row>
    <row r="2" spans="1:10" x14ac:dyDescent="0.45">
      <c r="A2" s="11" t="s">
        <v>16</v>
      </c>
      <c r="B2" s="5" t="s">
        <v>18</v>
      </c>
      <c r="C2" s="5">
        <v>3.2410000000000001</v>
      </c>
      <c r="D2" s="5">
        <v>1.37</v>
      </c>
      <c r="E2" s="6">
        <f>(D2/C2)*100</f>
        <v>42.270904041962361</v>
      </c>
      <c r="F2" s="5">
        <f>AVERAGE(E2:E5)</f>
        <v>39.547477266931146</v>
      </c>
      <c r="G2" s="5">
        <f>STDEV(E2:E5)</f>
        <v>7.2969215127536105</v>
      </c>
      <c r="H2" s="5">
        <f>G2/SQRT(4)</f>
        <v>3.6484607563768052</v>
      </c>
      <c r="I2" s="17">
        <f>F6/F2</f>
        <v>1.7631080315315986</v>
      </c>
      <c r="J2" s="18">
        <f>TTEST(E2:E5,E6:E8,2,2)</f>
        <v>3.9634865379722592E-2</v>
      </c>
    </row>
    <row r="3" spans="1:10" x14ac:dyDescent="0.45">
      <c r="A3" s="12"/>
      <c r="B3" s="2" t="s">
        <v>10</v>
      </c>
      <c r="C3" s="2">
        <v>3.5819999999999999</v>
      </c>
      <c r="D3" s="2">
        <v>1.6990000000000001</v>
      </c>
      <c r="E3" s="7">
        <f>(D3/C3)*100</f>
        <v>47.431602456728086</v>
      </c>
      <c r="F3" s="2"/>
      <c r="G3" s="2"/>
      <c r="H3" s="2"/>
      <c r="I3" s="14"/>
      <c r="J3" s="19"/>
    </row>
    <row r="4" spans="1:10" x14ac:dyDescent="0.45">
      <c r="A4" s="12"/>
      <c r="B4" s="2" t="s">
        <v>11</v>
      </c>
      <c r="C4" s="2">
        <v>3.355</v>
      </c>
      <c r="D4" s="2">
        <v>1.2869999999999999</v>
      </c>
      <c r="E4" s="7">
        <f>(D4/C4)*100</f>
        <v>38.360655737704917</v>
      </c>
      <c r="F4" s="2"/>
      <c r="G4" s="2"/>
      <c r="H4" s="2"/>
      <c r="I4" s="14"/>
      <c r="J4" s="19"/>
    </row>
    <row r="5" spans="1:10" ht="14.65" thickBot="1" x14ac:dyDescent="0.5">
      <c r="A5" s="13"/>
      <c r="B5" s="8" t="s">
        <v>12</v>
      </c>
      <c r="C5" s="8">
        <v>3.077</v>
      </c>
      <c r="D5" s="8">
        <v>0.92700000000000005</v>
      </c>
      <c r="E5" s="9">
        <f t="shared" ref="E5:E8" si="0">(D5/C5)*100</f>
        <v>30.126746831329221</v>
      </c>
      <c r="F5" s="8"/>
      <c r="G5" s="8"/>
      <c r="H5" s="8"/>
      <c r="I5" s="20"/>
      <c r="J5" s="21"/>
    </row>
    <row r="6" spans="1:10" x14ac:dyDescent="0.45">
      <c r="A6" s="11" t="s">
        <v>17</v>
      </c>
      <c r="B6" s="5" t="s">
        <v>13</v>
      </c>
      <c r="C6" s="5">
        <v>3.33</v>
      </c>
      <c r="D6" s="5">
        <v>1.5449999999999999</v>
      </c>
      <c r="E6" s="6">
        <f t="shared" si="0"/>
        <v>46.396396396396398</v>
      </c>
      <c r="F6" s="5">
        <f>AVERAGE(E6:E8)</f>
        <v>69.726474796139613</v>
      </c>
      <c r="G6" s="5">
        <f>STDEV(E6:E8)</f>
        <v>20.759764830191127</v>
      </c>
      <c r="H6" s="5">
        <f>G6/SQRT(3)</f>
        <v>11.985655813024174</v>
      </c>
      <c r="I6" s="17"/>
      <c r="J6" s="18"/>
    </row>
    <row r="7" spans="1:10" x14ac:dyDescent="0.45">
      <c r="A7" s="12"/>
      <c r="B7" s="2" t="s">
        <v>14</v>
      </c>
      <c r="C7" s="2">
        <v>4.0609999999999999</v>
      </c>
      <c r="D7" s="2">
        <v>3.4990000000000001</v>
      </c>
      <c r="E7" s="7">
        <f t="shared" si="0"/>
        <v>86.161044077813358</v>
      </c>
      <c r="F7" s="2"/>
      <c r="G7" s="2"/>
      <c r="H7" s="2"/>
      <c r="I7" s="14"/>
      <c r="J7" s="19"/>
    </row>
    <row r="8" spans="1:10" ht="14.65" thickBot="1" x14ac:dyDescent="0.5">
      <c r="A8" s="13"/>
      <c r="B8" s="8" t="s">
        <v>15</v>
      </c>
      <c r="C8" s="8">
        <v>3.73</v>
      </c>
      <c r="D8" s="8">
        <v>2.8580000000000001</v>
      </c>
      <c r="E8" s="9">
        <f t="shared" si="0"/>
        <v>76.62198391420911</v>
      </c>
      <c r="F8" s="8"/>
      <c r="G8" s="8"/>
      <c r="H8" s="8"/>
      <c r="I8" s="20"/>
      <c r="J8" s="21"/>
    </row>
    <row r="9" spans="1:10" ht="14.65" thickBot="1" x14ac:dyDescent="0.5"/>
    <row r="10" spans="1:10" ht="14.65" thickBot="1" x14ac:dyDescent="0.5">
      <c r="A10" s="3" t="s">
        <v>26</v>
      </c>
      <c r="B10" s="4" t="s">
        <v>0</v>
      </c>
      <c r="C10" s="4" t="s">
        <v>19</v>
      </c>
      <c r="D10" s="4" t="s">
        <v>20</v>
      </c>
      <c r="E10" s="4" t="s">
        <v>21</v>
      </c>
      <c r="F10" s="4" t="s">
        <v>22</v>
      </c>
      <c r="G10" s="4" t="s">
        <v>23</v>
      </c>
      <c r="H10" s="4" t="s">
        <v>24</v>
      </c>
      <c r="I10" s="15" t="s">
        <v>28</v>
      </c>
      <c r="J10" s="16" t="s">
        <v>29</v>
      </c>
    </row>
    <row r="11" spans="1:10" x14ac:dyDescent="0.45">
      <c r="A11" s="11" t="s">
        <v>16</v>
      </c>
      <c r="B11" s="5" t="s">
        <v>18</v>
      </c>
      <c r="C11" s="5">
        <v>0.80300000000000005</v>
      </c>
      <c r="D11" s="5">
        <v>0.52400000000000002</v>
      </c>
      <c r="E11" s="6">
        <f>(D11/C11)*100</f>
        <v>65.255292652552924</v>
      </c>
      <c r="F11" s="5">
        <f>AVERAGE(E11:E14)</f>
        <v>62.967141588211277</v>
      </c>
      <c r="G11" s="5">
        <f>STDEV(E11:E14)</f>
        <v>4.5474966502646055</v>
      </c>
      <c r="H11" s="5">
        <f>G11/SQRT(4)</f>
        <v>2.2737483251323027</v>
      </c>
      <c r="I11" s="17">
        <f>F15/F11</f>
        <v>1.2353151612980238</v>
      </c>
      <c r="J11" s="18">
        <f>TTEST(E11:E14,E15:E17,2,2)</f>
        <v>1.1626974009683058E-2</v>
      </c>
    </row>
    <row r="12" spans="1:10" x14ac:dyDescent="0.45">
      <c r="A12" s="12"/>
      <c r="B12" s="2" t="s">
        <v>10</v>
      </c>
      <c r="C12" s="2">
        <v>1.038</v>
      </c>
      <c r="D12" s="2">
        <v>0.69899999999999995</v>
      </c>
      <c r="E12" s="7">
        <f>(D12/C12)*100</f>
        <v>67.341040462427742</v>
      </c>
      <c r="F12" s="2"/>
      <c r="G12" s="2"/>
      <c r="H12" s="2"/>
      <c r="I12" s="14"/>
      <c r="J12" s="19"/>
    </row>
    <row r="13" spans="1:10" x14ac:dyDescent="0.45">
      <c r="A13" s="12"/>
      <c r="B13" s="2" t="s">
        <v>11</v>
      </c>
      <c r="C13" s="2">
        <v>0.91800000000000004</v>
      </c>
      <c r="D13" s="2">
        <v>0.57299999999999995</v>
      </c>
      <c r="E13" s="7">
        <f>(D13/C13)*100</f>
        <v>62.418300653594763</v>
      </c>
      <c r="F13" s="2"/>
      <c r="G13" s="2"/>
      <c r="H13" s="2"/>
      <c r="I13" s="14"/>
      <c r="J13" s="19"/>
    </row>
    <row r="14" spans="1:10" ht="14.65" thickBot="1" x14ac:dyDescent="0.5">
      <c r="A14" s="13"/>
      <c r="B14" s="8" t="s">
        <v>12</v>
      </c>
      <c r="C14" s="8">
        <v>0.89</v>
      </c>
      <c r="D14" s="8">
        <v>0.50600000000000001</v>
      </c>
      <c r="E14" s="9">
        <f t="shared" ref="E14:E17" si="1">(D14/C14)*100</f>
        <v>56.853932584269664</v>
      </c>
      <c r="F14" s="8"/>
      <c r="G14" s="8"/>
      <c r="H14" s="8"/>
      <c r="I14" s="20"/>
      <c r="J14" s="21"/>
    </row>
    <row r="15" spans="1:10" x14ac:dyDescent="0.45">
      <c r="A15" s="11" t="s">
        <v>17</v>
      </c>
      <c r="B15" s="5" t="s">
        <v>13</v>
      </c>
      <c r="C15" s="5">
        <v>0.89</v>
      </c>
      <c r="D15" s="5">
        <v>0.69</v>
      </c>
      <c r="E15" s="6">
        <f t="shared" si="1"/>
        <v>77.528089887640434</v>
      </c>
      <c r="F15" s="5">
        <f>AVERAGE(E15:E17)</f>
        <v>77.784264667516709</v>
      </c>
      <c r="G15" s="5">
        <f>STDEV(E15:E17)</f>
        <v>5.6071901074914221</v>
      </c>
      <c r="H15" s="5">
        <f>G15/SQRT(3)</f>
        <v>3.2373127179575794</v>
      </c>
      <c r="I15" s="17"/>
      <c r="J15" s="18"/>
    </row>
    <row r="16" spans="1:10" x14ac:dyDescent="0.45">
      <c r="A16" s="12"/>
      <c r="B16" s="2" t="s">
        <v>14</v>
      </c>
      <c r="C16" s="2">
        <v>0.82499999999999996</v>
      </c>
      <c r="D16" s="2">
        <v>0.68899999999999995</v>
      </c>
      <c r="E16" s="7">
        <f t="shared" si="1"/>
        <v>83.515151515151516</v>
      </c>
      <c r="F16" s="2"/>
      <c r="G16" s="2"/>
      <c r="H16" s="2"/>
      <c r="I16" s="14"/>
      <c r="J16" s="19"/>
    </row>
    <row r="17" spans="1:10" ht="14.65" thickBot="1" x14ac:dyDescent="0.5">
      <c r="A17" s="13"/>
      <c r="B17" s="8" t="s">
        <v>15</v>
      </c>
      <c r="C17" s="8">
        <v>0.82699999999999996</v>
      </c>
      <c r="D17" s="8">
        <v>0.59799999999999998</v>
      </c>
      <c r="E17" s="9">
        <f t="shared" si="1"/>
        <v>72.309552599758163</v>
      </c>
      <c r="F17" s="8"/>
      <c r="G17" s="8"/>
      <c r="H17" s="8"/>
      <c r="I17" s="20"/>
      <c r="J17" s="21"/>
    </row>
    <row r="18" spans="1:10" ht="14.65" thickBot="1" x14ac:dyDescent="0.5"/>
    <row r="19" spans="1:10" ht="14.65" thickBot="1" x14ac:dyDescent="0.5">
      <c r="A19" s="3" t="s">
        <v>27</v>
      </c>
      <c r="B19" s="4" t="s">
        <v>0</v>
      </c>
      <c r="C19" s="4" t="s">
        <v>19</v>
      </c>
      <c r="D19" s="4" t="s">
        <v>20</v>
      </c>
      <c r="E19" s="4" t="s">
        <v>21</v>
      </c>
      <c r="F19" s="4" t="s">
        <v>22</v>
      </c>
      <c r="G19" s="4" t="s">
        <v>23</v>
      </c>
      <c r="H19" s="4" t="s">
        <v>24</v>
      </c>
      <c r="I19" s="15" t="s">
        <v>28</v>
      </c>
      <c r="J19" s="16" t="s">
        <v>29</v>
      </c>
    </row>
    <row r="20" spans="1:10" x14ac:dyDescent="0.45">
      <c r="A20" s="11" t="s">
        <v>16</v>
      </c>
      <c r="B20" s="5" t="s">
        <v>18</v>
      </c>
      <c r="C20" s="5">
        <v>0.67500000000000004</v>
      </c>
      <c r="D20" s="5">
        <v>0.30499999999999999</v>
      </c>
      <c r="E20" s="6">
        <f>(D20/C20)*100</f>
        <v>45.185185185185183</v>
      </c>
      <c r="F20" s="5">
        <f>AVERAGE(E20:E23)</f>
        <v>53.633204657948951</v>
      </c>
      <c r="G20" s="5">
        <f>STDEV(E20:E23)</f>
        <v>8.8472582259374004</v>
      </c>
      <c r="H20" s="5">
        <f>G20/SQRT(4)</f>
        <v>4.4236291129687002</v>
      </c>
      <c r="I20" s="17">
        <f>F24/F20</f>
        <v>1.2524247839856639</v>
      </c>
      <c r="J20" s="18">
        <f>TTEST(E20:E23,E24:E26,2,2)</f>
        <v>7.0069458154133207E-2</v>
      </c>
    </row>
    <row r="21" spans="1:10" x14ac:dyDescent="0.45">
      <c r="A21" s="12"/>
      <c r="B21" s="2" t="s">
        <v>10</v>
      </c>
      <c r="C21" s="2">
        <v>0.47799999999999998</v>
      </c>
      <c r="D21" s="2">
        <v>0.313</v>
      </c>
      <c r="E21" s="7">
        <f>(D21/C21)*100</f>
        <v>65.48117154811716</v>
      </c>
      <c r="F21" s="2"/>
      <c r="G21" s="2"/>
      <c r="H21" s="2"/>
      <c r="I21" s="14"/>
      <c r="J21" s="19"/>
    </row>
    <row r="22" spans="1:10" x14ac:dyDescent="0.45">
      <c r="A22" s="12"/>
      <c r="B22" s="2" t="s">
        <v>11</v>
      </c>
      <c r="C22" s="2">
        <v>0.63600000000000001</v>
      </c>
      <c r="D22" s="2">
        <v>0.34899999999999998</v>
      </c>
      <c r="E22" s="7">
        <f>(D22/C22)*100</f>
        <v>54.874213836477978</v>
      </c>
      <c r="F22" s="2"/>
      <c r="G22" s="2"/>
      <c r="H22" s="2"/>
      <c r="I22" s="14"/>
      <c r="J22" s="19"/>
    </row>
    <row r="23" spans="1:10" ht="14.65" thickBot="1" x14ac:dyDescent="0.5">
      <c r="A23" s="13"/>
      <c r="B23" s="8" t="s">
        <v>12</v>
      </c>
      <c r="C23" s="8">
        <v>0.64500000000000002</v>
      </c>
      <c r="D23" s="8">
        <v>0.316</v>
      </c>
      <c r="E23" s="9">
        <f t="shared" ref="E23:E26" si="2">(D23/C23)*100</f>
        <v>48.992248062015506</v>
      </c>
      <c r="F23" s="8"/>
      <c r="G23" s="8"/>
      <c r="H23" s="8"/>
      <c r="I23" s="20"/>
      <c r="J23" s="21"/>
    </row>
    <row r="24" spans="1:10" x14ac:dyDescent="0.45">
      <c r="A24" s="11" t="s">
        <v>17</v>
      </c>
      <c r="B24" s="5" t="s">
        <v>13</v>
      </c>
      <c r="C24" s="5">
        <v>0.66200000000000003</v>
      </c>
      <c r="D24" s="5">
        <v>0.42199999999999999</v>
      </c>
      <c r="E24" s="6">
        <f t="shared" si="2"/>
        <v>63.746223564954676</v>
      </c>
      <c r="F24" s="5">
        <f>AVERAGE(E24:E26)</f>
        <v>67.171554758190624</v>
      </c>
      <c r="G24" s="5">
        <f>STDEV(E24:E26)</f>
        <v>5.6142578604401754</v>
      </c>
      <c r="H24" s="5">
        <f>G24/SQRT(3)</f>
        <v>3.2413932870251077</v>
      </c>
      <c r="I24" s="17"/>
      <c r="J24" s="18"/>
    </row>
    <row r="25" spans="1:10" x14ac:dyDescent="0.45">
      <c r="A25" s="12"/>
      <c r="B25" s="2" t="s">
        <v>14</v>
      </c>
      <c r="C25" s="2">
        <v>0.85</v>
      </c>
      <c r="D25" s="2">
        <v>0.54500000000000004</v>
      </c>
      <c r="E25" s="7">
        <f t="shared" si="2"/>
        <v>64.117647058823536</v>
      </c>
      <c r="F25" s="2"/>
      <c r="G25" s="2"/>
      <c r="H25" s="2"/>
      <c r="I25" s="14"/>
      <c r="J25" s="19"/>
    </row>
    <row r="26" spans="1:10" ht="14.65" thickBot="1" x14ac:dyDescent="0.5">
      <c r="A26" s="13"/>
      <c r="B26" s="8" t="s">
        <v>15</v>
      </c>
      <c r="C26" s="8">
        <v>0.63</v>
      </c>
      <c r="D26" s="8">
        <v>0.46400000000000002</v>
      </c>
      <c r="E26" s="9">
        <f t="shared" si="2"/>
        <v>73.650793650793659</v>
      </c>
      <c r="F26" s="8"/>
      <c r="G26" s="8"/>
      <c r="H26" s="8"/>
      <c r="I26" s="20"/>
      <c r="J26" s="21"/>
    </row>
  </sheetData>
  <mergeCells count="6">
    <mergeCell ref="A24:A26"/>
    <mergeCell ref="A2:A5"/>
    <mergeCell ref="A6:A8"/>
    <mergeCell ref="A11:A14"/>
    <mergeCell ref="A15:A17"/>
    <mergeCell ref="A20:A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ApoE</vt:lpstr>
      <vt:lpstr>Ldlr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Orit Poulsen</dc:creator>
  <cp:lastModifiedBy>Orit Poulsen</cp:lastModifiedBy>
  <dcterms:created xsi:type="dcterms:W3CDTF">2019-02-27T22:15:18Z</dcterms:created>
  <dcterms:modified xsi:type="dcterms:W3CDTF">2019-02-27T23:25:49Z</dcterms:modified>
</cp:coreProperties>
</file>