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3"/>
  <workbookPr/>
  <mc:AlternateContent xmlns:mc="http://schemas.openxmlformats.org/markup-compatibility/2006">
    <mc:Choice Requires="x15">
      <x15ac:absPath xmlns:x15ac="http://schemas.microsoft.com/office/spreadsheetml/2010/11/ac" url="/Users/amyyu/Desktop/Athro Docs:Files/"/>
    </mc:Choice>
  </mc:AlternateContent>
  <xr:revisionPtr revIDLastSave="0" documentId="13_ncr:1_{585BF917-6642-B04A-923A-7EA88E68AFC2}" xr6:coauthVersionLast="40" xr6:coauthVersionMax="40" xr10:uidLastSave="{00000000-0000-0000-0000-000000000000}"/>
  <bookViews>
    <workbookView xWindow="9520" yWindow="460" windowWidth="23300" windowHeight="14600" activeTab="1" xr2:uid="{00000000-000D-0000-FFFF-FFFF00000000}"/>
  </bookViews>
  <sheets>
    <sheet name="ApoE" sheetId="1" r:id="rId1"/>
    <sheet name="Ldl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4" i="1" l="1"/>
  <c r="E28" i="1"/>
  <c r="E21" i="2" l="1"/>
  <c r="E26" i="2"/>
  <c r="E25" i="2"/>
  <c r="E24" i="2"/>
  <c r="E23" i="2"/>
  <c r="E22" i="2"/>
  <c r="E20" i="2"/>
  <c r="E17" i="2"/>
  <c r="E16" i="2"/>
  <c r="E15" i="2"/>
  <c r="E14" i="2"/>
  <c r="E13" i="2"/>
  <c r="E12" i="2"/>
  <c r="E11" i="2"/>
  <c r="E8" i="2"/>
  <c r="E7" i="2"/>
  <c r="E6" i="2"/>
  <c r="E5" i="2"/>
  <c r="E4" i="2"/>
  <c r="E3" i="2"/>
  <c r="E2" i="2"/>
  <c r="E25" i="1"/>
  <c r="G24" i="1" s="1"/>
  <c r="H24" i="1" s="1"/>
  <c r="E26" i="1"/>
  <c r="E27" i="1"/>
  <c r="E29" i="1"/>
  <c r="E30" i="1"/>
  <c r="E31" i="1"/>
  <c r="E32" i="1"/>
  <c r="E14" i="1"/>
  <c r="E15" i="1"/>
  <c r="E16" i="1"/>
  <c r="E17" i="1"/>
  <c r="E18" i="1"/>
  <c r="E19" i="1"/>
  <c r="E20" i="1"/>
  <c r="E21" i="1"/>
  <c r="E3" i="1"/>
  <c r="E4" i="1"/>
  <c r="E5" i="1"/>
  <c r="E6" i="1"/>
  <c r="E7" i="1"/>
  <c r="E8" i="1"/>
  <c r="E9" i="1"/>
  <c r="E10" i="1"/>
  <c r="E13" i="1"/>
  <c r="J13" i="1" s="1"/>
  <c r="E2" i="1"/>
  <c r="J2" i="1" s="1"/>
  <c r="F2" i="1" l="1"/>
  <c r="G18" i="1"/>
  <c r="H18" i="1" s="1"/>
  <c r="G2" i="1"/>
  <c r="H2" i="1" s="1"/>
  <c r="J20" i="2"/>
  <c r="J11" i="2"/>
  <c r="J2" i="2"/>
  <c r="F15" i="2"/>
  <c r="J24" i="1"/>
  <c r="G29" i="1"/>
  <c r="H29" i="1" s="1"/>
  <c r="G13" i="1"/>
  <c r="H13" i="1" s="1"/>
  <c r="G20" i="2"/>
  <c r="H20" i="2" s="1"/>
  <c r="F24" i="2"/>
  <c r="G15" i="2"/>
  <c r="H15" i="2" s="1"/>
  <c r="G6" i="2"/>
  <c r="H6" i="2" s="1"/>
  <c r="G11" i="2"/>
  <c r="H11" i="2" s="1"/>
  <c r="G24" i="2"/>
  <c r="H24" i="2" s="1"/>
  <c r="F20" i="2"/>
  <c r="F11" i="2"/>
  <c r="I11" i="2" s="1"/>
  <c r="F2" i="2"/>
  <c r="G2" i="2"/>
  <c r="H2" i="2" s="1"/>
  <c r="F6" i="2"/>
  <c r="I2" i="2" s="1"/>
  <c r="F24" i="1"/>
  <c r="F13" i="1"/>
  <c r="F18" i="1"/>
  <c r="G7" i="1"/>
  <c r="H7" i="1" s="1"/>
  <c r="F29" i="1"/>
  <c r="I24" i="1" s="1"/>
  <c r="F7" i="1"/>
  <c r="I2" i="1" s="1"/>
  <c r="I20" i="2" l="1"/>
  <c r="I13" i="1"/>
</calcChain>
</file>

<file path=xl/sharedStrings.xml><?xml version="1.0" encoding="utf-8"?>
<sst xmlns="http://schemas.openxmlformats.org/spreadsheetml/2006/main" count="160" uniqueCount="42">
  <si>
    <t>Sample</t>
  </si>
  <si>
    <t>123L</t>
  </si>
  <si>
    <t>123N</t>
  </si>
  <si>
    <t>123R</t>
  </si>
  <si>
    <t>124L</t>
  </si>
  <si>
    <t>124N</t>
  </si>
  <si>
    <t>125B</t>
  </si>
  <si>
    <t>125L</t>
  </si>
  <si>
    <t>126L</t>
  </si>
  <si>
    <t>126N</t>
  </si>
  <si>
    <t>130R</t>
  </si>
  <si>
    <t>131L</t>
  </si>
  <si>
    <t>131N</t>
  </si>
  <si>
    <t>132L</t>
  </si>
  <si>
    <t>133L</t>
  </si>
  <si>
    <t>133N</t>
  </si>
  <si>
    <t>TRF</t>
  </si>
  <si>
    <t>AD LIB</t>
  </si>
  <si>
    <t>130N</t>
  </si>
  <si>
    <t>Total</t>
  </si>
  <si>
    <t>lesion</t>
  </si>
  <si>
    <t>%</t>
  </si>
  <si>
    <t>Average</t>
  </si>
  <si>
    <t>STDEV</t>
  </si>
  <si>
    <t>SEM</t>
  </si>
  <si>
    <t>Aorta</t>
  </si>
  <si>
    <t>Aortic arches</t>
  </si>
  <si>
    <t>PAs</t>
  </si>
  <si>
    <t>AD LIB/TRF</t>
  </si>
  <si>
    <t>TTEST</t>
  </si>
  <si>
    <t>Avg</t>
  </si>
  <si>
    <t>Ad lib aorta</t>
  </si>
  <si>
    <t xml:space="preserve">TRF aorta </t>
  </si>
  <si>
    <t>TRF aortic arch</t>
  </si>
  <si>
    <t>Ad lib aortic arch</t>
  </si>
  <si>
    <t>TRF PAs</t>
  </si>
  <si>
    <t>Ad lib PAs</t>
  </si>
  <si>
    <t>avg</t>
  </si>
  <si>
    <t>sem</t>
  </si>
  <si>
    <t>Pulmonary Arteries</t>
  </si>
  <si>
    <t>Aortic Arches</t>
  </si>
  <si>
    <t>Ad 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</si>
</sst>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Fill="1" applyBorder="1" applyAlignment="1">
      <alignment horizontal="center"/>
    </xf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</a:t>
            </a:r>
            <a:r>
              <a:rPr lang="en-US" baseline="0"/>
              <a:t> Athersclerotic Plaque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ApoE!$L$17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3B-8648-ADFF-A46352E8FC2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A3B-8648-ADFF-A46352E8FC2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A3B-8648-ADFF-A46352E8FC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3B-8648-ADFF-A46352E8FC2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3B-8648-ADFF-A46352E8FC2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A3B-8648-ADFF-A46352E8FC27}"/>
              </c:ext>
            </c:extLst>
          </c:dPt>
          <c:errBars>
            <c:errBarType val="plus"/>
            <c:errValType val="cust"/>
            <c:noEndCap val="0"/>
            <c:plus>
              <c:numRef>
                <c:f>ApoE!$M$18:$R$18</c:f>
                <c:numCache>
                  <c:formatCode>General</c:formatCode>
                  <c:ptCount val="6"/>
                  <c:pt idx="0">
                    <c:v>4.2572273625157413</c:v>
                  </c:pt>
                  <c:pt idx="1">
                    <c:v>4.8538689581336021</c:v>
                  </c:pt>
                  <c:pt idx="2">
                    <c:v>2.6798829906401838</c:v>
                  </c:pt>
                  <c:pt idx="3">
                    <c:v>3.0307857399917948</c:v>
                  </c:pt>
                  <c:pt idx="4">
                    <c:v>5.3299174153581159</c:v>
                  </c:pt>
                  <c:pt idx="5">
                    <c:v>5.2605425635893148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ApoE!$M$16:$R$16</c:f>
              <c:strCache>
                <c:ptCount val="6"/>
                <c:pt idx="0">
                  <c:v>TRF aorta </c:v>
                </c:pt>
                <c:pt idx="1">
                  <c:v>Ad lib aorta</c:v>
                </c:pt>
                <c:pt idx="2">
                  <c:v>TRF aortic arch</c:v>
                </c:pt>
                <c:pt idx="3">
                  <c:v>Ad lib aortic arch</c:v>
                </c:pt>
                <c:pt idx="4">
                  <c:v>TRF PAs</c:v>
                </c:pt>
                <c:pt idx="5">
                  <c:v>Ad lib PAs</c:v>
                </c:pt>
              </c:strCache>
            </c:strRef>
          </c:cat>
          <c:val>
            <c:numRef>
              <c:f>ApoE!$M$17:$R$17</c:f>
              <c:numCache>
                <c:formatCode>General</c:formatCode>
                <c:ptCount val="6"/>
                <c:pt idx="0">
                  <c:v>60.101117088190541</c:v>
                </c:pt>
                <c:pt idx="1">
                  <c:v>57.580907530998445</c:v>
                </c:pt>
                <c:pt idx="2">
                  <c:v>64.154373740254471</c:v>
                </c:pt>
                <c:pt idx="3">
                  <c:v>67.996536772310719</c:v>
                </c:pt>
                <c:pt idx="4">
                  <c:v>62.088540539398437</c:v>
                </c:pt>
                <c:pt idx="5">
                  <c:v>47.45864504969061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B-8648-ADFF-A46352E8F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3821295"/>
        <c:axId val="2093963551"/>
      </c:barChart>
      <c:catAx>
        <c:axId val="209382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963551"/>
        <c:crosses val="autoZero"/>
        <c:auto val="1"/>
        <c:lblAlgn val="ctr"/>
        <c:lblOffset val="100"/>
        <c:noMultiLvlLbl val="0"/>
      </c:catAx>
      <c:valAx>
        <c:axId val="20939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Lesion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2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Apoe-/- Atherosclerotic</a:t>
            </a:r>
            <a:r>
              <a:rPr lang="en-US" baseline="0"/>
              <a:t> Lesion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ApoE!$N$23</c:f>
              <c:strCache>
                <c:ptCount val="1"/>
                <c:pt idx="0">
                  <c:v>TRF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ApoE!$S$24:$S$26</c:f>
                <c:numCache>
                  <c:formatCode>General</c:formatCode>
                  <c:ptCount val="3"/>
                  <c:pt idx="0">
                    <c:v>3.6484607563768052</c:v>
                  </c:pt>
                  <c:pt idx="1">
                    <c:v>2.2737483251323027</c:v>
                  </c:pt>
                  <c:pt idx="2">
                    <c:v>4.4236291129687002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ApoE!$M$24:$M$26</c:f>
              <c:strCache>
                <c:ptCount val="3"/>
                <c:pt idx="0">
                  <c:v>Aorta</c:v>
                </c:pt>
                <c:pt idx="1">
                  <c:v>Aortic Arches</c:v>
                </c:pt>
                <c:pt idx="2">
                  <c:v>Pulmonary Arteries</c:v>
                </c:pt>
              </c:strCache>
            </c:strRef>
          </c:cat>
          <c:val>
            <c:numRef>
              <c:f>ApoE!$N$24:$N$26</c:f>
              <c:numCache>
                <c:formatCode>General</c:formatCode>
                <c:ptCount val="3"/>
                <c:pt idx="0">
                  <c:v>39.547477266931146</c:v>
                </c:pt>
                <c:pt idx="1">
                  <c:v>62.967141588211277</c:v>
                </c:pt>
                <c:pt idx="2">
                  <c:v>53.633204657948951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6-214D-947B-DB6FBA736DF3}"/>
            </c:ext>
          </c:extLst>
        </c:ser>
        <c:ser>
          <c:idx val="1"/>
          <c:order val="1"/>
          <c:tx>
            <c:strRef>
              <c:f>ApoE!$O$23</c:f>
              <c:strCache>
                <c:ptCount val="1"/>
                <c:pt idx="0">
                  <c:v>Ad Lib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ApoE!$T$24:$T$26</c:f>
                <c:numCache>
                  <c:formatCode>General</c:formatCode>
                  <c:ptCount val="3"/>
                  <c:pt idx="0">
                    <c:v>11.985655813024174</c:v>
                  </c:pt>
                  <c:pt idx="1">
                    <c:v>3.2373127179575794</c:v>
                  </c:pt>
                  <c:pt idx="2">
                    <c:v>3.2413932870251077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ApoE!$M$24:$M$26</c:f>
              <c:strCache>
                <c:ptCount val="3"/>
                <c:pt idx="0">
                  <c:v>Aorta</c:v>
                </c:pt>
                <c:pt idx="1">
                  <c:v>Aortic Arches</c:v>
                </c:pt>
                <c:pt idx="2">
                  <c:v>Pulmonary Arteries</c:v>
                </c:pt>
              </c:strCache>
            </c:strRef>
          </c:cat>
          <c:val>
            <c:numRef>
              <c:f>ApoE!$O$24:$O$26</c:f>
              <c:numCache>
                <c:formatCode>General</c:formatCode>
                <c:ptCount val="3"/>
                <c:pt idx="0">
                  <c:v>69.726474796139613</c:v>
                </c:pt>
                <c:pt idx="1">
                  <c:v>77.784264667516709</c:v>
                </c:pt>
                <c:pt idx="2">
                  <c:v>67.171554758190624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96-214D-947B-DB6FBA736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9412095"/>
        <c:axId val="259403903"/>
      </c:barChart>
      <c:catAx>
        <c:axId val="25941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03903"/>
        <c:crosses val="autoZero"/>
        <c:auto val="1"/>
        <c:lblAlgn val="ctr"/>
        <c:lblOffset val="100"/>
        <c:noMultiLvlLbl val="0"/>
      </c:catAx>
      <c:valAx>
        <c:axId val="25940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Lesion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41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Ldlr-/- Atherosclerotic</a:t>
            </a:r>
            <a:r>
              <a:rPr lang="en-US" baseline="0"/>
              <a:t> Plaque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Ldlr!$L$11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CA-134F-AF7F-3190B4C5257F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ECA-134F-AF7F-3190B4C5257F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ECA-134F-AF7F-3190B4C5257F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CA-134F-AF7F-3190B4C5257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CA-134F-AF7F-3190B4C5257F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ECA-134F-AF7F-3190B4C5257F}"/>
              </c:ext>
            </c:extLst>
          </c:dPt>
          <c:errBars>
            <c:errBarType val="plus"/>
            <c:errValType val="cust"/>
            <c:noEndCap val="0"/>
            <c:plus>
              <c:numRef>
                <c:f>Ldlr!$M$12:$R$12</c:f>
                <c:numCache>
                  <c:formatCode>General</c:formatCode>
                  <c:ptCount val="6"/>
                  <c:pt idx="0">
                    <c:v>3.6484607563768052</c:v>
                  </c:pt>
                  <c:pt idx="1">
                    <c:v>11.985655813024174</c:v>
                  </c:pt>
                  <c:pt idx="2">
                    <c:v>2.2737483251323027</c:v>
                  </c:pt>
                  <c:pt idx="3">
                    <c:v>3.2373127179575794</c:v>
                  </c:pt>
                  <c:pt idx="4">
                    <c:v>4.4236291129687002</c:v>
                  </c:pt>
                  <c:pt idx="5">
                    <c:v>3.2413932870251077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Ldlr!$M$10:$R$10</c:f>
              <c:strCache>
                <c:ptCount val="6"/>
                <c:pt idx="0">
                  <c:v>TRF aorta </c:v>
                </c:pt>
                <c:pt idx="1">
                  <c:v>Ad lib aorta</c:v>
                </c:pt>
                <c:pt idx="2">
                  <c:v>TRF aortic arch</c:v>
                </c:pt>
                <c:pt idx="3">
                  <c:v>Ad lib aortic arch</c:v>
                </c:pt>
                <c:pt idx="4">
                  <c:v>TRF PAs</c:v>
                </c:pt>
                <c:pt idx="5">
                  <c:v>Ad lib PAs</c:v>
                </c:pt>
              </c:strCache>
            </c:strRef>
          </c:cat>
          <c:val>
            <c:numRef>
              <c:f>Ldlr!$M$11:$R$11</c:f>
              <c:numCache>
                <c:formatCode>General</c:formatCode>
                <c:ptCount val="6"/>
                <c:pt idx="0">
                  <c:v>39.547477266931146</c:v>
                </c:pt>
                <c:pt idx="1">
                  <c:v>69.726474796139613</c:v>
                </c:pt>
                <c:pt idx="2">
                  <c:v>62.967141588211277</c:v>
                </c:pt>
                <c:pt idx="3">
                  <c:v>77.784264667516709</c:v>
                </c:pt>
                <c:pt idx="4">
                  <c:v>53.633204657948951</c:v>
                </c:pt>
                <c:pt idx="5">
                  <c:v>67.171554758190624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A-134F-AF7F-3190B4C52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778575"/>
        <c:axId val="2095861839"/>
      </c:barChart>
      <c:catAx>
        <c:axId val="204477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861839"/>
        <c:crosses val="autoZero"/>
        <c:auto val="1"/>
        <c:lblAlgn val="ctr"/>
        <c:lblOffset val="100"/>
        <c:noMultiLvlLbl val="0"/>
      </c:catAx>
      <c:valAx>
        <c:axId val="209586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Lesion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7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Ldlr</a:t>
            </a:r>
            <a:r>
              <a:rPr lang="en-US" sz="1600"/>
              <a:t>-/- </a:t>
            </a:r>
            <a:r>
              <a:rPr lang="en-US"/>
              <a:t>Athersclerotic Lesion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Ldlr!$M$5</c:f>
              <c:strCache>
                <c:ptCount val="1"/>
                <c:pt idx="0">
                  <c:v>TRF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Ldlr!$R$6:$R$8</c:f>
                <c:numCache>
                  <c:formatCode>General</c:formatCode>
                  <c:ptCount val="3"/>
                  <c:pt idx="0">
                    <c:v>3.6484607563768052</c:v>
                  </c:pt>
                  <c:pt idx="1">
                    <c:v>2.2737483251323027</c:v>
                  </c:pt>
                  <c:pt idx="2">
                    <c:v>4.4236291129687002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Ldlr!$L$6:$L$8</c:f>
              <c:strCache>
                <c:ptCount val="3"/>
                <c:pt idx="0">
                  <c:v>Aorta</c:v>
                </c:pt>
                <c:pt idx="1">
                  <c:v>Aortic Arches</c:v>
                </c:pt>
                <c:pt idx="2">
                  <c:v>Pulmonary Arteries</c:v>
                </c:pt>
              </c:strCache>
            </c:strRef>
          </c:cat>
          <c:val>
            <c:numRef>
              <c:f>Ldlr!$M$6:$M$8</c:f>
              <c:numCache>
                <c:formatCode>General</c:formatCode>
                <c:ptCount val="3"/>
                <c:pt idx="0">
                  <c:v>39.547477266931146</c:v>
                </c:pt>
                <c:pt idx="1">
                  <c:v>62.967141588211277</c:v>
                </c:pt>
                <c:pt idx="2">
                  <c:v>53.633204657948951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E-004C-8B9A-C0515EAA3356}"/>
            </c:ext>
          </c:extLst>
        </c:ser>
        <c:ser>
          <c:idx val="1"/>
          <c:order val="1"/>
          <c:tx>
            <c:strRef>
              <c:f>Ldlr!$N$5</c:f>
              <c:strCache>
                <c:ptCount val="1"/>
                <c:pt idx="0">
                  <c:v>Ad Lib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Ldlr!$S$6:$S$8</c:f>
                <c:numCache>
                  <c:formatCode>General</c:formatCode>
                  <c:ptCount val="3"/>
                  <c:pt idx="0">
                    <c:v>11.985655813024174</c:v>
                  </c:pt>
                  <c:pt idx="1">
                    <c:v>3.2373127179575794</c:v>
                  </c:pt>
                  <c:pt idx="2">
                    <c:v>3.2413932870251077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Ldlr!$L$6:$L$8</c:f>
              <c:strCache>
                <c:ptCount val="3"/>
                <c:pt idx="0">
                  <c:v>Aorta</c:v>
                </c:pt>
                <c:pt idx="1">
                  <c:v>Aortic Arches</c:v>
                </c:pt>
                <c:pt idx="2">
                  <c:v>Pulmonary Arteries</c:v>
                </c:pt>
              </c:strCache>
            </c:strRef>
          </c:cat>
          <c:val>
            <c:numRef>
              <c:f>Ldlr!$N$6:$N$8</c:f>
              <c:numCache>
                <c:formatCode>General</c:formatCode>
                <c:ptCount val="3"/>
                <c:pt idx="0">
                  <c:v>69.726474796139613</c:v>
                </c:pt>
                <c:pt idx="1">
                  <c:v>77.784264667516709</c:v>
                </c:pt>
                <c:pt idx="2">
                  <c:v>67.171554758190624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E-004C-8B9A-C0515EAA3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336335"/>
        <c:axId val="281338015"/>
      </c:barChart>
      <c:catAx>
        <c:axId val="28133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38015"/>
        <c:crosses val="autoZero"/>
        <c:auto val="1"/>
        <c:lblAlgn val="ctr"/>
        <c:lblOffset val="100"/>
        <c:noMultiLvlLbl val="0"/>
      </c:catAx>
      <c:valAx>
        <c:axId val="28133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esion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3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898622047244096"/>
          <c:y val="5.150408282298042E-2"/>
          <c:w val="0.16202755905511812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323850</xdr:colOff>
      <xdr:row>6</xdr:row>
      <xdr:rowOff>50800</xdr:rowOff>
    </xdr:from>
    <xdr:to>
      <xdr:col>25</xdr:col>
      <xdr:colOff>184150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1D77B-A30A-5742-9903-51BC1B2D7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641350</xdr:colOff>
      <xdr:row>29</xdr:row>
      <xdr:rowOff>63500</xdr:rowOff>
    </xdr:from>
    <xdr:to>
      <xdr:col>21</xdr:col>
      <xdr:colOff>501650</xdr:colOff>
      <xdr:row>43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F9B40C-E07E-E34E-A797-AE4DC0F08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222250</xdr:colOff>
      <xdr:row>15</xdr:row>
      <xdr:rowOff>38100</xdr:rowOff>
    </xdr:from>
    <xdr:to>
      <xdr:col>19</xdr:col>
      <xdr:colOff>82550</xdr:colOff>
      <xdr:row>29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7C4F31-A6C6-EA46-A8D8-AB8165635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425450</xdr:colOff>
      <xdr:row>2</xdr:row>
      <xdr:rowOff>127000</xdr:rowOff>
    </xdr:from>
    <xdr:to>
      <xdr:col>28</xdr:col>
      <xdr:colOff>546100</xdr:colOff>
      <xdr:row>19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D3C0C-24DD-0146-A7A2-795187C57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opLeftCell="L17" workbookViewId="0">
      <selection activeCell="O32" sqref="O32"/>
    </sheetView>
  </sheetViews>
  <sheetFormatPr baseColWidth="10" defaultColWidth="8.83203125" defaultRowHeight="15" x14ac:dyDescent="0.2"/>
  <cols>
    <col min="1" max="1" width="11.33203125" style="1" bestFit="1" customWidth="1"/>
    <col min="2" max="8" width="9" style="1"/>
    <col min="9" max="9" width="11.6640625" bestFit="1" customWidth="1"/>
  </cols>
  <sheetData>
    <row r="1" spans="1:18" ht="16" thickBot="1" x14ac:dyDescent="0.25">
      <c r="A1" s="3" t="s">
        <v>25</v>
      </c>
      <c r="B1" s="4" t="s">
        <v>0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12" t="s">
        <v>28</v>
      </c>
      <c r="J1" s="13" t="s">
        <v>29</v>
      </c>
      <c r="M1" s="19"/>
    </row>
    <row r="2" spans="1:18" x14ac:dyDescent="0.2">
      <c r="A2" s="21" t="s">
        <v>16</v>
      </c>
      <c r="B2" s="5" t="s">
        <v>1</v>
      </c>
      <c r="C2" s="5">
        <v>3.0529999999999999</v>
      </c>
      <c r="D2" s="5">
        <v>1.6559999999999999</v>
      </c>
      <c r="E2" s="6">
        <f>(D2/C2)*100</f>
        <v>54.241729446446115</v>
      </c>
      <c r="F2" s="5">
        <f>AVERAGE(E2:E6)</f>
        <v>60.101117088190541</v>
      </c>
      <c r="G2" s="5">
        <f>STDEV(E2:E6)</f>
        <v>9.5194497782573375</v>
      </c>
      <c r="H2" s="5">
        <f>G2/SQRT(5)</f>
        <v>4.2572273625157413</v>
      </c>
      <c r="I2" s="14">
        <f>F7/F2</f>
        <v>0.95806717613095249</v>
      </c>
      <c r="J2" s="15">
        <f>TTEST(E2:E6,E7:E10,2,2)</f>
        <v>0.70719914449528831</v>
      </c>
    </row>
    <row r="3" spans="1:18" x14ac:dyDescent="0.2">
      <c r="A3" s="22"/>
      <c r="B3" s="2" t="s">
        <v>2</v>
      </c>
      <c r="C3" s="2">
        <v>3.1059999999999999</v>
      </c>
      <c r="D3" s="2">
        <v>1.518</v>
      </c>
      <c r="E3" s="7">
        <f t="shared" ref="E3:E10" si="0">(D3/C3)*100</f>
        <v>48.87314874436575</v>
      </c>
      <c r="F3" s="2"/>
      <c r="G3" s="2"/>
      <c r="H3" s="2"/>
      <c r="I3" s="11"/>
      <c r="J3" s="16"/>
    </row>
    <row r="4" spans="1:18" x14ac:dyDescent="0.2">
      <c r="A4" s="22"/>
      <c r="B4" s="2" t="s">
        <v>3</v>
      </c>
      <c r="C4" s="2">
        <v>3.3439999999999999</v>
      </c>
      <c r="D4" s="2">
        <v>1.9239999999999999</v>
      </c>
      <c r="E4" s="7">
        <f t="shared" si="0"/>
        <v>57.535885167464116</v>
      </c>
      <c r="F4" s="2"/>
      <c r="G4" s="2"/>
      <c r="H4" s="2"/>
      <c r="I4" s="11"/>
      <c r="J4" s="16"/>
    </row>
    <row r="5" spans="1:18" x14ac:dyDescent="0.2">
      <c r="A5" s="22"/>
      <c r="B5" s="2" t="s">
        <v>4</v>
      </c>
      <c r="C5" s="2">
        <v>3.9510000000000001</v>
      </c>
      <c r="D5" s="2">
        <v>2.806</v>
      </c>
      <c r="E5" s="7">
        <f t="shared" si="0"/>
        <v>71.01999493799039</v>
      </c>
      <c r="F5" s="2"/>
      <c r="G5" s="2"/>
      <c r="H5" s="2"/>
      <c r="I5" s="11"/>
      <c r="J5" s="16"/>
    </row>
    <row r="6" spans="1:18" ht="16" thickBot="1" x14ac:dyDescent="0.25">
      <c r="A6" s="23"/>
      <c r="B6" s="8" t="s">
        <v>5</v>
      </c>
      <c r="C6" s="8">
        <v>3.9049999999999998</v>
      </c>
      <c r="D6" s="8">
        <v>2.6880000000000002</v>
      </c>
      <c r="E6" s="9">
        <f t="shared" si="0"/>
        <v>68.834827144686301</v>
      </c>
      <c r="F6" s="8"/>
      <c r="G6" s="8"/>
      <c r="H6" s="8"/>
      <c r="I6" s="17"/>
      <c r="J6" s="18"/>
    </row>
    <row r="7" spans="1:18" x14ac:dyDescent="0.2">
      <c r="A7" s="21" t="s">
        <v>17</v>
      </c>
      <c r="B7" s="5" t="s">
        <v>6</v>
      </c>
      <c r="C7" s="5">
        <v>3.0369999999999999</v>
      </c>
      <c r="D7" s="5">
        <v>1.5389999999999999</v>
      </c>
      <c r="E7" s="6">
        <f t="shared" si="0"/>
        <v>50.675008231807709</v>
      </c>
      <c r="F7" s="5">
        <f>AVERAGE(E7:E10)</f>
        <v>57.580907530998445</v>
      </c>
      <c r="G7" s="5">
        <f>STDEV(E7:E10)</f>
        <v>9.7077379162672042</v>
      </c>
      <c r="H7" s="5">
        <f>G7/2</f>
        <v>4.8538689581336021</v>
      </c>
      <c r="I7" s="14"/>
      <c r="J7" s="15"/>
    </row>
    <row r="8" spans="1:18" x14ac:dyDescent="0.2">
      <c r="A8" s="22"/>
      <c r="B8" s="2" t="s">
        <v>7</v>
      </c>
      <c r="C8" s="2">
        <v>3.0819999999999999</v>
      </c>
      <c r="D8" s="2">
        <v>2.1629999999999998</v>
      </c>
      <c r="E8" s="7">
        <f t="shared" si="0"/>
        <v>70.181700194678768</v>
      </c>
      <c r="F8" s="2"/>
      <c r="G8" s="2"/>
      <c r="H8" s="2"/>
      <c r="I8" s="11"/>
      <c r="J8" s="16"/>
    </row>
    <row r="9" spans="1:18" x14ac:dyDescent="0.2">
      <c r="A9" s="22"/>
      <c r="B9" s="2" t="s">
        <v>8</v>
      </c>
      <c r="C9" s="2">
        <v>3.016</v>
      </c>
      <c r="D9" s="2">
        <v>1.8160000000000001</v>
      </c>
      <c r="E9" s="7">
        <f t="shared" si="0"/>
        <v>60.212201591511935</v>
      </c>
      <c r="F9" s="2"/>
      <c r="G9" s="2"/>
      <c r="H9" s="2"/>
      <c r="I9" s="11"/>
      <c r="J9" s="16"/>
    </row>
    <row r="10" spans="1:18" ht="16" thickBot="1" x14ac:dyDescent="0.25">
      <c r="A10" s="23"/>
      <c r="B10" s="8" t="s">
        <v>9</v>
      </c>
      <c r="C10" s="8">
        <v>3.0190000000000001</v>
      </c>
      <c r="D10" s="8">
        <v>1.4870000000000001</v>
      </c>
      <c r="E10" s="9">
        <f t="shared" si="0"/>
        <v>49.254720105995361</v>
      </c>
      <c r="F10" s="8"/>
      <c r="G10" s="8"/>
      <c r="H10" s="8"/>
      <c r="I10" s="17"/>
      <c r="J10" s="18"/>
    </row>
    <row r="11" spans="1:18" ht="16" thickBot="1" x14ac:dyDescent="0.25">
      <c r="A11" s="10"/>
      <c r="B11" s="10"/>
      <c r="C11" s="10"/>
      <c r="D11" s="10"/>
      <c r="E11" s="10"/>
      <c r="F11" s="10"/>
      <c r="G11" s="10"/>
      <c r="H11" s="10"/>
    </row>
    <row r="12" spans="1:18" ht="16" thickBot="1" x14ac:dyDescent="0.25">
      <c r="A12" s="3" t="s">
        <v>26</v>
      </c>
      <c r="B12" s="4" t="s">
        <v>0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4" t="s">
        <v>24</v>
      </c>
      <c r="I12" s="12" t="s">
        <v>28</v>
      </c>
      <c r="J12" s="13" t="s">
        <v>29</v>
      </c>
    </row>
    <row r="13" spans="1:18" x14ac:dyDescent="0.2">
      <c r="A13" s="21" t="s">
        <v>16</v>
      </c>
      <c r="B13" s="5" t="s">
        <v>1</v>
      </c>
      <c r="C13" s="5">
        <v>0.78800000000000003</v>
      </c>
      <c r="D13" s="5">
        <v>0.49399999999999999</v>
      </c>
      <c r="E13" s="6">
        <f>(D13/C13)*100</f>
        <v>62.690355329949234</v>
      </c>
      <c r="F13" s="5">
        <f>AVERAGE(E13:E17)</f>
        <v>64.154373740254471</v>
      </c>
      <c r="G13" s="5">
        <f>STDEV(E13:E17)</f>
        <v>5.9924005388168835</v>
      </c>
      <c r="H13" s="5">
        <f>G13/SQRT(5)</f>
        <v>2.6798829906401838</v>
      </c>
      <c r="I13" s="14">
        <f>F18/F13</f>
        <v>1.0598893389188435</v>
      </c>
      <c r="J13" s="15">
        <f>TTEST(E13:E17,E18:E21,2,2)</f>
        <v>0.37323726201401475</v>
      </c>
    </row>
    <row r="14" spans="1:18" x14ac:dyDescent="0.2">
      <c r="A14" s="22"/>
      <c r="B14" s="2" t="s">
        <v>2</v>
      </c>
      <c r="C14" s="2">
        <v>0.69599999999999995</v>
      </c>
      <c r="D14" s="2">
        <v>0.39700000000000002</v>
      </c>
      <c r="E14" s="7">
        <f t="shared" ref="E14:E21" si="1">(D14/C14)*100</f>
        <v>57.040229885057478</v>
      </c>
      <c r="F14" s="2"/>
      <c r="G14" s="2"/>
      <c r="H14" s="2"/>
      <c r="I14" s="11"/>
      <c r="J14" s="16"/>
    </row>
    <row r="15" spans="1:18" x14ac:dyDescent="0.2">
      <c r="A15" s="22"/>
      <c r="B15" s="2" t="s">
        <v>3</v>
      </c>
      <c r="C15" s="2">
        <v>0.78200000000000003</v>
      </c>
      <c r="D15" s="2">
        <v>0.47299999999999998</v>
      </c>
      <c r="E15" s="7">
        <f t="shared" si="1"/>
        <v>60.485933503836307</v>
      </c>
      <c r="F15" s="2"/>
      <c r="G15" s="2"/>
      <c r="H15" s="2"/>
      <c r="I15" s="11"/>
      <c r="J15" s="16"/>
    </row>
    <row r="16" spans="1:18" x14ac:dyDescent="0.2">
      <c r="A16" s="22"/>
      <c r="B16" s="2" t="s">
        <v>4</v>
      </c>
      <c r="C16" s="2">
        <v>0.89800000000000002</v>
      </c>
      <c r="D16" s="2">
        <v>0.64100000000000001</v>
      </c>
      <c r="E16" s="7">
        <f t="shared" si="1"/>
        <v>71.380846325167042</v>
      </c>
      <c r="F16" s="2"/>
      <c r="G16" s="2"/>
      <c r="H16" s="2"/>
      <c r="I16" s="11"/>
      <c r="J16" s="16"/>
      <c r="M16" s="20" t="s">
        <v>32</v>
      </c>
      <c r="N16" s="20" t="s">
        <v>31</v>
      </c>
      <c r="O16" s="20" t="s">
        <v>33</v>
      </c>
      <c r="P16" s="20" t="s">
        <v>34</v>
      </c>
      <c r="Q16" s="20" t="s">
        <v>35</v>
      </c>
      <c r="R16" s="20" t="s">
        <v>36</v>
      </c>
    </row>
    <row r="17" spans="1:20" ht="16" thickBot="1" x14ac:dyDescent="0.25">
      <c r="A17" s="23"/>
      <c r="B17" s="8" t="s">
        <v>5</v>
      </c>
      <c r="C17" s="8">
        <v>0.95699999999999996</v>
      </c>
      <c r="D17" s="8">
        <v>0.66200000000000003</v>
      </c>
      <c r="E17" s="9">
        <f t="shared" si="1"/>
        <v>69.174503657262292</v>
      </c>
      <c r="F17" s="8"/>
      <c r="G17" s="8"/>
      <c r="H17" s="8"/>
      <c r="I17" s="17"/>
      <c r="J17" s="18"/>
      <c r="L17" s="20" t="s">
        <v>30</v>
      </c>
      <c r="M17">
        <v>60.101117088190541</v>
      </c>
      <c r="N17">
        <v>57.580907530998445</v>
      </c>
      <c r="O17">
        <v>64.154373740254471</v>
      </c>
      <c r="P17">
        <v>67.996536772310719</v>
      </c>
      <c r="Q17">
        <v>62.088540539398437</v>
      </c>
      <c r="R17">
        <v>47.45864504969061</v>
      </c>
    </row>
    <row r="18" spans="1:20" x14ac:dyDescent="0.2">
      <c r="A18" s="21" t="s">
        <v>17</v>
      </c>
      <c r="B18" s="5" t="s">
        <v>6</v>
      </c>
      <c r="C18" s="5">
        <v>0.73799999999999999</v>
      </c>
      <c r="D18" s="5">
        <v>0.49</v>
      </c>
      <c r="E18" s="6">
        <f t="shared" si="1"/>
        <v>66.395663956639567</v>
      </c>
      <c r="F18" s="5">
        <f>AVERAGE(E18:E21)</f>
        <v>67.996536772310719</v>
      </c>
      <c r="G18" s="5">
        <f>STDEV(E18:E21)</f>
        <v>6.0615714799835896</v>
      </c>
      <c r="H18" s="5">
        <f>G18/2</f>
        <v>3.0307857399917948</v>
      </c>
      <c r="I18" s="14"/>
      <c r="J18" s="15"/>
      <c r="L18" s="20" t="s">
        <v>24</v>
      </c>
      <c r="M18">
        <v>4.2572273625157413</v>
      </c>
      <c r="N18">
        <v>4.8538689581336021</v>
      </c>
      <c r="O18">
        <v>2.6798829906401838</v>
      </c>
      <c r="P18">
        <v>3.0307857399917948</v>
      </c>
      <c r="Q18">
        <v>5.3299174153581159</v>
      </c>
      <c r="R18">
        <v>5.2605425635893148</v>
      </c>
    </row>
    <row r="19" spans="1:20" x14ac:dyDescent="0.2">
      <c r="A19" s="22"/>
      <c r="B19" s="2" t="s">
        <v>7</v>
      </c>
      <c r="C19" s="2">
        <v>0.70599999999999996</v>
      </c>
      <c r="D19" s="2">
        <v>0.46300000000000002</v>
      </c>
      <c r="E19" s="7">
        <f t="shared" si="1"/>
        <v>65.580736543909353</v>
      </c>
      <c r="F19" s="2"/>
      <c r="G19" s="2"/>
      <c r="H19" s="2"/>
      <c r="I19" s="11"/>
      <c r="J19" s="16"/>
    </row>
    <row r="20" spans="1:20" x14ac:dyDescent="0.2">
      <c r="A20" s="22"/>
      <c r="B20" s="2" t="s">
        <v>8</v>
      </c>
      <c r="C20" s="2">
        <v>0.75600000000000001</v>
      </c>
      <c r="D20" s="2">
        <v>0.58099999999999996</v>
      </c>
      <c r="E20" s="7">
        <f t="shared" si="1"/>
        <v>76.851851851851848</v>
      </c>
      <c r="F20" s="2"/>
      <c r="G20" s="2"/>
      <c r="H20" s="2"/>
      <c r="I20" s="11"/>
      <c r="J20" s="16"/>
    </row>
    <row r="21" spans="1:20" ht="16" thickBot="1" x14ac:dyDescent="0.25">
      <c r="A21" s="23"/>
      <c r="B21" s="8" t="s">
        <v>9</v>
      </c>
      <c r="C21" s="8">
        <v>0.76</v>
      </c>
      <c r="D21" s="8">
        <v>0.48</v>
      </c>
      <c r="E21" s="9">
        <f t="shared" si="1"/>
        <v>63.157894736842103</v>
      </c>
      <c r="F21" s="8"/>
      <c r="G21" s="8"/>
      <c r="H21" s="8"/>
      <c r="I21" s="17"/>
      <c r="J21" s="18"/>
    </row>
    <row r="22" spans="1:20" ht="16" thickBot="1" x14ac:dyDescent="0.25">
      <c r="A22" s="2"/>
      <c r="B22" s="2"/>
      <c r="C22" s="2"/>
      <c r="D22" s="2"/>
      <c r="E22" s="2"/>
      <c r="F22" s="2"/>
      <c r="G22" s="2"/>
      <c r="H22" s="2"/>
    </row>
    <row r="23" spans="1:20" ht="16" thickBot="1" x14ac:dyDescent="0.25">
      <c r="A23" s="3" t="s">
        <v>27</v>
      </c>
      <c r="B23" s="4" t="s">
        <v>0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23</v>
      </c>
      <c r="H23" s="4" t="s">
        <v>24</v>
      </c>
      <c r="I23" s="12" t="s">
        <v>28</v>
      </c>
      <c r="J23" s="13" t="s">
        <v>29</v>
      </c>
      <c r="L23" s="20" t="s">
        <v>37</v>
      </c>
      <c r="N23" t="s">
        <v>16</v>
      </c>
      <c r="O23" t="s">
        <v>41</v>
      </c>
      <c r="Q23" s="20" t="s">
        <v>38</v>
      </c>
      <c r="S23" t="s">
        <v>16</v>
      </c>
      <c r="T23" t="s">
        <v>41</v>
      </c>
    </row>
    <row r="24" spans="1:20" x14ac:dyDescent="0.2">
      <c r="A24" s="21" t="s">
        <v>16</v>
      </c>
      <c r="B24" s="5" t="s">
        <v>1</v>
      </c>
      <c r="C24" s="5">
        <v>0.59499999999999997</v>
      </c>
      <c r="D24" s="5">
        <v>0.45400000000000001</v>
      </c>
      <c r="E24" s="6">
        <f>(D24/C24)*100</f>
        <v>76.302521008403374</v>
      </c>
      <c r="F24" s="5">
        <f>AVERAGE(E24:E28)</f>
        <v>62.088540539398437</v>
      </c>
      <c r="G24" s="5">
        <f>STDEV(E24:E28)</f>
        <v>11.91805765520073</v>
      </c>
      <c r="H24" s="5">
        <f>G24/SQRT(5)</f>
        <v>5.3299174153581159</v>
      </c>
      <c r="I24" s="14">
        <f>F29/F24</f>
        <v>0.76437043997797971</v>
      </c>
      <c r="J24" s="15">
        <f>TTEST(E24:E28,E29:E32,2,2)</f>
        <v>9.5889448761490442E-2</v>
      </c>
      <c r="M24" t="s">
        <v>25</v>
      </c>
      <c r="N24">
        <v>39.547477266931146</v>
      </c>
      <c r="O24">
        <v>69.726474796139613</v>
      </c>
      <c r="R24" t="s">
        <v>25</v>
      </c>
      <c r="S24">
        <v>3.6484607563768052</v>
      </c>
      <c r="T24">
        <v>11.985655813024174</v>
      </c>
    </row>
    <row r="25" spans="1:20" x14ac:dyDescent="0.2">
      <c r="A25" s="22"/>
      <c r="B25" s="2" t="s">
        <v>2</v>
      </c>
      <c r="C25" s="2">
        <v>0.96599999999999997</v>
      </c>
      <c r="D25" s="2">
        <v>0.56899999999999995</v>
      </c>
      <c r="E25" s="7">
        <f t="shared" ref="E25:E32" si="2">(D25/C25)*100</f>
        <v>58.902691511387161</v>
      </c>
      <c r="F25" s="2"/>
      <c r="G25" s="2"/>
      <c r="H25" s="2"/>
      <c r="I25" s="11"/>
      <c r="J25" s="16"/>
      <c r="M25" t="s">
        <v>40</v>
      </c>
      <c r="N25">
        <v>62.967141588211277</v>
      </c>
      <c r="O25">
        <v>77.784264667516709</v>
      </c>
      <c r="R25" t="s">
        <v>40</v>
      </c>
      <c r="S25">
        <v>2.2737483251323027</v>
      </c>
      <c r="T25">
        <v>3.2373127179575794</v>
      </c>
    </row>
    <row r="26" spans="1:20" x14ac:dyDescent="0.2">
      <c r="A26" s="22"/>
      <c r="B26" s="2" t="s">
        <v>3</v>
      </c>
      <c r="C26" s="2">
        <v>0.85799999999999998</v>
      </c>
      <c r="D26" s="2">
        <v>0.43099999999999999</v>
      </c>
      <c r="E26" s="7">
        <f t="shared" si="2"/>
        <v>50.233100233100238</v>
      </c>
      <c r="F26" s="2"/>
      <c r="G26" s="2"/>
      <c r="H26" s="2"/>
      <c r="I26" s="11"/>
      <c r="J26" s="16"/>
      <c r="M26" t="s">
        <v>39</v>
      </c>
      <c r="N26">
        <v>53.633204657948951</v>
      </c>
      <c r="O26">
        <v>67.171554758190624</v>
      </c>
      <c r="R26" t="s">
        <v>39</v>
      </c>
      <c r="S26">
        <v>4.4236291129687002</v>
      </c>
      <c r="T26">
        <v>3.2413932870251077</v>
      </c>
    </row>
    <row r="27" spans="1:20" x14ac:dyDescent="0.2">
      <c r="A27" s="22"/>
      <c r="B27" s="2" t="s">
        <v>4</v>
      </c>
      <c r="C27" s="2">
        <v>0.94</v>
      </c>
      <c r="D27" s="2">
        <v>0.68500000000000005</v>
      </c>
      <c r="E27" s="7">
        <f t="shared" si="2"/>
        <v>72.872340425531917</v>
      </c>
      <c r="F27" s="2"/>
      <c r="G27" s="2"/>
      <c r="H27" s="2"/>
      <c r="I27" s="11"/>
      <c r="J27" s="16"/>
    </row>
    <row r="28" spans="1:20" ht="16" thickBot="1" x14ac:dyDescent="0.25">
      <c r="A28" s="23"/>
      <c r="B28" s="8" t="s">
        <v>5</v>
      </c>
      <c r="C28" s="8">
        <v>0.72699999999999998</v>
      </c>
      <c r="D28" s="8">
        <v>0.379</v>
      </c>
      <c r="E28" s="9">
        <f t="shared" si="2"/>
        <v>52.132049518569467</v>
      </c>
      <c r="F28" s="8"/>
      <c r="G28" s="8"/>
      <c r="H28" s="8"/>
      <c r="I28" s="17"/>
      <c r="J28" s="18"/>
    </row>
    <row r="29" spans="1:20" x14ac:dyDescent="0.2">
      <c r="A29" s="21" t="s">
        <v>17</v>
      </c>
      <c r="B29" s="5" t="s">
        <v>6</v>
      </c>
      <c r="C29" s="5">
        <v>0.59599999999999997</v>
      </c>
      <c r="D29" s="5">
        <v>0.22900000000000001</v>
      </c>
      <c r="E29" s="6">
        <f t="shared" si="2"/>
        <v>38.422818791946312</v>
      </c>
      <c r="F29" s="5">
        <f>AVERAGE(E29:E32)</f>
        <v>47.45864504969061</v>
      </c>
      <c r="G29" s="5">
        <f>STDEV(E29:E32)</f>
        <v>10.52108512717863</v>
      </c>
      <c r="H29" s="5">
        <f>G29/2</f>
        <v>5.2605425635893148</v>
      </c>
      <c r="I29" s="14"/>
      <c r="J29" s="15"/>
    </row>
    <row r="30" spans="1:20" x14ac:dyDescent="0.2">
      <c r="A30" s="22"/>
      <c r="B30" s="2" t="s">
        <v>7</v>
      </c>
      <c r="C30" s="2">
        <v>0.73899999999999999</v>
      </c>
      <c r="D30" s="2">
        <v>0.45800000000000002</v>
      </c>
      <c r="E30" s="7">
        <f t="shared" si="2"/>
        <v>61.975642760487148</v>
      </c>
      <c r="F30" s="2"/>
      <c r="G30" s="2"/>
      <c r="H30" s="2"/>
      <c r="I30" s="11"/>
      <c r="J30" s="16"/>
    </row>
    <row r="31" spans="1:20" x14ac:dyDescent="0.2">
      <c r="A31" s="22"/>
      <c r="B31" s="2" t="s">
        <v>8</v>
      </c>
      <c r="C31" s="2">
        <v>0.67800000000000005</v>
      </c>
      <c r="D31" s="2">
        <v>0.32700000000000001</v>
      </c>
      <c r="E31" s="7">
        <f t="shared" si="2"/>
        <v>48.230088495575217</v>
      </c>
      <c r="F31" s="2"/>
      <c r="G31" s="2"/>
      <c r="H31" s="2"/>
      <c r="I31" s="11"/>
      <c r="J31" s="16"/>
    </row>
    <row r="32" spans="1:20" ht="16" thickBot="1" x14ac:dyDescent="0.25">
      <c r="A32" s="23"/>
      <c r="B32" s="8" t="s">
        <v>9</v>
      </c>
      <c r="C32" s="8">
        <v>0.59699999999999998</v>
      </c>
      <c r="D32" s="8">
        <v>0.246</v>
      </c>
      <c r="E32" s="9">
        <f t="shared" si="2"/>
        <v>41.206030150753769</v>
      </c>
      <c r="F32" s="8"/>
      <c r="G32" s="8"/>
      <c r="H32" s="8"/>
      <c r="I32" s="17"/>
      <c r="J32" s="18"/>
    </row>
  </sheetData>
  <mergeCells count="6">
    <mergeCell ref="A29:A32"/>
    <mergeCell ref="A2:A6"/>
    <mergeCell ref="A7:A10"/>
    <mergeCell ref="A13:A17"/>
    <mergeCell ref="A18:A21"/>
    <mergeCell ref="A24:A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6"/>
  <sheetViews>
    <sheetView tabSelected="1" workbookViewId="0">
      <selection activeCell="K5" sqref="K5:S8"/>
    </sheetView>
  </sheetViews>
  <sheetFormatPr baseColWidth="10" defaultColWidth="8.83203125" defaultRowHeight="15" x14ac:dyDescent="0.2"/>
  <cols>
    <col min="1" max="1" width="11.33203125" style="1" bestFit="1" customWidth="1"/>
    <col min="2" max="2" width="6.6640625" style="1" bestFit="1" customWidth="1"/>
    <col min="3" max="4" width="5.6640625" style="1" bestFit="1" customWidth="1"/>
    <col min="5" max="8" width="11.6640625" style="1" bestFit="1" customWidth="1"/>
    <col min="9" max="10" width="11.6640625" bestFit="1" customWidth="1"/>
  </cols>
  <sheetData>
    <row r="1" spans="1:19" ht="16" thickBot="1" x14ac:dyDescent="0.25">
      <c r="A1" s="3" t="s">
        <v>25</v>
      </c>
      <c r="B1" s="4" t="s">
        <v>0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12" t="s">
        <v>28</v>
      </c>
      <c r="J1" s="13" t="s">
        <v>29</v>
      </c>
    </row>
    <row r="2" spans="1:19" x14ac:dyDescent="0.2">
      <c r="A2" s="21" t="s">
        <v>16</v>
      </c>
      <c r="B2" s="5" t="s">
        <v>18</v>
      </c>
      <c r="C2" s="5">
        <v>3.2410000000000001</v>
      </c>
      <c r="D2" s="5">
        <v>1.37</v>
      </c>
      <c r="E2" s="6">
        <f>(D2/C2)*100</f>
        <v>42.270904041962361</v>
      </c>
      <c r="F2" s="5">
        <f>AVERAGE(E2:E5)</f>
        <v>39.547477266931146</v>
      </c>
      <c r="G2" s="5">
        <f>STDEV(E2:E5)</f>
        <v>7.2969215127536105</v>
      </c>
      <c r="H2" s="5">
        <f>G2/SQRT(4)</f>
        <v>3.6484607563768052</v>
      </c>
      <c r="I2" s="14">
        <f>F6/F2</f>
        <v>1.7631080315315986</v>
      </c>
      <c r="J2" s="15">
        <f>TTEST(E2:E5,E6:E8,2,2)</f>
        <v>3.9634865379722592E-2</v>
      </c>
    </row>
    <row r="3" spans="1:19" x14ac:dyDescent="0.2">
      <c r="A3" s="22"/>
      <c r="B3" s="2" t="s">
        <v>10</v>
      </c>
      <c r="C3" s="2">
        <v>3.5819999999999999</v>
      </c>
      <c r="D3" s="2">
        <v>1.6990000000000001</v>
      </c>
      <c r="E3" s="7">
        <f>(D3/C3)*100</f>
        <v>47.431602456728086</v>
      </c>
      <c r="F3" s="2"/>
      <c r="G3" s="2"/>
      <c r="H3" s="2"/>
      <c r="I3" s="11"/>
      <c r="J3" s="16"/>
    </row>
    <row r="4" spans="1:19" x14ac:dyDescent="0.2">
      <c r="A4" s="22"/>
      <c r="B4" s="2" t="s">
        <v>11</v>
      </c>
      <c r="C4" s="2">
        <v>3.355</v>
      </c>
      <c r="D4" s="2">
        <v>1.2869999999999999</v>
      </c>
      <c r="E4" s="7">
        <f>(D4/C4)*100</f>
        <v>38.360655737704917</v>
      </c>
      <c r="F4" s="2"/>
      <c r="G4" s="2"/>
      <c r="H4" s="2"/>
      <c r="I4" s="11"/>
      <c r="J4" s="16"/>
    </row>
    <row r="5" spans="1:19" ht="16" thickBot="1" x14ac:dyDescent="0.25">
      <c r="A5" s="23"/>
      <c r="B5" s="8" t="s">
        <v>12</v>
      </c>
      <c r="C5" s="8">
        <v>3.077</v>
      </c>
      <c r="D5" s="8">
        <v>0.92700000000000005</v>
      </c>
      <c r="E5" s="9">
        <f t="shared" ref="E5:E8" si="0">(D5/C5)*100</f>
        <v>30.126746831329221</v>
      </c>
      <c r="F5" s="8"/>
      <c r="G5" s="8"/>
      <c r="H5" s="8"/>
      <c r="I5" s="17"/>
      <c r="J5" s="18"/>
      <c r="K5" s="20" t="s">
        <v>37</v>
      </c>
      <c r="M5" t="s">
        <v>16</v>
      </c>
      <c r="N5" t="s">
        <v>41</v>
      </c>
      <c r="P5" s="20" t="s">
        <v>38</v>
      </c>
      <c r="R5" t="s">
        <v>16</v>
      </c>
      <c r="S5" t="s">
        <v>41</v>
      </c>
    </row>
    <row r="6" spans="1:19" x14ac:dyDescent="0.2">
      <c r="A6" s="21" t="s">
        <v>17</v>
      </c>
      <c r="B6" s="5" t="s">
        <v>13</v>
      </c>
      <c r="C6" s="5">
        <v>3.33</v>
      </c>
      <c r="D6" s="5">
        <v>1.5449999999999999</v>
      </c>
      <c r="E6" s="6">
        <f t="shared" si="0"/>
        <v>46.396396396396398</v>
      </c>
      <c r="F6" s="5">
        <f>AVERAGE(E6:E8)</f>
        <v>69.726474796139613</v>
      </c>
      <c r="G6" s="5">
        <f>STDEV(E6:E8)</f>
        <v>20.759764830191127</v>
      </c>
      <c r="H6" s="5">
        <f>G6/SQRT(3)</f>
        <v>11.985655813024174</v>
      </c>
      <c r="I6" s="14"/>
      <c r="J6" s="15"/>
      <c r="L6" t="s">
        <v>25</v>
      </c>
      <c r="M6">
        <v>39.547477266931146</v>
      </c>
      <c r="N6">
        <v>69.726474796139613</v>
      </c>
      <c r="Q6" t="s">
        <v>25</v>
      </c>
      <c r="R6">
        <v>3.6484607563768052</v>
      </c>
      <c r="S6">
        <v>11.985655813024174</v>
      </c>
    </row>
    <row r="7" spans="1:19" x14ac:dyDescent="0.2">
      <c r="A7" s="22"/>
      <c r="B7" s="2" t="s">
        <v>14</v>
      </c>
      <c r="C7" s="2">
        <v>4.0609999999999999</v>
      </c>
      <c r="D7" s="2">
        <v>3.4990000000000001</v>
      </c>
      <c r="E7" s="7">
        <f t="shared" si="0"/>
        <v>86.161044077813358</v>
      </c>
      <c r="F7" s="2"/>
      <c r="G7" s="2"/>
      <c r="H7" s="2"/>
      <c r="I7" s="11"/>
      <c r="J7" s="16"/>
      <c r="L7" t="s">
        <v>40</v>
      </c>
      <c r="M7">
        <v>62.967141588211277</v>
      </c>
      <c r="N7">
        <v>77.784264667516709</v>
      </c>
      <c r="Q7" t="s">
        <v>40</v>
      </c>
      <c r="R7">
        <v>2.2737483251323027</v>
      </c>
      <c r="S7">
        <v>3.2373127179575794</v>
      </c>
    </row>
    <row r="8" spans="1:19" ht="16" thickBot="1" x14ac:dyDescent="0.25">
      <c r="A8" s="23"/>
      <c r="B8" s="8" t="s">
        <v>15</v>
      </c>
      <c r="C8" s="8">
        <v>3.73</v>
      </c>
      <c r="D8" s="8">
        <v>2.8580000000000001</v>
      </c>
      <c r="E8" s="9">
        <f t="shared" si="0"/>
        <v>76.62198391420911</v>
      </c>
      <c r="F8" s="8"/>
      <c r="G8" s="8"/>
      <c r="H8" s="8"/>
      <c r="I8" s="17"/>
      <c r="J8" s="18"/>
      <c r="L8" t="s">
        <v>39</v>
      </c>
      <c r="M8">
        <v>53.633204657948951</v>
      </c>
      <c r="N8">
        <v>67.171554758190624</v>
      </c>
      <c r="Q8" t="s">
        <v>39</v>
      </c>
      <c r="R8">
        <v>4.4236291129687002</v>
      </c>
      <c r="S8">
        <v>3.2413932870251077</v>
      </c>
    </row>
    <row r="9" spans="1:19" ht="16" thickBot="1" x14ac:dyDescent="0.25"/>
    <row r="10" spans="1:19" ht="16" thickBot="1" x14ac:dyDescent="0.25">
      <c r="A10" s="3" t="s">
        <v>26</v>
      </c>
      <c r="B10" s="4" t="s">
        <v>0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4" t="s">
        <v>24</v>
      </c>
      <c r="I10" s="12" t="s">
        <v>28</v>
      </c>
      <c r="J10" s="13" t="s">
        <v>29</v>
      </c>
      <c r="M10" s="20" t="s">
        <v>32</v>
      </c>
      <c r="N10" s="20" t="s">
        <v>31</v>
      </c>
      <c r="O10" s="20" t="s">
        <v>33</v>
      </c>
      <c r="P10" s="20" t="s">
        <v>34</v>
      </c>
      <c r="Q10" s="20" t="s">
        <v>35</v>
      </c>
      <c r="R10" s="20" t="s">
        <v>36</v>
      </c>
    </row>
    <row r="11" spans="1:19" x14ac:dyDescent="0.2">
      <c r="A11" s="21" t="s">
        <v>16</v>
      </c>
      <c r="B11" s="5" t="s">
        <v>18</v>
      </c>
      <c r="C11" s="5">
        <v>0.80300000000000005</v>
      </c>
      <c r="D11" s="5">
        <v>0.52400000000000002</v>
      </c>
      <c r="E11" s="6">
        <f>(D11/C11)*100</f>
        <v>65.255292652552924</v>
      </c>
      <c r="F11" s="5">
        <f>AVERAGE(E11:E14)</f>
        <v>62.967141588211277</v>
      </c>
      <c r="G11" s="5">
        <f>STDEV(E11:E14)</f>
        <v>4.5474966502646055</v>
      </c>
      <c r="H11" s="5">
        <f>G11/SQRT(4)</f>
        <v>2.2737483251323027</v>
      </c>
      <c r="I11" s="14">
        <f>F15/F11</f>
        <v>1.2353151612980238</v>
      </c>
      <c r="J11" s="15">
        <f>TTEST(E11:E14,E15:E17,2,2)</f>
        <v>1.1626974009683058E-2</v>
      </c>
      <c r="L11" s="20" t="s">
        <v>30</v>
      </c>
      <c r="M11">
        <v>39.547477266931146</v>
      </c>
      <c r="N11">
        <v>69.726474796139613</v>
      </c>
      <c r="O11">
        <v>62.967141588211277</v>
      </c>
      <c r="P11">
        <v>77.784264667516709</v>
      </c>
      <c r="Q11">
        <v>53.633204657948951</v>
      </c>
      <c r="R11">
        <v>67.171554758190624</v>
      </c>
    </row>
    <row r="12" spans="1:19" x14ac:dyDescent="0.2">
      <c r="A12" s="22"/>
      <c r="B12" s="2" t="s">
        <v>10</v>
      </c>
      <c r="C12" s="2">
        <v>1.038</v>
      </c>
      <c r="D12" s="2">
        <v>0.69899999999999995</v>
      </c>
      <c r="E12" s="7">
        <f>(D12/C12)*100</f>
        <v>67.341040462427742</v>
      </c>
      <c r="F12" s="2"/>
      <c r="G12" s="2"/>
      <c r="H12" s="2"/>
      <c r="I12" s="11"/>
      <c r="J12" s="16"/>
      <c r="L12" s="20" t="s">
        <v>24</v>
      </c>
      <c r="M12">
        <v>3.6484607563768052</v>
      </c>
      <c r="N12">
        <v>11.985655813024174</v>
      </c>
      <c r="O12">
        <v>2.2737483251323027</v>
      </c>
      <c r="P12">
        <v>3.2373127179575794</v>
      </c>
      <c r="Q12">
        <v>4.4236291129687002</v>
      </c>
      <c r="R12">
        <v>3.2413932870251077</v>
      </c>
    </row>
    <row r="13" spans="1:19" x14ac:dyDescent="0.2">
      <c r="A13" s="22"/>
      <c r="B13" s="2" t="s">
        <v>11</v>
      </c>
      <c r="C13" s="2">
        <v>0.91800000000000004</v>
      </c>
      <c r="D13" s="2">
        <v>0.57299999999999995</v>
      </c>
      <c r="E13" s="7">
        <f>(D13/C13)*100</f>
        <v>62.418300653594763</v>
      </c>
      <c r="F13" s="2"/>
      <c r="G13" s="2"/>
      <c r="H13" s="2"/>
      <c r="I13" s="11"/>
      <c r="J13" s="16"/>
    </row>
    <row r="14" spans="1:19" ht="16" thickBot="1" x14ac:dyDescent="0.25">
      <c r="A14" s="23"/>
      <c r="B14" s="8" t="s">
        <v>12</v>
      </c>
      <c r="C14" s="8">
        <v>0.89</v>
      </c>
      <c r="D14" s="8">
        <v>0.50600000000000001</v>
      </c>
      <c r="E14" s="9">
        <f t="shared" ref="E14:E17" si="1">(D14/C14)*100</f>
        <v>56.853932584269664</v>
      </c>
      <c r="F14" s="8"/>
      <c r="G14" s="8"/>
      <c r="H14" s="8"/>
      <c r="I14" s="17"/>
      <c r="J14" s="18"/>
    </row>
    <row r="15" spans="1:19" x14ac:dyDescent="0.2">
      <c r="A15" s="21" t="s">
        <v>17</v>
      </c>
      <c r="B15" s="5" t="s">
        <v>13</v>
      </c>
      <c r="C15" s="5">
        <v>0.89</v>
      </c>
      <c r="D15" s="5">
        <v>0.69</v>
      </c>
      <c r="E15" s="6">
        <f t="shared" si="1"/>
        <v>77.528089887640434</v>
      </c>
      <c r="F15" s="5">
        <f>AVERAGE(E15:E17)</f>
        <v>77.784264667516709</v>
      </c>
      <c r="G15" s="5">
        <f>STDEV(E15:E17)</f>
        <v>5.6071901074914221</v>
      </c>
      <c r="H15" s="5">
        <f>G15/SQRT(3)</f>
        <v>3.2373127179575794</v>
      </c>
      <c r="I15" s="14"/>
      <c r="J15" s="15"/>
    </row>
    <row r="16" spans="1:19" x14ac:dyDescent="0.2">
      <c r="A16" s="22"/>
      <c r="B16" s="2" t="s">
        <v>14</v>
      </c>
      <c r="C16" s="2">
        <v>0.82499999999999996</v>
      </c>
      <c r="D16" s="2">
        <v>0.68899999999999995</v>
      </c>
      <c r="E16" s="7">
        <f t="shared" si="1"/>
        <v>83.515151515151516</v>
      </c>
      <c r="F16" s="2"/>
      <c r="G16" s="2"/>
      <c r="H16" s="2"/>
      <c r="I16" s="11"/>
      <c r="J16" s="16"/>
    </row>
    <row r="17" spans="1:10" ht="16" thickBot="1" x14ac:dyDescent="0.25">
      <c r="A17" s="23"/>
      <c r="B17" s="8" t="s">
        <v>15</v>
      </c>
      <c r="C17" s="8">
        <v>0.82699999999999996</v>
      </c>
      <c r="D17" s="8">
        <v>0.59799999999999998</v>
      </c>
      <c r="E17" s="9">
        <f t="shared" si="1"/>
        <v>72.309552599758163</v>
      </c>
      <c r="F17" s="8"/>
      <c r="G17" s="8"/>
      <c r="H17" s="8"/>
      <c r="I17" s="17"/>
      <c r="J17" s="18"/>
    </row>
    <row r="18" spans="1:10" ht="16" thickBot="1" x14ac:dyDescent="0.25"/>
    <row r="19" spans="1:10" ht="16" thickBot="1" x14ac:dyDescent="0.25">
      <c r="A19" s="3" t="s">
        <v>27</v>
      </c>
      <c r="B19" s="4" t="s">
        <v>0</v>
      </c>
      <c r="C19" s="4" t="s">
        <v>19</v>
      </c>
      <c r="D19" s="4" t="s">
        <v>20</v>
      </c>
      <c r="E19" s="4" t="s">
        <v>21</v>
      </c>
      <c r="F19" s="4" t="s">
        <v>22</v>
      </c>
      <c r="G19" s="4" t="s">
        <v>23</v>
      </c>
      <c r="H19" s="4" t="s">
        <v>24</v>
      </c>
      <c r="I19" s="12" t="s">
        <v>28</v>
      </c>
      <c r="J19" s="13" t="s">
        <v>29</v>
      </c>
    </row>
    <row r="20" spans="1:10" x14ac:dyDescent="0.2">
      <c r="A20" s="21" t="s">
        <v>16</v>
      </c>
      <c r="B20" s="5" t="s">
        <v>18</v>
      </c>
      <c r="C20" s="5">
        <v>0.67500000000000004</v>
      </c>
      <c r="D20" s="5">
        <v>0.30499999999999999</v>
      </c>
      <c r="E20" s="6">
        <f>(D20/C20)*100</f>
        <v>45.185185185185183</v>
      </c>
      <c r="F20" s="5">
        <f>AVERAGE(E20:E23)</f>
        <v>53.633204657948951</v>
      </c>
      <c r="G20" s="5">
        <f>STDEV(E20:E23)</f>
        <v>8.8472582259374004</v>
      </c>
      <c r="H20" s="5">
        <f>G20/SQRT(4)</f>
        <v>4.4236291129687002</v>
      </c>
      <c r="I20" s="14">
        <f>F24/F20</f>
        <v>1.2524247839856639</v>
      </c>
      <c r="J20" s="15">
        <f>TTEST(E20:E23,E24:E26,2,2)</f>
        <v>7.0069458154133207E-2</v>
      </c>
    </row>
    <row r="21" spans="1:10" x14ac:dyDescent="0.2">
      <c r="A21" s="22"/>
      <c r="B21" s="2" t="s">
        <v>10</v>
      </c>
      <c r="C21" s="2">
        <v>0.47799999999999998</v>
      </c>
      <c r="D21" s="2">
        <v>0.313</v>
      </c>
      <c r="E21" s="7">
        <f>(D21/C21)*100</f>
        <v>65.48117154811716</v>
      </c>
      <c r="F21" s="2"/>
      <c r="G21" s="2"/>
      <c r="H21" s="2"/>
      <c r="I21" s="11"/>
      <c r="J21" s="16"/>
    </row>
    <row r="22" spans="1:10" x14ac:dyDescent="0.2">
      <c r="A22" s="22"/>
      <c r="B22" s="2" t="s">
        <v>11</v>
      </c>
      <c r="C22" s="2">
        <v>0.63600000000000001</v>
      </c>
      <c r="D22" s="2">
        <v>0.34899999999999998</v>
      </c>
      <c r="E22" s="7">
        <f>(D22/C22)*100</f>
        <v>54.874213836477978</v>
      </c>
      <c r="F22" s="2"/>
      <c r="G22" s="2"/>
      <c r="H22" s="2"/>
      <c r="I22" s="11"/>
      <c r="J22" s="16"/>
    </row>
    <row r="23" spans="1:10" ht="16" thickBot="1" x14ac:dyDescent="0.25">
      <c r="A23" s="23"/>
      <c r="B23" s="8" t="s">
        <v>12</v>
      </c>
      <c r="C23" s="8">
        <v>0.64500000000000002</v>
      </c>
      <c r="D23" s="8">
        <v>0.316</v>
      </c>
      <c r="E23" s="9">
        <f t="shared" ref="E23:E26" si="2">(D23/C23)*100</f>
        <v>48.992248062015506</v>
      </c>
      <c r="F23" s="8"/>
      <c r="G23" s="8"/>
      <c r="H23" s="8"/>
      <c r="I23" s="17"/>
      <c r="J23" s="18"/>
    </row>
    <row r="24" spans="1:10" x14ac:dyDescent="0.2">
      <c r="A24" s="21" t="s">
        <v>17</v>
      </c>
      <c r="B24" s="5" t="s">
        <v>13</v>
      </c>
      <c r="C24" s="5">
        <v>0.66200000000000003</v>
      </c>
      <c r="D24" s="5">
        <v>0.42199999999999999</v>
      </c>
      <c r="E24" s="6">
        <f t="shared" si="2"/>
        <v>63.746223564954676</v>
      </c>
      <c r="F24" s="5">
        <f>AVERAGE(E24:E26)</f>
        <v>67.171554758190624</v>
      </c>
      <c r="G24" s="5">
        <f>STDEV(E24:E26)</f>
        <v>5.6142578604401754</v>
      </c>
      <c r="H24" s="5">
        <f>G24/SQRT(3)</f>
        <v>3.2413932870251077</v>
      </c>
      <c r="I24" s="14"/>
      <c r="J24" s="15"/>
    </row>
    <row r="25" spans="1:10" x14ac:dyDescent="0.2">
      <c r="A25" s="22"/>
      <c r="B25" s="2" t="s">
        <v>14</v>
      </c>
      <c r="C25" s="2">
        <v>0.85</v>
      </c>
      <c r="D25" s="2">
        <v>0.54500000000000004</v>
      </c>
      <c r="E25" s="7">
        <f t="shared" si="2"/>
        <v>64.117647058823536</v>
      </c>
      <c r="F25" s="2"/>
      <c r="G25" s="2"/>
      <c r="H25" s="2"/>
      <c r="I25" s="11"/>
      <c r="J25" s="16"/>
    </row>
    <row r="26" spans="1:10" ht="16" thickBot="1" x14ac:dyDescent="0.25">
      <c r="A26" s="23"/>
      <c r="B26" s="8" t="s">
        <v>15</v>
      </c>
      <c r="C26" s="8">
        <v>0.63</v>
      </c>
      <c r="D26" s="8">
        <v>0.46400000000000002</v>
      </c>
      <c r="E26" s="9">
        <f t="shared" si="2"/>
        <v>73.650793650793659</v>
      </c>
      <c r="F26" s="8"/>
      <c r="G26" s="8"/>
      <c r="H26" s="8"/>
      <c r="I26" s="17"/>
      <c r="J26" s="18"/>
    </row>
  </sheetData>
  <mergeCells count="6">
    <mergeCell ref="A24:A26"/>
    <mergeCell ref="A2:A5"/>
    <mergeCell ref="A6:A8"/>
    <mergeCell ref="A11:A14"/>
    <mergeCell ref="A15:A17"/>
    <mergeCell ref="A20:A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ApoE</vt:lpstr>
      <vt:lpstr>Ldlr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Orit Poulsen</dc:creator>
  <cp:lastModifiedBy>Amy Yu</cp:lastModifiedBy>
  <dcterms:created xsi:type="dcterms:W3CDTF">2019-02-27T22:15:18Z</dcterms:created>
  <dcterms:modified xsi:type="dcterms:W3CDTF">2019-03-11T03:28:13Z</dcterms:modified>
</cp:coreProperties>
</file>