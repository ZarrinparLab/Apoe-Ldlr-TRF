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8_{F9AD9FF7-77B6-9149-9AD6-600ADAFCCC44}" xr6:coauthVersionLast="43" xr6:coauthVersionMax="43" xr10:uidLastSave="{00000000-0000-0000-0000-000000000000}"/>
  <bookViews>
    <workbookView xWindow="0" yWindow="460" windowWidth="23860" windowHeight="14600" activeTab="5" xr2:uid="{00000000-000D-0000-FFFF-FFFF00000000}"/>
  </bookViews>
  <sheets>
    <sheet name="Y-Fasted" sheetId="3" r:id="rId1"/>
    <sheet name="Y-Fed" sheetId="19" r:id="rId2"/>
    <sheet name="A-Fasted" sheetId="20" r:id="rId3"/>
    <sheet name="A-Fed" sheetId="22" r:id="rId4"/>
    <sheet name="chow" sheetId="21" r:id="rId5"/>
    <sheet name="HFD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7" i="23" l="1"/>
  <c r="K67" i="23" s="1"/>
  <c r="L67" i="23" s="1"/>
  <c r="E67" i="23"/>
  <c r="F67" i="23" s="1"/>
  <c r="G67" i="23" s="1"/>
  <c r="J66" i="23"/>
  <c r="K66" i="23" s="1"/>
  <c r="L66" i="23" s="1"/>
  <c r="E66" i="23"/>
  <c r="F66" i="23" s="1"/>
  <c r="G66" i="23" s="1"/>
  <c r="J65" i="23"/>
  <c r="K65" i="23" s="1"/>
  <c r="L65" i="23" s="1"/>
  <c r="E65" i="23"/>
  <c r="F65" i="23" s="1"/>
  <c r="G65" i="23" s="1"/>
  <c r="J64" i="23"/>
  <c r="K64" i="23" s="1"/>
  <c r="L64" i="23" s="1"/>
  <c r="O63" i="23" s="1"/>
  <c r="E64" i="23"/>
  <c r="F64" i="23" s="1"/>
  <c r="G64" i="23" s="1"/>
  <c r="N63" i="23" s="1"/>
  <c r="J63" i="23"/>
  <c r="K63" i="23" s="1"/>
  <c r="L63" i="23" s="1"/>
  <c r="E63" i="23"/>
  <c r="F63" i="23" s="1"/>
  <c r="G63" i="23" s="1"/>
  <c r="J62" i="23"/>
  <c r="K62" i="23" s="1"/>
  <c r="L62" i="23" s="1"/>
  <c r="E62" i="23"/>
  <c r="F62" i="23" s="1"/>
  <c r="G62" i="23" s="1"/>
  <c r="J61" i="23"/>
  <c r="K61" i="23" s="1"/>
  <c r="L61" i="23" s="1"/>
  <c r="E61" i="23"/>
  <c r="F61" i="23" s="1"/>
  <c r="G61" i="23" s="1"/>
  <c r="J60" i="23"/>
  <c r="K60" i="23" s="1"/>
  <c r="L60" i="23" s="1"/>
  <c r="E60" i="23"/>
  <c r="F60" i="23" s="1"/>
  <c r="G60" i="23" s="1"/>
  <c r="J59" i="23"/>
  <c r="K59" i="23" s="1"/>
  <c r="L59" i="23" s="1"/>
  <c r="E59" i="23"/>
  <c r="F59" i="23" s="1"/>
  <c r="G59" i="23" s="1"/>
  <c r="J58" i="23"/>
  <c r="K58" i="23" s="1"/>
  <c r="L58" i="23" s="1"/>
  <c r="E58" i="23"/>
  <c r="F58" i="23" s="1"/>
  <c r="G58" i="23" s="1"/>
  <c r="J57" i="23"/>
  <c r="K57" i="23" s="1"/>
  <c r="L57" i="23" s="1"/>
  <c r="E57" i="23"/>
  <c r="F57" i="23" s="1"/>
  <c r="G57" i="23" s="1"/>
  <c r="J56" i="23"/>
  <c r="K56" i="23" s="1"/>
  <c r="L56" i="23" s="1"/>
  <c r="E56" i="23"/>
  <c r="F56" i="23" s="1"/>
  <c r="G56" i="23" s="1"/>
  <c r="J55" i="23"/>
  <c r="K55" i="23" s="1"/>
  <c r="L55" i="23" s="1"/>
  <c r="E55" i="23"/>
  <c r="F55" i="23" s="1"/>
  <c r="G55" i="23" s="1"/>
  <c r="J54" i="23"/>
  <c r="K54" i="23" s="1"/>
  <c r="L54" i="23" s="1"/>
  <c r="E54" i="23"/>
  <c r="F54" i="23" s="1"/>
  <c r="G54" i="23" s="1"/>
  <c r="J53" i="23"/>
  <c r="K53" i="23" s="1"/>
  <c r="L53" i="23" s="1"/>
  <c r="E53" i="23"/>
  <c r="F53" i="23" s="1"/>
  <c r="G53" i="23" s="1"/>
  <c r="J52" i="23"/>
  <c r="K52" i="23" s="1"/>
  <c r="L52" i="23" s="1"/>
  <c r="E52" i="23"/>
  <c r="F52" i="23" s="1"/>
  <c r="G52" i="23" s="1"/>
  <c r="J51" i="23"/>
  <c r="K51" i="23" s="1"/>
  <c r="L51" i="23" s="1"/>
  <c r="E51" i="23"/>
  <c r="F51" i="23" s="1"/>
  <c r="G51" i="23" s="1"/>
  <c r="J50" i="23"/>
  <c r="K50" i="23" s="1"/>
  <c r="L50" i="23" s="1"/>
  <c r="E50" i="23"/>
  <c r="F50" i="23" s="1"/>
  <c r="G50" i="23" s="1"/>
  <c r="J49" i="23"/>
  <c r="K49" i="23" s="1"/>
  <c r="L49" i="23" s="1"/>
  <c r="E49" i="23"/>
  <c r="F49" i="23" s="1"/>
  <c r="G49" i="23" s="1"/>
  <c r="R36" i="23"/>
  <c r="Q36" i="23"/>
  <c r="R34" i="23"/>
  <c r="Q34" i="23"/>
  <c r="R33" i="23"/>
  <c r="Q33" i="23"/>
  <c r="R32" i="23"/>
  <c r="Q32" i="23"/>
  <c r="R31" i="23"/>
  <c r="Q31" i="23"/>
  <c r="R30" i="23"/>
  <c r="Q30" i="23"/>
  <c r="R14" i="23"/>
  <c r="Q14" i="23"/>
  <c r="R12" i="23"/>
  <c r="Q12" i="23"/>
  <c r="R11" i="23"/>
  <c r="Q11" i="23"/>
  <c r="R10" i="23"/>
  <c r="Q10" i="23"/>
  <c r="R9" i="23"/>
  <c r="Q9" i="23"/>
  <c r="R8" i="23"/>
  <c r="Q8" i="23"/>
  <c r="J79" i="21"/>
  <c r="J80" i="21"/>
  <c r="K80" i="21" s="1"/>
  <c r="L80" i="21" s="1"/>
  <c r="J81" i="21"/>
  <c r="K81" i="21" s="1"/>
  <c r="L81" i="21" s="1"/>
  <c r="J82" i="21"/>
  <c r="K82" i="21" s="1"/>
  <c r="L82" i="21" s="1"/>
  <c r="J83" i="21"/>
  <c r="J84" i="21"/>
  <c r="K84" i="21" s="1"/>
  <c r="L84" i="21" s="1"/>
  <c r="J85" i="21"/>
  <c r="K85" i="21" s="1"/>
  <c r="L85" i="21" s="1"/>
  <c r="E50" i="21"/>
  <c r="E51" i="21"/>
  <c r="F51" i="21" s="1"/>
  <c r="E52" i="21"/>
  <c r="E53" i="21"/>
  <c r="E54" i="21"/>
  <c r="E55" i="21"/>
  <c r="F55" i="21" s="1"/>
  <c r="E56" i="21"/>
  <c r="E57" i="21"/>
  <c r="E58" i="21"/>
  <c r="E59" i="21"/>
  <c r="E60" i="21"/>
  <c r="E61" i="21"/>
  <c r="E62" i="21"/>
  <c r="E63" i="21"/>
  <c r="F63" i="21" s="1"/>
  <c r="E64" i="21"/>
  <c r="E65" i="21"/>
  <c r="E66" i="21"/>
  <c r="E67" i="21"/>
  <c r="E68" i="21"/>
  <c r="E69" i="21"/>
  <c r="E70" i="21"/>
  <c r="E71" i="21"/>
  <c r="F71" i="21" s="1"/>
  <c r="E72" i="21"/>
  <c r="E73" i="21"/>
  <c r="E74" i="21"/>
  <c r="E75" i="21"/>
  <c r="F75" i="21" s="1"/>
  <c r="E76" i="21"/>
  <c r="E77" i="21"/>
  <c r="E78" i="21"/>
  <c r="E79" i="21"/>
  <c r="E80" i="21"/>
  <c r="E81" i="21"/>
  <c r="E82" i="21"/>
  <c r="F82" i="21" s="1"/>
  <c r="G82" i="21" s="1"/>
  <c r="E83" i="21"/>
  <c r="F83" i="21" s="1"/>
  <c r="E84" i="21"/>
  <c r="F84" i="21" s="1"/>
  <c r="G84" i="21" s="1"/>
  <c r="E85" i="21"/>
  <c r="F85" i="21" s="1"/>
  <c r="G85" i="21" s="1"/>
  <c r="I78" i="22"/>
  <c r="J78" i="22" s="1"/>
  <c r="D78" i="22"/>
  <c r="E78" i="22" s="1"/>
  <c r="I77" i="22"/>
  <c r="J77" i="22" s="1"/>
  <c r="K77" i="22" s="1"/>
  <c r="D77" i="22"/>
  <c r="E77" i="22" s="1"/>
  <c r="I76" i="22"/>
  <c r="J76" i="22" s="1"/>
  <c r="D76" i="22"/>
  <c r="E76" i="22" s="1"/>
  <c r="I75" i="22"/>
  <c r="J75" i="22" s="1"/>
  <c r="K75" i="22" s="1"/>
  <c r="D75" i="22"/>
  <c r="E75" i="22" s="1"/>
  <c r="I74" i="22"/>
  <c r="J74" i="22" s="1"/>
  <c r="D74" i="22"/>
  <c r="E74" i="22" s="1"/>
  <c r="I73" i="22"/>
  <c r="J73" i="22" s="1"/>
  <c r="K73" i="22" s="1"/>
  <c r="D73" i="22"/>
  <c r="E73" i="22" s="1"/>
  <c r="I72" i="22"/>
  <c r="J72" i="22" s="1"/>
  <c r="K72" i="22" s="1"/>
  <c r="D72" i="22"/>
  <c r="E72" i="22" s="1"/>
  <c r="I71" i="22"/>
  <c r="J71" i="22" s="1"/>
  <c r="K71" i="22" s="1"/>
  <c r="D71" i="22"/>
  <c r="E71" i="22" s="1"/>
  <c r="J70" i="22"/>
  <c r="I70" i="22"/>
  <c r="D70" i="22"/>
  <c r="E70" i="22" s="1"/>
  <c r="I69" i="22"/>
  <c r="J69" i="22" s="1"/>
  <c r="D69" i="22"/>
  <c r="E69" i="22" s="1"/>
  <c r="J68" i="22"/>
  <c r="I68" i="22"/>
  <c r="D68" i="22"/>
  <c r="E68" i="22" s="1"/>
  <c r="I67" i="22"/>
  <c r="J67" i="22" s="1"/>
  <c r="K67" i="22" s="1"/>
  <c r="D67" i="22"/>
  <c r="E67" i="22" s="1"/>
  <c r="J66" i="22"/>
  <c r="I66" i="22"/>
  <c r="D66" i="22"/>
  <c r="E66" i="22" s="1"/>
  <c r="I65" i="22"/>
  <c r="J65" i="22" s="1"/>
  <c r="D65" i="22"/>
  <c r="E65" i="22" s="1"/>
  <c r="J64" i="22"/>
  <c r="I64" i="22"/>
  <c r="D64" i="22"/>
  <c r="E64" i="22" s="1"/>
  <c r="I63" i="22"/>
  <c r="J63" i="22" s="1"/>
  <c r="K63" i="22" s="1"/>
  <c r="D63" i="22"/>
  <c r="E63" i="22" s="1"/>
  <c r="J62" i="22"/>
  <c r="I62" i="22"/>
  <c r="D62" i="22"/>
  <c r="E62" i="22" s="1"/>
  <c r="I61" i="22"/>
  <c r="J61" i="22" s="1"/>
  <c r="D61" i="22"/>
  <c r="E61" i="22" s="1"/>
  <c r="J60" i="22"/>
  <c r="I60" i="22"/>
  <c r="D60" i="22"/>
  <c r="E60" i="22" s="1"/>
  <c r="I59" i="22"/>
  <c r="J59" i="22" s="1"/>
  <c r="K59" i="22" s="1"/>
  <c r="D59" i="22"/>
  <c r="E59" i="22" s="1"/>
  <c r="J58" i="22"/>
  <c r="I58" i="22"/>
  <c r="D58" i="22"/>
  <c r="E58" i="22" s="1"/>
  <c r="I57" i="22"/>
  <c r="J57" i="22" s="1"/>
  <c r="D57" i="22"/>
  <c r="E57" i="22" s="1"/>
  <c r="J56" i="22"/>
  <c r="I56" i="22"/>
  <c r="D56" i="22"/>
  <c r="E56" i="22" s="1"/>
  <c r="I55" i="22"/>
  <c r="J55" i="22" s="1"/>
  <c r="K55" i="22" s="1"/>
  <c r="D55" i="22"/>
  <c r="E55" i="22" s="1"/>
  <c r="J54" i="22"/>
  <c r="I54" i="22"/>
  <c r="D54" i="22"/>
  <c r="E54" i="22" s="1"/>
  <c r="F54" i="22" s="1"/>
  <c r="I53" i="22"/>
  <c r="J53" i="22" s="1"/>
  <c r="D53" i="22"/>
  <c r="E53" i="22" s="1"/>
  <c r="J52" i="22"/>
  <c r="I52" i="22"/>
  <c r="D52" i="22"/>
  <c r="E52" i="22" s="1"/>
  <c r="I51" i="22"/>
  <c r="J51" i="22" s="1"/>
  <c r="K51" i="22" s="1"/>
  <c r="D51" i="22"/>
  <c r="E51" i="22" s="1"/>
  <c r="J50" i="22"/>
  <c r="I50" i="22"/>
  <c r="D50" i="22"/>
  <c r="E50" i="22" s="1"/>
  <c r="F50" i="22" s="1"/>
  <c r="I49" i="22"/>
  <c r="J49" i="22" s="1"/>
  <c r="K49" i="22" s="1"/>
  <c r="D49" i="22"/>
  <c r="E49" i="22" s="1"/>
  <c r="F49" i="22" s="1"/>
  <c r="Q36" i="22"/>
  <c r="P36" i="22"/>
  <c r="R34" i="22"/>
  <c r="Q34" i="22"/>
  <c r="P34" i="22"/>
  <c r="Q33" i="22"/>
  <c r="P33" i="22"/>
  <c r="R33" i="22" s="1"/>
  <c r="Q32" i="22"/>
  <c r="P32" i="22"/>
  <c r="R32" i="22" s="1"/>
  <c r="Q31" i="22"/>
  <c r="P31" i="22"/>
  <c r="R31" i="22" s="1"/>
  <c r="Q30" i="22"/>
  <c r="R30" i="22" s="1"/>
  <c r="P30" i="22"/>
  <c r="Q14" i="22"/>
  <c r="P14" i="22"/>
  <c r="Q12" i="22"/>
  <c r="P12" i="22"/>
  <c r="Q11" i="22"/>
  <c r="P11" i="22"/>
  <c r="Q10" i="22"/>
  <c r="P10" i="22"/>
  <c r="R10" i="22" s="1"/>
  <c r="Q9" i="22"/>
  <c r="P9" i="22"/>
  <c r="R9" i="22" s="1"/>
  <c r="Q8" i="22"/>
  <c r="P8" i="22"/>
  <c r="R8" i="22" s="1"/>
  <c r="K57" i="22" l="1"/>
  <c r="K65" i="22"/>
  <c r="N55" i="23"/>
  <c r="N59" i="23"/>
  <c r="N49" i="23"/>
  <c r="K53" i="22"/>
  <c r="K61" i="22"/>
  <c r="K69" i="22"/>
  <c r="O49" i="23"/>
  <c r="O55" i="23"/>
  <c r="O59" i="23"/>
  <c r="K50" i="22"/>
  <c r="K70" i="22"/>
  <c r="K76" i="22"/>
  <c r="R11" i="22"/>
  <c r="R14" i="22"/>
  <c r="K74" i="22"/>
  <c r="G72" i="21"/>
  <c r="G56" i="21"/>
  <c r="S34" i="23"/>
  <c r="F80" i="21"/>
  <c r="G80" i="21" s="1"/>
  <c r="F76" i="21"/>
  <c r="G76" i="21" s="1"/>
  <c r="F72" i="21"/>
  <c r="F68" i="21"/>
  <c r="G68" i="21" s="1"/>
  <c r="F64" i="21"/>
  <c r="G64" i="21" s="1"/>
  <c r="F60" i="21"/>
  <c r="G60" i="21" s="1"/>
  <c r="F56" i="21"/>
  <c r="F52" i="21"/>
  <c r="G52" i="21" s="1"/>
  <c r="F79" i="21"/>
  <c r="G79" i="21" s="1"/>
  <c r="F67" i="21"/>
  <c r="G67" i="21" s="1"/>
  <c r="N66" i="21" s="1"/>
  <c r="F59" i="21"/>
  <c r="G59" i="21" s="1"/>
  <c r="K54" i="22"/>
  <c r="K62" i="22"/>
  <c r="K66" i="22"/>
  <c r="G83" i="21"/>
  <c r="G71" i="21"/>
  <c r="G63" i="21"/>
  <c r="G51" i="21"/>
  <c r="R12" i="22"/>
  <c r="R36" i="22"/>
  <c r="K78" i="22"/>
  <c r="G78" i="21"/>
  <c r="G62" i="21"/>
  <c r="L79" i="21"/>
  <c r="F78" i="21"/>
  <c r="F74" i="21"/>
  <c r="G74" i="21" s="1"/>
  <c r="F70" i="21"/>
  <c r="G70" i="21" s="1"/>
  <c r="F66" i="21"/>
  <c r="G66" i="21" s="1"/>
  <c r="F62" i="21"/>
  <c r="F58" i="21"/>
  <c r="G58" i="21" s="1"/>
  <c r="F54" i="21"/>
  <c r="G54" i="21" s="1"/>
  <c r="F50" i="21"/>
  <c r="G50" i="21" s="1"/>
  <c r="K83" i="21"/>
  <c r="L83" i="21" s="1"/>
  <c r="K79" i="21"/>
  <c r="K58" i="22"/>
  <c r="G75" i="21"/>
  <c r="G55" i="21"/>
  <c r="K52" i="22"/>
  <c r="K56" i="22"/>
  <c r="F58" i="22"/>
  <c r="K60" i="22"/>
  <c r="F62" i="22"/>
  <c r="K64" i="22"/>
  <c r="F66" i="22"/>
  <c r="K68" i="22"/>
  <c r="F70" i="22"/>
  <c r="F74" i="22"/>
  <c r="F81" i="21"/>
  <c r="G81" i="21" s="1"/>
  <c r="F77" i="21"/>
  <c r="G77" i="21" s="1"/>
  <c r="F73" i="21"/>
  <c r="G73" i="21" s="1"/>
  <c r="F69" i="21"/>
  <c r="G69" i="21" s="1"/>
  <c r="F65" i="21"/>
  <c r="G65" i="21" s="1"/>
  <c r="F61" i="21"/>
  <c r="G61" i="21" s="1"/>
  <c r="F57" i="21"/>
  <c r="G57" i="21" s="1"/>
  <c r="F53" i="21"/>
  <c r="G53" i="21" s="1"/>
  <c r="S12" i="23"/>
  <c r="S11" i="23"/>
  <c r="S14" i="23"/>
  <c r="S33" i="23"/>
  <c r="S8" i="23"/>
  <c r="S10" i="23"/>
  <c r="S32" i="23"/>
  <c r="S31" i="23"/>
  <c r="S30" i="23"/>
  <c r="S36" i="23"/>
  <c r="S9" i="23"/>
  <c r="F56" i="22"/>
  <c r="F60" i="22"/>
  <c r="F64" i="22"/>
  <c r="F68" i="22"/>
  <c r="F72" i="22"/>
  <c r="F75" i="22"/>
  <c r="F78" i="22"/>
  <c r="F52" i="22"/>
  <c r="F51" i="22"/>
  <c r="F55" i="22"/>
  <c r="F59" i="22"/>
  <c r="F63" i="22"/>
  <c r="F67" i="22"/>
  <c r="F71" i="22"/>
  <c r="F77" i="22"/>
  <c r="F53" i="22"/>
  <c r="F57" i="22"/>
  <c r="F61" i="22"/>
  <c r="F65" i="22"/>
  <c r="F69" i="22"/>
  <c r="F73" i="22"/>
  <c r="F76" i="22"/>
  <c r="J78" i="21"/>
  <c r="J77" i="21"/>
  <c r="J76" i="21"/>
  <c r="J75" i="21"/>
  <c r="J74" i="21"/>
  <c r="J73" i="21"/>
  <c r="K73" i="21" s="1"/>
  <c r="L73" i="21" s="1"/>
  <c r="J72" i="21"/>
  <c r="J71" i="21"/>
  <c r="J70" i="21"/>
  <c r="J69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E49" i="21"/>
  <c r="R36" i="21"/>
  <c r="Q36" i="21"/>
  <c r="S36" i="21" s="1"/>
  <c r="R34" i="21"/>
  <c r="Q34" i="21"/>
  <c r="S34" i="21" s="1"/>
  <c r="R33" i="21"/>
  <c r="Q33" i="21"/>
  <c r="R32" i="21"/>
  <c r="Q32" i="21"/>
  <c r="S32" i="21" s="1"/>
  <c r="R31" i="21"/>
  <c r="Q31" i="21"/>
  <c r="R30" i="21"/>
  <c r="Q30" i="21"/>
  <c r="S30" i="21" s="1"/>
  <c r="R14" i="21"/>
  <c r="Q14" i="21"/>
  <c r="R12" i="21"/>
  <c r="Q12" i="21"/>
  <c r="S12" i="21" s="1"/>
  <c r="R11" i="21"/>
  <c r="Q11" i="21"/>
  <c r="R10" i="21"/>
  <c r="Q10" i="21"/>
  <c r="S10" i="21" s="1"/>
  <c r="R9" i="21"/>
  <c r="Q9" i="21"/>
  <c r="R8" i="21"/>
  <c r="Q8" i="21"/>
  <c r="S8" i="21" s="1"/>
  <c r="J52" i="20"/>
  <c r="J53" i="20"/>
  <c r="J56" i="20"/>
  <c r="J57" i="20"/>
  <c r="J60" i="20"/>
  <c r="J61" i="20"/>
  <c r="J64" i="20"/>
  <c r="J65" i="20"/>
  <c r="J68" i="20"/>
  <c r="J69" i="20"/>
  <c r="J72" i="20"/>
  <c r="J73" i="20"/>
  <c r="J76" i="20"/>
  <c r="J77" i="20"/>
  <c r="E50" i="20"/>
  <c r="E54" i="20"/>
  <c r="E58" i="20"/>
  <c r="E62" i="20"/>
  <c r="E66" i="20"/>
  <c r="E70" i="20"/>
  <c r="E74" i="20"/>
  <c r="E78" i="20"/>
  <c r="E49" i="20"/>
  <c r="I78" i="20"/>
  <c r="J78" i="20" s="1"/>
  <c r="D78" i="20"/>
  <c r="I77" i="20"/>
  <c r="D77" i="20"/>
  <c r="E77" i="20" s="1"/>
  <c r="I76" i="20"/>
  <c r="D76" i="20"/>
  <c r="E76" i="20" s="1"/>
  <c r="I75" i="20"/>
  <c r="J75" i="20" s="1"/>
  <c r="D75" i="20"/>
  <c r="E75" i="20" s="1"/>
  <c r="I74" i="20"/>
  <c r="J74" i="20" s="1"/>
  <c r="D74" i="20"/>
  <c r="I73" i="20"/>
  <c r="D73" i="20"/>
  <c r="E73" i="20" s="1"/>
  <c r="I72" i="20"/>
  <c r="D72" i="20"/>
  <c r="E72" i="20" s="1"/>
  <c r="I71" i="20"/>
  <c r="J71" i="20" s="1"/>
  <c r="D71" i="20"/>
  <c r="E71" i="20" s="1"/>
  <c r="I70" i="20"/>
  <c r="J70" i="20" s="1"/>
  <c r="D70" i="20"/>
  <c r="I69" i="20"/>
  <c r="D69" i="20"/>
  <c r="E69" i="20" s="1"/>
  <c r="I68" i="20"/>
  <c r="D68" i="20"/>
  <c r="E68" i="20" s="1"/>
  <c r="I67" i="20"/>
  <c r="J67" i="20" s="1"/>
  <c r="D67" i="20"/>
  <c r="E67" i="20" s="1"/>
  <c r="I66" i="20"/>
  <c r="J66" i="20" s="1"/>
  <c r="D66" i="20"/>
  <c r="I65" i="20"/>
  <c r="D65" i="20"/>
  <c r="E65" i="20" s="1"/>
  <c r="I64" i="20"/>
  <c r="D64" i="20"/>
  <c r="E64" i="20" s="1"/>
  <c r="I63" i="20"/>
  <c r="J63" i="20" s="1"/>
  <c r="D63" i="20"/>
  <c r="E63" i="20" s="1"/>
  <c r="I62" i="20"/>
  <c r="J62" i="20" s="1"/>
  <c r="D62" i="20"/>
  <c r="I61" i="20"/>
  <c r="D61" i="20"/>
  <c r="E61" i="20" s="1"/>
  <c r="I60" i="20"/>
  <c r="D60" i="20"/>
  <c r="E60" i="20" s="1"/>
  <c r="I59" i="20"/>
  <c r="D59" i="20"/>
  <c r="E59" i="20" s="1"/>
  <c r="I58" i="20"/>
  <c r="J58" i="20" s="1"/>
  <c r="D58" i="20"/>
  <c r="I57" i="20"/>
  <c r="D57" i="20"/>
  <c r="E57" i="20" s="1"/>
  <c r="I56" i="20"/>
  <c r="D56" i="20"/>
  <c r="E56" i="20" s="1"/>
  <c r="I55" i="20"/>
  <c r="J55" i="20" s="1"/>
  <c r="D55" i="20"/>
  <c r="E55" i="20" s="1"/>
  <c r="I54" i="20"/>
  <c r="J54" i="20" s="1"/>
  <c r="D54" i="20"/>
  <c r="I53" i="20"/>
  <c r="D53" i="20"/>
  <c r="E53" i="20" s="1"/>
  <c r="I52" i="20"/>
  <c r="D52" i="20"/>
  <c r="E52" i="20" s="1"/>
  <c r="I51" i="20"/>
  <c r="D51" i="20"/>
  <c r="E51" i="20" s="1"/>
  <c r="I50" i="20"/>
  <c r="J50" i="20" s="1"/>
  <c r="D50" i="20"/>
  <c r="I49" i="20"/>
  <c r="J49" i="20" s="1"/>
  <c r="K49" i="20" s="1"/>
  <c r="D49" i="20"/>
  <c r="Q36" i="20"/>
  <c r="P36" i="20"/>
  <c r="Q34" i="20"/>
  <c r="P34" i="20"/>
  <c r="Q33" i="20"/>
  <c r="P33" i="20"/>
  <c r="Q32" i="20"/>
  <c r="P32" i="20"/>
  <c r="Q31" i="20"/>
  <c r="P31" i="20"/>
  <c r="Q30" i="20"/>
  <c r="P30" i="20"/>
  <c r="Q14" i="20"/>
  <c r="P14" i="20"/>
  <c r="R14" i="20" s="1"/>
  <c r="Q12" i="20"/>
  <c r="P12" i="20"/>
  <c r="Q11" i="20"/>
  <c r="P11" i="20"/>
  <c r="Q10" i="20"/>
  <c r="P10" i="20"/>
  <c r="Q9" i="20"/>
  <c r="P9" i="20"/>
  <c r="Q8" i="20"/>
  <c r="P8" i="20"/>
  <c r="J52" i="19"/>
  <c r="J56" i="19"/>
  <c r="J60" i="19"/>
  <c r="J64" i="19"/>
  <c r="J68" i="19"/>
  <c r="J71" i="19"/>
  <c r="J72" i="19"/>
  <c r="J76" i="19"/>
  <c r="J49" i="19"/>
  <c r="E53" i="19"/>
  <c r="E57" i="19"/>
  <c r="E61" i="19"/>
  <c r="E65" i="19"/>
  <c r="E69" i="19"/>
  <c r="E73" i="19"/>
  <c r="E77" i="19"/>
  <c r="I78" i="19"/>
  <c r="J78" i="19" s="1"/>
  <c r="D78" i="19"/>
  <c r="E78" i="19" s="1"/>
  <c r="I77" i="19"/>
  <c r="J77" i="19" s="1"/>
  <c r="D77" i="19"/>
  <c r="I76" i="19"/>
  <c r="D76" i="19"/>
  <c r="E76" i="19" s="1"/>
  <c r="I75" i="19"/>
  <c r="J75" i="19" s="1"/>
  <c r="D75" i="19"/>
  <c r="E75" i="19" s="1"/>
  <c r="I74" i="19"/>
  <c r="J74" i="19" s="1"/>
  <c r="D74" i="19"/>
  <c r="E74" i="19" s="1"/>
  <c r="I73" i="19"/>
  <c r="J73" i="19" s="1"/>
  <c r="D73" i="19"/>
  <c r="I72" i="19"/>
  <c r="D72" i="19"/>
  <c r="E72" i="19" s="1"/>
  <c r="I71" i="19"/>
  <c r="D71" i="19"/>
  <c r="E71" i="19" s="1"/>
  <c r="I70" i="19"/>
  <c r="J70" i="19" s="1"/>
  <c r="D70" i="19"/>
  <c r="E70" i="19" s="1"/>
  <c r="I69" i="19"/>
  <c r="J69" i="19" s="1"/>
  <c r="D69" i="19"/>
  <c r="I68" i="19"/>
  <c r="D68" i="19"/>
  <c r="E68" i="19" s="1"/>
  <c r="I67" i="19"/>
  <c r="J67" i="19" s="1"/>
  <c r="D67" i="19"/>
  <c r="E67" i="19" s="1"/>
  <c r="I66" i="19"/>
  <c r="J66" i="19" s="1"/>
  <c r="D66" i="19"/>
  <c r="E66" i="19" s="1"/>
  <c r="I65" i="19"/>
  <c r="J65" i="19" s="1"/>
  <c r="D65" i="19"/>
  <c r="I64" i="19"/>
  <c r="D64" i="19"/>
  <c r="E64" i="19" s="1"/>
  <c r="I63" i="19"/>
  <c r="J63" i="19" s="1"/>
  <c r="D63" i="19"/>
  <c r="E63" i="19" s="1"/>
  <c r="I62" i="19"/>
  <c r="J62" i="19" s="1"/>
  <c r="D62" i="19"/>
  <c r="E62" i="19" s="1"/>
  <c r="I61" i="19"/>
  <c r="J61" i="19" s="1"/>
  <c r="D61" i="19"/>
  <c r="I60" i="19"/>
  <c r="D60" i="19"/>
  <c r="E60" i="19" s="1"/>
  <c r="I59" i="19"/>
  <c r="J59" i="19" s="1"/>
  <c r="D59" i="19"/>
  <c r="E59" i="19" s="1"/>
  <c r="I58" i="19"/>
  <c r="J58" i="19" s="1"/>
  <c r="D58" i="19"/>
  <c r="E58" i="19" s="1"/>
  <c r="I57" i="19"/>
  <c r="J57" i="19" s="1"/>
  <c r="D57" i="19"/>
  <c r="I56" i="19"/>
  <c r="D56" i="19"/>
  <c r="E56" i="19" s="1"/>
  <c r="I55" i="19"/>
  <c r="J55" i="19" s="1"/>
  <c r="D55" i="19"/>
  <c r="E55" i="19" s="1"/>
  <c r="I54" i="19"/>
  <c r="J54" i="19" s="1"/>
  <c r="D54" i="19"/>
  <c r="E54" i="19" s="1"/>
  <c r="I53" i="19"/>
  <c r="J53" i="19" s="1"/>
  <c r="D53" i="19"/>
  <c r="I52" i="19"/>
  <c r="D52" i="19"/>
  <c r="E52" i="19" s="1"/>
  <c r="I51" i="19"/>
  <c r="J51" i="19" s="1"/>
  <c r="D51" i="19"/>
  <c r="E51" i="19" s="1"/>
  <c r="I50" i="19"/>
  <c r="J50" i="19" s="1"/>
  <c r="D50" i="19"/>
  <c r="E50" i="19" s="1"/>
  <c r="I49" i="19"/>
  <c r="D49" i="19"/>
  <c r="E49" i="19" s="1"/>
  <c r="Q36" i="19"/>
  <c r="P36" i="19"/>
  <c r="Q34" i="19"/>
  <c r="P34" i="19"/>
  <c r="Q33" i="19"/>
  <c r="P33" i="19"/>
  <c r="R33" i="19" s="1"/>
  <c r="Q32" i="19"/>
  <c r="P32" i="19"/>
  <c r="Q31" i="19"/>
  <c r="P31" i="19"/>
  <c r="R31" i="19" s="1"/>
  <c r="R30" i="19"/>
  <c r="Q30" i="19"/>
  <c r="P30" i="19"/>
  <c r="Q14" i="19"/>
  <c r="P14" i="19"/>
  <c r="Q12" i="19"/>
  <c r="P12" i="19"/>
  <c r="Q11" i="19"/>
  <c r="R11" i="19" s="1"/>
  <c r="P11" i="19"/>
  <c r="Q10" i="19"/>
  <c r="P10" i="19"/>
  <c r="Q9" i="19"/>
  <c r="P9" i="19"/>
  <c r="Q8" i="19"/>
  <c r="P8" i="19"/>
  <c r="R8" i="19" s="1"/>
  <c r="J62" i="3"/>
  <c r="I61" i="3"/>
  <c r="J61" i="3" s="1"/>
  <c r="I62" i="3"/>
  <c r="L75" i="21" l="1"/>
  <c r="K75" i="21"/>
  <c r="N57" i="21"/>
  <c r="N74" i="21"/>
  <c r="G49" i="21"/>
  <c r="N49" i="21" s="1"/>
  <c r="F49" i="21"/>
  <c r="K52" i="21"/>
  <c r="L52" i="21" s="1"/>
  <c r="L56" i="21"/>
  <c r="K56" i="21"/>
  <c r="K60" i="21"/>
  <c r="L60" i="21" s="1"/>
  <c r="L64" i="21"/>
  <c r="K64" i="21"/>
  <c r="K68" i="21"/>
  <c r="L68" i="21" s="1"/>
  <c r="L72" i="21"/>
  <c r="K72" i="21"/>
  <c r="R9" i="19"/>
  <c r="R14" i="19"/>
  <c r="K49" i="19"/>
  <c r="K59" i="20"/>
  <c r="L49" i="21"/>
  <c r="K49" i="21"/>
  <c r="K57" i="21"/>
  <c r="L57" i="21" s="1"/>
  <c r="L61" i="21"/>
  <c r="K61" i="21"/>
  <c r="K69" i="21"/>
  <c r="L69" i="21" s="1"/>
  <c r="L76" i="21"/>
  <c r="K76" i="21"/>
  <c r="R10" i="19"/>
  <c r="R12" i="19"/>
  <c r="R36" i="19"/>
  <c r="R31" i="20"/>
  <c r="J59" i="20"/>
  <c r="J51" i="20"/>
  <c r="K51" i="20" s="1"/>
  <c r="L50" i="21"/>
  <c r="K50" i="21"/>
  <c r="K54" i="21"/>
  <c r="L54" i="21" s="1"/>
  <c r="L58" i="21"/>
  <c r="K58" i="21"/>
  <c r="K62" i="21"/>
  <c r="L62" i="21" s="1"/>
  <c r="L66" i="21"/>
  <c r="K66" i="21"/>
  <c r="K70" i="21"/>
  <c r="L70" i="21" s="1"/>
  <c r="L77" i="21"/>
  <c r="K77" i="21"/>
  <c r="K55" i="20"/>
  <c r="K53" i="21"/>
  <c r="L53" i="21" s="1"/>
  <c r="L65" i="21"/>
  <c r="K65" i="21"/>
  <c r="R32" i="19"/>
  <c r="R34" i="19"/>
  <c r="R10" i="20"/>
  <c r="R12" i="20"/>
  <c r="R30" i="20"/>
  <c r="R32" i="20"/>
  <c r="R34" i="20"/>
  <c r="F49" i="20"/>
  <c r="L51" i="21"/>
  <c r="K51" i="21"/>
  <c r="K55" i="21"/>
  <c r="L55" i="21" s="1"/>
  <c r="L59" i="21"/>
  <c r="K59" i="21"/>
  <c r="K63" i="21"/>
  <c r="L63" i="21" s="1"/>
  <c r="L67" i="21"/>
  <c r="K67" i="21"/>
  <c r="K71" i="21"/>
  <c r="L71" i="21" s="1"/>
  <c r="L74" i="21"/>
  <c r="K74" i="21"/>
  <c r="K78" i="21"/>
  <c r="L78" i="21" s="1"/>
  <c r="S31" i="21"/>
  <c r="S9" i="21"/>
  <c r="S14" i="21"/>
  <c r="S33" i="21"/>
  <c r="S11" i="21"/>
  <c r="K70" i="20"/>
  <c r="K56" i="20"/>
  <c r="K64" i="20"/>
  <c r="K67" i="20"/>
  <c r="K72" i="20"/>
  <c r="K75" i="20"/>
  <c r="K77" i="20"/>
  <c r="K50" i="20"/>
  <c r="K58" i="20"/>
  <c r="K66" i="20"/>
  <c r="K74" i="20"/>
  <c r="K54" i="20"/>
  <c r="K62" i="20"/>
  <c r="K52" i="20"/>
  <c r="K60" i="20"/>
  <c r="K63" i="20"/>
  <c r="K68" i="20"/>
  <c r="K71" i="20"/>
  <c r="R36" i="20"/>
  <c r="R33" i="20"/>
  <c r="R9" i="20"/>
  <c r="R8" i="20"/>
  <c r="R11" i="20"/>
  <c r="K53" i="20"/>
  <c r="K57" i="20"/>
  <c r="K61" i="20"/>
  <c r="K65" i="20"/>
  <c r="K69" i="20"/>
  <c r="K73" i="20"/>
  <c r="K76" i="20"/>
  <c r="K78" i="20"/>
  <c r="F57" i="20"/>
  <c r="F65" i="20"/>
  <c r="F69" i="20"/>
  <c r="F73" i="20"/>
  <c r="F52" i="20"/>
  <c r="F56" i="20"/>
  <c r="F60" i="20"/>
  <c r="F64" i="20"/>
  <c r="F68" i="20"/>
  <c r="F72" i="20"/>
  <c r="F76" i="20"/>
  <c r="F61" i="20"/>
  <c r="F51" i="20"/>
  <c r="F55" i="20"/>
  <c r="F59" i="20"/>
  <c r="F63" i="20"/>
  <c r="F67" i="20"/>
  <c r="F71" i="20"/>
  <c r="F75" i="20"/>
  <c r="F78" i="20"/>
  <c r="F53" i="20"/>
  <c r="F50" i="20"/>
  <c r="F54" i="20"/>
  <c r="F58" i="20"/>
  <c r="F62" i="20"/>
  <c r="F66" i="20"/>
  <c r="F70" i="20"/>
  <c r="F74" i="20"/>
  <c r="F77" i="20"/>
  <c r="K53" i="19"/>
  <c r="K61" i="19"/>
  <c r="K65" i="19"/>
  <c r="K77" i="19"/>
  <c r="K69" i="19"/>
  <c r="K51" i="19"/>
  <c r="K59" i="19"/>
  <c r="K72" i="19"/>
  <c r="K50" i="19"/>
  <c r="K54" i="19"/>
  <c r="K58" i="19"/>
  <c r="K66" i="19"/>
  <c r="K74" i="19"/>
  <c r="K55" i="19"/>
  <c r="K67" i="19"/>
  <c r="K57" i="19"/>
  <c r="K60" i="19"/>
  <c r="K63" i="19"/>
  <c r="K68" i="19"/>
  <c r="K71" i="19"/>
  <c r="K76" i="19"/>
  <c r="K64" i="19"/>
  <c r="K75" i="19"/>
  <c r="K52" i="19"/>
  <c r="K56" i="19"/>
  <c r="K62" i="19"/>
  <c r="K70" i="19"/>
  <c r="K73" i="19"/>
  <c r="K78" i="19"/>
  <c r="F53" i="19"/>
  <c r="F66" i="19"/>
  <c r="F71" i="19"/>
  <c r="F74" i="19"/>
  <c r="F60" i="19"/>
  <c r="F65" i="19"/>
  <c r="F68" i="19"/>
  <c r="F73" i="19"/>
  <c r="F76" i="19"/>
  <c r="F58" i="19"/>
  <c r="F49" i="19"/>
  <c r="F54" i="19"/>
  <c r="F50" i="19"/>
  <c r="F56" i="19"/>
  <c r="F52" i="19"/>
  <c r="F57" i="19"/>
  <c r="F51" i="19"/>
  <c r="F55" i="19"/>
  <c r="F59" i="19"/>
  <c r="F62" i="19"/>
  <c r="F67" i="19"/>
  <c r="F70" i="19"/>
  <c r="F75" i="19"/>
  <c r="F78" i="19"/>
  <c r="F63" i="19"/>
  <c r="F61" i="19"/>
  <c r="F64" i="19"/>
  <c r="F69" i="19"/>
  <c r="F72" i="19"/>
  <c r="F77" i="19"/>
  <c r="Q33" i="3"/>
  <c r="P33" i="3"/>
  <c r="O66" i="21" l="1"/>
  <c r="O49" i="21"/>
  <c r="O57" i="21"/>
  <c r="R33" i="3"/>
  <c r="O74" i="21"/>
  <c r="I60" i="3"/>
  <c r="J60" i="3" s="1"/>
  <c r="I59" i="3"/>
  <c r="J59" i="3" s="1"/>
  <c r="I58" i="3"/>
  <c r="J58" i="3" s="1"/>
  <c r="I57" i="3"/>
  <c r="J57" i="3" s="1"/>
  <c r="I56" i="3"/>
  <c r="J56" i="3" s="1"/>
  <c r="I55" i="3"/>
  <c r="J55" i="3" s="1"/>
  <c r="I54" i="3"/>
  <c r="J54" i="3" s="1"/>
  <c r="I53" i="3"/>
  <c r="J53" i="3" s="1"/>
  <c r="I52" i="3"/>
  <c r="J52" i="3" s="1"/>
  <c r="D52" i="3" l="1"/>
  <c r="E52" i="3" s="1"/>
  <c r="D50" i="3" l="1"/>
  <c r="E50" i="3" s="1"/>
  <c r="D51" i="3"/>
  <c r="E51" i="3" s="1"/>
  <c r="D53" i="3"/>
  <c r="E53" i="3" s="1"/>
  <c r="D54" i="3"/>
  <c r="D55" i="3"/>
  <c r="E55" i="3" s="1"/>
  <c r="D56" i="3"/>
  <c r="E56" i="3" s="1"/>
  <c r="D57" i="3"/>
  <c r="E57" i="3" s="1"/>
  <c r="D58" i="3"/>
  <c r="E58" i="3" s="1"/>
  <c r="D59" i="3"/>
  <c r="E59" i="3" s="1"/>
  <c r="D60" i="3"/>
  <c r="E60" i="3" s="1"/>
  <c r="D61" i="3"/>
  <c r="E61" i="3" s="1"/>
  <c r="D62" i="3"/>
  <c r="E62" i="3" s="1"/>
  <c r="D63" i="3"/>
  <c r="E63" i="3" s="1"/>
  <c r="D64" i="3"/>
  <c r="E64" i="3" s="1"/>
  <c r="D65" i="3"/>
  <c r="E65" i="3" s="1"/>
  <c r="D66" i="3"/>
  <c r="E66" i="3" s="1"/>
  <c r="D67" i="3"/>
  <c r="E67" i="3" s="1"/>
  <c r="D68" i="3"/>
  <c r="E68" i="3" s="1"/>
  <c r="D69" i="3"/>
  <c r="E69" i="3" s="1"/>
  <c r="D70" i="3"/>
  <c r="D71" i="3"/>
  <c r="E71" i="3" s="1"/>
  <c r="D72" i="3"/>
  <c r="E72" i="3" s="1"/>
  <c r="D73" i="3"/>
  <c r="E73" i="3" s="1"/>
  <c r="D74" i="3"/>
  <c r="E74" i="3" s="1"/>
  <c r="D75" i="3"/>
  <c r="E75" i="3" s="1"/>
  <c r="D76" i="3"/>
  <c r="E76" i="3" s="1"/>
  <c r="D77" i="3"/>
  <c r="D78" i="3"/>
  <c r="E78" i="3" s="1"/>
  <c r="D49" i="3"/>
  <c r="E49" i="3" s="1"/>
  <c r="E70" i="3" l="1"/>
  <c r="F70" i="3" s="1"/>
  <c r="E54" i="3"/>
  <c r="F54" i="3" s="1"/>
  <c r="E77" i="3"/>
  <c r="F77" i="3" s="1"/>
  <c r="F51" i="3"/>
  <c r="F55" i="3"/>
  <c r="F76" i="3"/>
  <c r="F72" i="3"/>
  <c r="F68" i="3"/>
  <c r="F64" i="3"/>
  <c r="F60" i="3"/>
  <c r="F56" i="3"/>
  <c r="F75" i="3"/>
  <c r="F71" i="3"/>
  <c r="F63" i="3"/>
  <c r="F59" i="3"/>
  <c r="F66" i="3"/>
  <c r="F50" i="3"/>
  <c r="F52" i="3"/>
  <c r="F49" i="3"/>
  <c r="F67" i="3"/>
  <c r="F78" i="3"/>
  <c r="F62" i="3"/>
  <c r="F73" i="3"/>
  <c r="F69" i="3"/>
  <c r="F65" i="3"/>
  <c r="F61" i="3"/>
  <c r="F57" i="3"/>
  <c r="F53" i="3"/>
  <c r="F74" i="3"/>
  <c r="F58" i="3"/>
  <c r="I78" i="3"/>
  <c r="J78" i="3" s="1"/>
  <c r="I49" i="3"/>
  <c r="J49" i="3" s="1"/>
  <c r="P9" i="3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I68" i="3"/>
  <c r="J68" i="3" s="1"/>
  <c r="I67" i="3"/>
  <c r="I66" i="3"/>
  <c r="J66" i="3" s="1"/>
  <c r="I65" i="3"/>
  <c r="J65" i="3" s="1"/>
  <c r="I64" i="3"/>
  <c r="J64" i="3" s="1"/>
  <c r="I63" i="3"/>
  <c r="J63" i="3" s="1"/>
  <c r="I51" i="3"/>
  <c r="J51" i="3" s="1"/>
  <c r="I50" i="3"/>
  <c r="J50" i="3" s="1"/>
  <c r="Q36" i="3"/>
  <c r="P36" i="3"/>
  <c r="Q34" i="3"/>
  <c r="P34" i="3"/>
  <c r="Q32" i="3"/>
  <c r="P32" i="3"/>
  <c r="Q31" i="3"/>
  <c r="P31" i="3"/>
  <c r="Q30" i="3"/>
  <c r="P30" i="3"/>
  <c r="Q14" i="3"/>
  <c r="P14" i="3"/>
  <c r="Q12" i="3"/>
  <c r="P12" i="3"/>
  <c r="Q11" i="3"/>
  <c r="P11" i="3"/>
  <c r="Q10" i="3"/>
  <c r="P10" i="3"/>
  <c r="Q9" i="3"/>
  <c r="R9" i="3" s="1"/>
  <c r="Q8" i="3"/>
  <c r="P8" i="3"/>
  <c r="J67" i="3" l="1"/>
  <c r="K67" i="3" s="1"/>
  <c r="K62" i="3"/>
  <c r="K61" i="3"/>
  <c r="K72" i="3"/>
  <c r="K63" i="3"/>
  <c r="K71" i="3"/>
  <c r="K75" i="3"/>
  <c r="K68" i="3"/>
  <c r="K78" i="3"/>
  <c r="K50" i="3"/>
  <c r="K65" i="3"/>
  <c r="K69" i="3"/>
  <c r="K73" i="3"/>
  <c r="K77" i="3"/>
  <c r="K64" i="3"/>
  <c r="K76" i="3"/>
  <c r="K51" i="3"/>
  <c r="K66" i="3"/>
  <c r="K70" i="3"/>
  <c r="K74" i="3"/>
  <c r="R12" i="3"/>
  <c r="K53" i="3"/>
  <c r="K57" i="3"/>
  <c r="K56" i="3"/>
  <c r="K54" i="3"/>
  <c r="K58" i="3"/>
  <c r="K49" i="3"/>
  <c r="K60" i="3"/>
  <c r="K55" i="3"/>
  <c r="K59" i="3"/>
  <c r="K52" i="3"/>
  <c r="R8" i="3"/>
  <c r="R31" i="3"/>
  <c r="R30" i="3"/>
  <c r="R32" i="3"/>
  <c r="R34" i="3"/>
  <c r="R36" i="3"/>
  <c r="R11" i="3"/>
  <c r="R10" i="3"/>
  <c r="R14" i="3"/>
</calcChain>
</file>

<file path=xl/sharedStrings.xml><?xml version="1.0" encoding="utf-8"?>
<sst xmlns="http://schemas.openxmlformats.org/spreadsheetml/2006/main" count="381" uniqueCount="91">
  <si>
    <t>TG</t>
  </si>
  <si>
    <t>CHOL</t>
  </si>
  <si>
    <t>absorbance at 505nm</t>
  </si>
  <si>
    <t>Standard TG</t>
  </si>
  <si>
    <t>Abs1</t>
  </si>
  <si>
    <t>Abs2</t>
  </si>
  <si>
    <t>Avr Abs</t>
  </si>
  <si>
    <t>TG mg/dl</t>
  </si>
  <si>
    <t>plate#1</t>
  </si>
  <si>
    <t>Std 0</t>
  </si>
  <si>
    <t>Std 1</t>
  </si>
  <si>
    <t>Std 2</t>
  </si>
  <si>
    <t>Std 3</t>
  </si>
  <si>
    <t>Std 4</t>
  </si>
  <si>
    <t>Std 5</t>
  </si>
  <si>
    <t>Std 6</t>
  </si>
  <si>
    <t>plate#2</t>
  </si>
  <si>
    <t>Standard CHOL</t>
  </si>
  <si>
    <t>CHOL mg/dl</t>
  </si>
  <si>
    <t>calculation for plasma samples</t>
  </si>
  <si>
    <t>LDLR LRP1 AlbCre+ mice on ApoC-III and Angptl3 ASO</t>
  </si>
  <si>
    <t>diluted</t>
  </si>
  <si>
    <t>mg/dl</t>
  </si>
  <si>
    <t>Fraction</t>
  </si>
  <si>
    <t>final value</t>
  </si>
  <si>
    <t>Y-Fast</t>
  </si>
  <si>
    <t>Y-Fed</t>
  </si>
  <si>
    <t>A-Fast</t>
  </si>
  <si>
    <t>A-Fed</t>
  </si>
  <si>
    <t>FPLC-load</t>
  </si>
  <si>
    <t>FYFast</t>
  </si>
  <si>
    <t>FYFed</t>
  </si>
  <si>
    <t>FAFast</t>
  </si>
  <si>
    <t>FAFed</t>
  </si>
  <si>
    <t>97N</t>
  </si>
  <si>
    <t>97L</t>
  </si>
  <si>
    <t>97LL</t>
  </si>
  <si>
    <t>97R</t>
  </si>
  <si>
    <t>97B</t>
  </si>
  <si>
    <t>100N</t>
  </si>
  <si>
    <t>100L</t>
  </si>
  <si>
    <t>100R</t>
  </si>
  <si>
    <t>100B</t>
  </si>
  <si>
    <t>98N</t>
  </si>
  <si>
    <t>98L</t>
  </si>
  <si>
    <t>98R</t>
  </si>
  <si>
    <t>98B</t>
  </si>
  <si>
    <t>99N</t>
  </si>
  <si>
    <t>99L</t>
  </si>
  <si>
    <t>99LL</t>
  </si>
  <si>
    <t>99R</t>
  </si>
  <si>
    <t>99B</t>
  </si>
  <si>
    <t>86N</t>
  </si>
  <si>
    <t>86R</t>
  </si>
  <si>
    <t>86B</t>
  </si>
  <si>
    <t>87N</t>
  </si>
  <si>
    <t>87LL</t>
  </si>
  <si>
    <t>88N</t>
  </si>
  <si>
    <t>88L</t>
  </si>
  <si>
    <t>89N</t>
  </si>
  <si>
    <t>89L</t>
  </si>
  <si>
    <t>89LL</t>
  </si>
  <si>
    <t>90LL</t>
  </si>
  <si>
    <t>90R</t>
  </si>
  <si>
    <t>91N</t>
  </si>
  <si>
    <t>91L</t>
  </si>
  <si>
    <t>91B</t>
  </si>
  <si>
    <t>dilution</t>
  </si>
  <si>
    <t>ApoE TRF</t>
  </si>
  <si>
    <t>ApoE adliib</t>
  </si>
  <si>
    <t>LDLR TRF</t>
  </si>
  <si>
    <t>LDLR adlib</t>
  </si>
  <si>
    <t>123N</t>
  </si>
  <si>
    <t>123L</t>
  </si>
  <si>
    <t>123R</t>
  </si>
  <si>
    <t>123B</t>
  </si>
  <si>
    <t>124N</t>
  </si>
  <si>
    <t>124L</t>
  </si>
  <si>
    <t>125L</t>
  </si>
  <si>
    <t>125B</t>
  </si>
  <si>
    <t>126N</t>
  </si>
  <si>
    <t>126L</t>
  </si>
  <si>
    <t>130N</t>
  </si>
  <si>
    <t>130L</t>
  </si>
  <si>
    <t>130R</t>
  </si>
  <si>
    <t>131N</t>
  </si>
  <si>
    <t>131L</t>
  </si>
  <si>
    <t>132N</t>
  </si>
  <si>
    <t>132L</t>
  </si>
  <si>
    <t>133N</t>
  </si>
  <si>
    <t>133L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</si>
</sst>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0" xfId="0" applyFont="1" applyFill="1"/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Fill="1" applyAlignment="1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Border="1"/>
    <xf numFmtId="0" fontId="6" fillId="0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'Y-Fasted'!$S$8:$S$14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'Y-Fasted'!$R$8:$R$14</c:f>
              <c:numCache>
                <c:formatCode>General</c:formatCode>
                <c:ptCount val="7"/>
                <c:pt idx="0">
                  <c:v>5.6500000000000002E-2</c:v>
                </c:pt>
                <c:pt idx="1">
                  <c:v>5.7500000000000002E-2</c:v>
                </c:pt>
                <c:pt idx="2">
                  <c:v>6.1499999999999999E-2</c:v>
                </c:pt>
                <c:pt idx="3">
                  <c:v>6.8000000000000005E-2</c:v>
                </c:pt>
                <c:pt idx="4">
                  <c:v>8.4499999999999992E-2</c:v>
                </c:pt>
                <c:pt idx="6">
                  <c:v>0.17299999999999999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A-4043-85D0-B107926DE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5448"/>
        <c:axId val="224923488"/>
      </c:scatterChart>
      <c:valAx>
        <c:axId val="22492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3488"/>
        <c:crosses val="autoZero"/>
        <c:crossBetween val="midCat"/>
      </c:valAx>
      <c:valAx>
        <c:axId val="2249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'Y-Fasted'!$S$30:$S$36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'Y-Fasted'!$R$30:$R$36</c:f>
              <c:numCache>
                <c:formatCode>General</c:formatCode>
                <c:ptCount val="7"/>
                <c:pt idx="0">
                  <c:v>7.3999999999999996E-2</c:v>
                </c:pt>
                <c:pt idx="1">
                  <c:v>7.4499999999999997E-2</c:v>
                </c:pt>
                <c:pt idx="2">
                  <c:v>7.85E-2</c:v>
                </c:pt>
                <c:pt idx="3">
                  <c:v>8.6999999999999994E-2</c:v>
                </c:pt>
                <c:pt idx="4">
                  <c:v>9.4E-2</c:v>
                </c:pt>
                <c:pt idx="6">
                  <c:v>0.17349999999999999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5C-174B-8620-678B4F261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6624"/>
        <c:axId val="224922704"/>
      </c:scatterChart>
      <c:valAx>
        <c:axId val="22492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2704"/>
        <c:crosses val="autoZero"/>
        <c:crossBetween val="midCat"/>
      </c:valAx>
      <c:valAx>
        <c:axId val="2249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'Y-Fed'!$S$8:$S$14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'Y-Fed'!$R$8:$R$14</c:f>
              <c:numCache>
                <c:formatCode>General</c:formatCode>
                <c:ptCount val="7"/>
                <c:pt idx="0">
                  <c:v>5.7000000000000002E-2</c:v>
                </c:pt>
                <c:pt idx="1">
                  <c:v>5.7500000000000002E-2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8.3999999999999991E-2</c:v>
                </c:pt>
                <c:pt idx="6">
                  <c:v>0.17649999999999999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1-7A4C-A164-AA3ADD18A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8192"/>
        <c:axId val="224921920"/>
      </c:scatterChart>
      <c:valAx>
        <c:axId val="22492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1920"/>
        <c:crosses val="autoZero"/>
        <c:crossBetween val="midCat"/>
      </c:valAx>
      <c:valAx>
        <c:axId val="2249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'Y-Fed'!$S$30:$S$36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'Y-Fed'!$R$30:$R$36</c:f>
              <c:numCache>
                <c:formatCode>General</c:formatCode>
                <c:ptCount val="7"/>
                <c:pt idx="0">
                  <c:v>7.0999999999999994E-2</c:v>
                </c:pt>
                <c:pt idx="1">
                  <c:v>7.3999999999999996E-2</c:v>
                </c:pt>
                <c:pt idx="2">
                  <c:v>7.5999999999999998E-2</c:v>
                </c:pt>
                <c:pt idx="3">
                  <c:v>8.4000000000000005E-2</c:v>
                </c:pt>
                <c:pt idx="4">
                  <c:v>9.5000000000000001E-2</c:v>
                </c:pt>
                <c:pt idx="6">
                  <c:v>0.1895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3A-574A-9D46-C049FA83E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5840"/>
        <c:axId val="224926232"/>
      </c:scatterChart>
      <c:valAx>
        <c:axId val="22492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6232"/>
        <c:crosses val="autoZero"/>
        <c:crossBetween val="midCat"/>
      </c:valAx>
      <c:valAx>
        <c:axId val="22492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'A-Fasted'!$S$8:$S$14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'A-Fasted'!$R$8:$R$14</c:f>
              <c:numCache>
                <c:formatCode>General</c:formatCode>
                <c:ptCount val="7"/>
                <c:pt idx="0">
                  <c:v>5.6500000000000002E-2</c:v>
                </c:pt>
                <c:pt idx="1">
                  <c:v>5.8499999999999996E-2</c:v>
                </c:pt>
                <c:pt idx="2">
                  <c:v>6.2E-2</c:v>
                </c:pt>
                <c:pt idx="3">
                  <c:v>7.0500000000000007E-2</c:v>
                </c:pt>
                <c:pt idx="4">
                  <c:v>8.4000000000000005E-2</c:v>
                </c:pt>
                <c:pt idx="6">
                  <c:v>0.17949999999999999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B-ED40-B855-35C973560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7408"/>
        <c:axId val="224927800"/>
      </c:scatterChart>
      <c:valAx>
        <c:axId val="22492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7800"/>
        <c:crosses val="autoZero"/>
        <c:crossBetween val="midCat"/>
      </c:valAx>
      <c:valAx>
        <c:axId val="22492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'A-Fasted'!$S$30:$S$36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'A-Fasted'!$R$30:$R$36</c:f>
              <c:numCache>
                <c:formatCode>General</c:formatCode>
                <c:ptCount val="7"/>
                <c:pt idx="0">
                  <c:v>7.0999999999999994E-2</c:v>
                </c:pt>
                <c:pt idx="1">
                  <c:v>7.3499999999999996E-2</c:v>
                </c:pt>
                <c:pt idx="2">
                  <c:v>7.5999999999999998E-2</c:v>
                </c:pt>
                <c:pt idx="3">
                  <c:v>8.4500000000000006E-2</c:v>
                </c:pt>
                <c:pt idx="4">
                  <c:v>9.6500000000000002E-2</c:v>
                </c:pt>
                <c:pt idx="6">
                  <c:v>0.185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4C-9845-8050-E4C5FB3E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23096"/>
        <c:axId val="224922312"/>
      </c:scatterChart>
      <c:valAx>
        <c:axId val="224923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2312"/>
        <c:crosses val="autoZero"/>
        <c:crossBetween val="midCat"/>
      </c:valAx>
      <c:valAx>
        <c:axId val="22492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923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'A-Fed'!$S$8:$S$14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'A-Fed'!$R$8:$R$14</c:f>
              <c:numCache>
                <c:formatCode>General</c:formatCode>
                <c:ptCount val="7"/>
                <c:pt idx="0">
                  <c:v>5.5E-2</c:v>
                </c:pt>
                <c:pt idx="1">
                  <c:v>5.8000000000000003E-2</c:v>
                </c:pt>
                <c:pt idx="2">
                  <c:v>6.5000000000000002E-2</c:v>
                </c:pt>
                <c:pt idx="3">
                  <c:v>6.9500000000000006E-2</c:v>
                </c:pt>
                <c:pt idx="4">
                  <c:v>8.2000000000000003E-2</c:v>
                </c:pt>
                <c:pt idx="6">
                  <c:v>0.17549999999999999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E-E641-AD5A-8F704BB6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0792"/>
        <c:axId val="166133536"/>
      </c:scatterChart>
      <c:valAx>
        <c:axId val="16613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536"/>
        <c:crosses val="autoZero"/>
        <c:crossBetween val="midCat"/>
      </c:valAx>
      <c:valAx>
        <c:axId val="1661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'A-Fed'!$S$30:$S$36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'A-Fed'!$R$30:$R$36</c:f>
              <c:numCache>
                <c:formatCode>General</c:formatCode>
                <c:ptCount val="7"/>
                <c:pt idx="0">
                  <c:v>7.1499999999999994E-2</c:v>
                </c:pt>
                <c:pt idx="1">
                  <c:v>7.5999999999999998E-2</c:v>
                </c:pt>
                <c:pt idx="2">
                  <c:v>7.6499999999999999E-2</c:v>
                </c:pt>
                <c:pt idx="3">
                  <c:v>8.4500000000000006E-2</c:v>
                </c:pt>
                <c:pt idx="4">
                  <c:v>9.4500000000000001E-2</c:v>
                </c:pt>
                <c:pt idx="6">
                  <c:v>0.188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A-2F42-BB3A-1F733C45B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3928"/>
        <c:axId val="166134712"/>
      </c:scatterChart>
      <c:valAx>
        <c:axId val="166133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712"/>
        <c:crosses val="autoZero"/>
        <c:crossBetween val="midCat"/>
      </c:valAx>
      <c:valAx>
        <c:axId val="1661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chow!$T$8:$T$14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chow!$S$8:$S$14</c:f>
              <c:numCache>
                <c:formatCode>General</c:formatCode>
                <c:ptCount val="7"/>
                <c:pt idx="0">
                  <c:v>5.6500000000000002E-2</c:v>
                </c:pt>
                <c:pt idx="1">
                  <c:v>5.6500000000000002E-2</c:v>
                </c:pt>
                <c:pt idx="2">
                  <c:v>6.1499999999999999E-2</c:v>
                </c:pt>
                <c:pt idx="3">
                  <c:v>6.9500000000000006E-2</c:v>
                </c:pt>
                <c:pt idx="4">
                  <c:v>8.4499999999999992E-2</c:v>
                </c:pt>
                <c:pt idx="6">
                  <c:v>0.14749999999999999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2E-6E41-9832-1F097DE9C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21952"/>
        <c:axId val="226122344"/>
      </c:scatterChart>
      <c:valAx>
        <c:axId val="2261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2344"/>
        <c:crosses val="autoZero"/>
        <c:crossBetween val="midCat"/>
      </c:valAx>
      <c:valAx>
        <c:axId val="22612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chow!$T$30:$T$36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chow!$S$30:$S$36</c:f>
              <c:numCache>
                <c:formatCode>General</c:formatCode>
                <c:ptCount val="7"/>
                <c:pt idx="0">
                  <c:v>7.1499999999999994E-2</c:v>
                </c:pt>
                <c:pt idx="1">
                  <c:v>7.3499999999999996E-2</c:v>
                </c:pt>
                <c:pt idx="2">
                  <c:v>7.6499999999999999E-2</c:v>
                </c:pt>
                <c:pt idx="3">
                  <c:v>8.4000000000000005E-2</c:v>
                </c:pt>
                <c:pt idx="4">
                  <c:v>9.6000000000000002E-2</c:v>
                </c:pt>
                <c:pt idx="6">
                  <c:v>0.1595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D-944E-9A9E-C13E71AA4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22736"/>
        <c:axId val="226125872"/>
      </c:scatterChart>
      <c:valAx>
        <c:axId val="22612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5872"/>
        <c:crosses val="autoZero"/>
        <c:crossBetween val="midCat"/>
      </c:valAx>
      <c:valAx>
        <c:axId val="22612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12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538157054692501"/>
                  <c:y val="-1.29612403100775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HFD!$T$8:$T$14</c:f>
              <c:numCache>
                <c:formatCode>General</c:formatCode>
                <c:ptCount val="7"/>
                <c:pt idx="0">
                  <c:v>0</c:v>
                </c:pt>
                <c:pt idx="1">
                  <c:v>0.6</c:v>
                </c:pt>
                <c:pt idx="2">
                  <c:v>1.5</c:v>
                </c:pt>
                <c:pt idx="3">
                  <c:v>3</c:v>
                </c:pt>
                <c:pt idx="4">
                  <c:v>4.5999999999999996</c:v>
                </c:pt>
                <c:pt idx="6">
                  <c:v>18.600000000000001</c:v>
                </c:pt>
              </c:numCache>
            </c:numRef>
          </c:xVal>
          <c:yVal>
            <c:numRef>
              <c:f>HFD!$S$8:$S$14</c:f>
              <c:numCache>
                <c:formatCode>General</c:formatCode>
                <c:ptCount val="7"/>
                <c:pt idx="0">
                  <c:v>5.7000000000000002E-2</c:v>
                </c:pt>
                <c:pt idx="1">
                  <c:v>0.06</c:v>
                </c:pt>
                <c:pt idx="2">
                  <c:v>6.2E-2</c:v>
                </c:pt>
                <c:pt idx="3">
                  <c:v>7.0000000000000007E-2</c:v>
                </c:pt>
                <c:pt idx="4">
                  <c:v>8.7499999999999994E-2</c:v>
                </c:pt>
                <c:pt idx="6">
                  <c:v>0.153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C6-3C48-B4B5-7DAEB73C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29224"/>
        <c:axId val="166129616"/>
      </c:scatterChart>
      <c:valAx>
        <c:axId val="166129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9616"/>
        <c:crosses val="autoZero"/>
        <c:crossBetween val="midCat"/>
      </c:valAx>
      <c:valAx>
        <c:axId val="1661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9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339692074573201"/>
                  <c:y val="-1.38296148517652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HFD!$T$30:$T$36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1.25</c:v>
                </c:pt>
                <c:pt idx="3">
                  <c:v>2.5</c:v>
                </c:pt>
                <c:pt idx="4">
                  <c:v>3.75</c:v>
                </c:pt>
                <c:pt idx="6">
                  <c:v>15</c:v>
                </c:pt>
              </c:numCache>
            </c:numRef>
          </c:xVal>
          <c:yVal>
            <c:numRef>
              <c:f>HFD!$S$30:$S$36</c:f>
              <c:numCache>
                <c:formatCode>General</c:formatCode>
                <c:ptCount val="7"/>
                <c:pt idx="0">
                  <c:v>7.1499999999999994E-2</c:v>
                </c:pt>
                <c:pt idx="1">
                  <c:v>7.4499999999999997E-2</c:v>
                </c:pt>
                <c:pt idx="2">
                  <c:v>7.7499999999999999E-2</c:v>
                </c:pt>
                <c:pt idx="3">
                  <c:v>8.5499999999999993E-2</c:v>
                </c:pt>
                <c:pt idx="4">
                  <c:v>9.9500000000000005E-2</c:v>
                </c:pt>
                <c:pt idx="6">
                  <c:v>0.16899999999999998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19-7F4E-A223-091CCE46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89160"/>
        <c:axId val="160686024"/>
      </c:scatterChart>
      <c:valAx>
        <c:axId val="16068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6024"/>
        <c:crosses val="autoZero"/>
        <c:crossBetween val="midCat"/>
      </c:valAx>
      <c:valAx>
        <c:axId val="1606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9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14</xdr:row>
      <xdr:rowOff>123825</xdr:rowOff>
    </xdr:from>
    <xdr:to>
      <xdr:col>19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36</xdr:row>
      <xdr:rowOff>95249</xdr:rowOff>
    </xdr:from>
    <xdr:to>
      <xdr:col>20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14</xdr:row>
      <xdr:rowOff>123825</xdr:rowOff>
    </xdr:from>
    <xdr:to>
      <xdr:col>19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36</xdr:row>
      <xdr:rowOff>95249</xdr:rowOff>
    </xdr:from>
    <xdr:to>
      <xdr:col>20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14</xdr:row>
      <xdr:rowOff>123825</xdr:rowOff>
    </xdr:from>
    <xdr:to>
      <xdr:col>19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36</xdr:row>
      <xdr:rowOff>95249</xdr:rowOff>
    </xdr:from>
    <xdr:to>
      <xdr:col>20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14</xdr:row>
      <xdr:rowOff>123825</xdr:rowOff>
    </xdr:from>
    <xdr:to>
      <xdr:col>19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295275</xdr:colOff>
      <xdr:row>36</xdr:row>
      <xdr:rowOff>95249</xdr:rowOff>
    </xdr:from>
    <xdr:to>
      <xdr:col>20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14</xdr:row>
      <xdr:rowOff>123825</xdr:rowOff>
    </xdr:from>
    <xdr:to>
      <xdr:col>20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295275</xdr:colOff>
      <xdr:row>36</xdr:row>
      <xdr:rowOff>95249</xdr:rowOff>
    </xdr:from>
    <xdr:to>
      <xdr:col>21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14</xdr:row>
      <xdr:rowOff>123825</xdr:rowOff>
    </xdr:from>
    <xdr:to>
      <xdr:col>20</xdr:col>
      <xdr:colOff>523875</xdr:colOff>
      <xdr:row>25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295275</xdr:colOff>
      <xdr:row>36</xdr:row>
      <xdr:rowOff>95249</xdr:rowOff>
    </xdr:from>
    <xdr:to>
      <xdr:col>21</xdr:col>
      <xdr:colOff>66675</xdr:colOff>
      <xdr:row>46</xdr:row>
      <xdr:rowOff>109536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4:S78"/>
  <sheetViews>
    <sheetView topLeftCell="A46" workbookViewId="0">
      <selection activeCell="K49" sqref="K49:K78"/>
    </sheetView>
  </sheetViews>
  <sheetFormatPr baseColWidth="10" defaultColWidth="9.1640625" defaultRowHeight="15" x14ac:dyDescent="0.2"/>
  <sheetData>
    <row r="4" spans="1:19" ht="19" x14ac:dyDescent="0.25">
      <c r="A4" s="52" t="s">
        <v>20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13"/>
      <c r="M4" s="13"/>
      <c r="N4" s="13"/>
      <c r="O4" s="13"/>
    </row>
    <row r="6" spans="1:19" x14ac:dyDescent="0.2">
      <c r="A6" s="1" t="s">
        <v>2</v>
      </c>
      <c r="B6" s="1"/>
      <c r="C6" s="1"/>
      <c r="O6" s="1" t="s">
        <v>3</v>
      </c>
      <c r="P6" s="1"/>
    </row>
    <row r="7" spans="1:19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O7" s="3"/>
      <c r="P7" s="4" t="s">
        <v>4</v>
      </c>
      <c r="Q7" s="4" t="s">
        <v>5</v>
      </c>
      <c r="R7" s="4" t="s">
        <v>6</v>
      </c>
      <c r="S7" s="4" t="s">
        <v>7</v>
      </c>
    </row>
    <row r="8" spans="1:19" x14ac:dyDescent="0.2">
      <c r="A8">
        <v>5.7000000000000002E-2</v>
      </c>
      <c r="B8">
        <v>5.8000000000000003E-2</v>
      </c>
      <c r="C8">
        <v>6.0999999999999999E-2</v>
      </c>
      <c r="D8">
        <v>6.8000000000000005E-2</v>
      </c>
      <c r="E8">
        <v>8.5999999999999993E-2</v>
      </c>
      <c r="F8">
        <v>9.1999999999999998E-2</v>
      </c>
      <c r="G8">
        <v>0.17199999999999999</v>
      </c>
      <c r="M8" s="14" t="s">
        <v>8</v>
      </c>
      <c r="O8" s="3" t="s">
        <v>9</v>
      </c>
      <c r="P8" s="3">
        <f>A8</f>
        <v>5.7000000000000002E-2</v>
      </c>
      <c r="Q8" s="3">
        <f>A9</f>
        <v>5.6000000000000001E-2</v>
      </c>
      <c r="R8" s="3">
        <f>AVERAGE(P8:Q8)</f>
        <v>5.6500000000000002E-2</v>
      </c>
      <c r="S8" s="3">
        <v>0</v>
      </c>
    </row>
    <row r="9" spans="1:19" x14ac:dyDescent="0.2">
      <c r="A9">
        <v>5.6000000000000001E-2</v>
      </c>
      <c r="B9">
        <v>5.7000000000000002E-2</v>
      </c>
      <c r="C9">
        <v>6.2E-2</v>
      </c>
      <c r="D9">
        <v>6.8000000000000005E-2</v>
      </c>
      <c r="E9">
        <v>8.3000000000000004E-2</v>
      </c>
      <c r="F9">
        <v>9.2999999999999999E-2</v>
      </c>
      <c r="G9">
        <v>0.17399999999999999</v>
      </c>
      <c r="M9" s="14"/>
      <c r="O9" s="3" t="s">
        <v>10</v>
      </c>
      <c r="P9" s="3">
        <f>B8</f>
        <v>5.8000000000000003E-2</v>
      </c>
      <c r="Q9" s="3">
        <f>B9</f>
        <v>5.7000000000000002E-2</v>
      </c>
      <c r="R9" s="3">
        <f t="shared" ref="R9:R14" si="0">AVERAGE(P9:Q9)</f>
        <v>5.7500000000000002E-2</v>
      </c>
      <c r="S9" s="3">
        <v>0.6</v>
      </c>
    </row>
    <row r="10" spans="1:19" x14ac:dyDescent="0.2">
      <c r="A10">
        <v>5.5E-2</v>
      </c>
      <c r="B10">
        <v>5.7000000000000002E-2</v>
      </c>
      <c r="C10">
        <v>5.8000000000000003E-2</v>
      </c>
      <c r="D10">
        <v>7.4999999999999997E-2</v>
      </c>
      <c r="E10">
        <v>7.0999999999999994E-2</v>
      </c>
      <c r="F10">
        <v>6.3E-2</v>
      </c>
      <c r="G10">
        <v>0.06</v>
      </c>
      <c r="H10">
        <v>5.8999999999999997E-2</v>
      </c>
      <c r="I10">
        <v>0.06</v>
      </c>
      <c r="J10">
        <v>0.06</v>
      </c>
      <c r="K10">
        <v>6.2E-2</v>
      </c>
      <c r="L10">
        <v>6.2E-2</v>
      </c>
      <c r="M10" s="14"/>
      <c r="O10" s="3" t="s">
        <v>11</v>
      </c>
      <c r="P10" s="3">
        <f>C8</f>
        <v>6.0999999999999999E-2</v>
      </c>
      <c r="Q10" s="3">
        <f>C9</f>
        <v>6.2E-2</v>
      </c>
      <c r="R10" s="3">
        <f t="shared" si="0"/>
        <v>6.1499999999999999E-2</v>
      </c>
      <c r="S10" s="3">
        <v>1.5</v>
      </c>
    </row>
    <row r="11" spans="1:19" x14ac:dyDescent="0.2">
      <c r="A11">
        <v>5.6000000000000001E-2</v>
      </c>
      <c r="B11">
        <v>5.5E-2</v>
      </c>
      <c r="C11">
        <v>5.8000000000000003E-2</v>
      </c>
      <c r="D11">
        <v>7.4999999999999997E-2</v>
      </c>
      <c r="E11">
        <v>7.0000000000000007E-2</v>
      </c>
      <c r="F11">
        <v>6.2E-2</v>
      </c>
      <c r="G11">
        <v>5.8000000000000003E-2</v>
      </c>
      <c r="H11">
        <v>5.8000000000000003E-2</v>
      </c>
      <c r="I11">
        <v>5.7000000000000002E-2</v>
      </c>
      <c r="J11">
        <v>5.8000000000000003E-2</v>
      </c>
      <c r="K11">
        <v>5.8999999999999997E-2</v>
      </c>
      <c r="L11">
        <v>5.8000000000000003E-2</v>
      </c>
      <c r="M11" s="14"/>
      <c r="O11" s="3" t="s">
        <v>12</v>
      </c>
      <c r="P11" s="3">
        <f>D8</f>
        <v>6.8000000000000005E-2</v>
      </c>
      <c r="Q11" s="3">
        <f>D9</f>
        <v>6.8000000000000005E-2</v>
      </c>
      <c r="R11" s="3">
        <f t="shared" si="0"/>
        <v>6.8000000000000005E-2</v>
      </c>
      <c r="S11" s="3">
        <v>3</v>
      </c>
    </row>
    <row r="12" spans="1:19" x14ac:dyDescent="0.2">
      <c r="A12">
        <v>5.8999999999999997E-2</v>
      </c>
      <c r="B12">
        <v>0.06</v>
      </c>
      <c r="C12">
        <v>5.7000000000000002E-2</v>
      </c>
      <c r="D12">
        <v>5.8000000000000003E-2</v>
      </c>
      <c r="E12">
        <v>0.06</v>
      </c>
      <c r="F12">
        <v>0.06</v>
      </c>
      <c r="G12">
        <v>5.8999999999999997E-2</v>
      </c>
      <c r="H12">
        <v>5.8999999999999997E-2</v>
      </c>
      <c r="I12">
        <v>5.8999999999999997E-2</v>
      </c>
      <c r="J12">
        <v>5.8000000000000003E-2</v>
      </c>
      <c r="K12">
        <v>5.8999999999999997E-2</v>
      </c>
      <c r="L12">
        <v>5.8999999999999997E-2</v>
      </c>
      <c r="M12" s="14"/>
      <c r="O12" s="3" t="s">
        <v>13</v>
      </c>
      <c r="P12" s="3">
        <f>E8</f>
        <v>8.5999999999999993E-2</v>
      </c>
      <c r="Q12" s="3">
        <f>E9</f>
        <v>8.3000000000000004E-2</v>
      </c>
      <c r="R12" s="3">
        <f t="shared" si="0"/>
        <v>8.4499999999999992E-2</v>
      </c>
      <c r="S12" s="3">
        <v>4.5999999999999996</v>
      </c>
    </row>
    <row r="13" spans="1:19" x14ac:dyDescent="0.2">
      <c r="A13">
        <v>5.8999999999999997E-2</v>
      </c>
      <c r="B13">
        <v>5.8000000000000003E-2</v>
      </c>
      <c r="C13">
        <v>5.7000000000000002E-2</v>
      </c>
      <c r="D13">
        <v>5.7000000000000002E-2</v>
      </c>
      <c r="E13">
        <v>5.8000000000000003E-2</v>
      </c>
      <c r="F13">
        <v>5.7000000000000002E-2</v>
      </c>
      <c r="G13">
        <v>5.7000000000000002E-2</v>
      </c>
      <c r="H13">
        <v>5.8000000000000003E-2</v>
      </c>
      <c r="I13">
        <v>5.7000000000000002E-2</v>
      </c>
      <c r="J13">
        <v>5.6000000000000001E-2</v>
      </c>
      <c r="K13">
        <v>5.8000000000000003E-2</v>
      </c>
      <c r="L13">
        <v>5.7000000000000002E-2</v>
      </c>
      <c r="M13" s="14"/>
      <c r="O13" s="3" t="s">
        <v>14</v>
      </c>
      <c r="P13" s="3"/>
      <c r="Q13" s="3"/>
      <c r="R13" s="3"/>
      <c r="S13" s="3"/>
    </row>
    <row r="14" spans="1:19" x14ac:dyDescent="0.2">
      <c r="A14">
        <v>5.7000000000000002E-2</v>
      </c>
      <c r="B14">
        <v>0.06</v>
      </c>
      <c r="C14">
        <v>7.6999999999999999E-2</v>
      </c>
      <c r="D14">
        <v>9.0999999999999998E-2</v>
      </c>
      <c r="E14">
        <v>7.6999999999999999E-2</v>
      </c>
      <c r="F14">
        <v>6.6000000000000003E-2</v>
      </c>
      <c r="M14" s="14"/>
      <c r="O14" s="3" t="s">
        <v>15</v>
      </c>
      <c r="P14" s="3">
        <f>G8</f>
        <v>0.17199999999999999</v>
      </c>
      <c r="Q14" s="3">
        <f>G9</f>
        <v>0.17399999999999999</v>
      </c>
      <c r="R14" s="3">
        <f t="shared" si="0"/>
        <v>0.17299999999999999</v>
      </c>
      <c r="S14" s="3">
        <v>18.600000000000001</v>
      </c>
    </row>
    <row r="15" spans="1:19" x14ac:dyDescent="0.2">
      <c r="A15">
        <v>5.8999999999999997E-2</v>
      </c>
      <c r="B15">
        <v>5.8000000000000003E-2</v>
      </c>
      <c r="C15">
        <v>7.5999999999999998E-2</v>
      </c>
      <c r="D15">
        <v>8.8999999999999996E-2</v>
      </c>
      <c r="E15">
        <v>7.3999999999999996E-2</v>
      </c>
      <c r="F15">
        <v>6.4000000000000001E-2</v>
      </c>
      <c r="M15" s="14"/>
    </row>
    <row r="16" spans="1:19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9" x14ac:dyDescent="0.2">
      <c r="A17" s="6"/>
      <c r="B17" s="6"/>
      <c r="C17" s="6"/>
      <c r="D17" s="6"/>
      <c r="E17" s="6"/>
      <c r="F17" s="6"/>
      <c r="G17" s="6"/>
      <c r="H17" s="15"/>
      <c r="I17" s="15"/>
      <c r="J17" s="15"/>
      <c r="K17" s="15"/>
      <c r="L17" s="15"/>
      <c r="M17" s="16" t="s">
        <v>0</v>
      </c>
    </row>
    <row r="18" spans="1:19" x14ac:dyDescent="0.2">
      <c r="A18" s="6"/>
      <c r="B18" s="6"/>
      <c r="C18" s="6"/>
      <c r="D18" s="6"/>
      <c r="E18" s="6"/>
      <c r="F18" s="6"/>
      <c r="G18" s="6"/>
      <c r="H18" s="15"/>
      <c r="I18" s="15"/>
      <c r="J18" s="15"/>
      <c r="K18" s="15"/>
      <c r="L18" s="15"/>
      <c r="M18" s="17"/>
    </row>
    <row r="19" spans="1:19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7"/>
    </row>
    <row r="20" spans="1:19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7"/>
    </row>
    <row r="21" spans="1:19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8"/>
      <c r="M21" s="17"/>
    </row>
    <row r="22" spans="1:1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9"/>
      <c r="M22" s="17"/>
    </row>
    <row r="23" spans="1:19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  <c r="M23" s="17"/>
    </row>
    <row r="24" spans="1:19" x14ac:dyDescent="0.2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x14ac:dyDescent="0.2">
      <c r="A26" s="7">
        <v>1</v>
      </c>
      <c r="B26" s="7">
        <v>2</v>
      </c>
      <c r="C26" s="7">
        <v>3</v>
      </c>
      <c r="D26" s="7">
        <v>4</v>
      </c>
      <c r="E26" s="7">
        <v>5</v>
      </c>
      <c r="F26" s="7">
        <v>6</v>
      </c>
      <c r="G26" s="7">
        <v>7</v>
      </c>
      <c r="H26" s="7">
        <v>8</v>
      </c>
      <c r="I26" s="7">
        <v>9</v>
      </c>
      <c r="J26" s="7">
        <v>10</v>
      </c>
      <c r="K26" s="7">
        <v>11</v>
      </c>
      <c r="L26" s="7">
        <v>12</v>
      </c>
    </row>
    <row r="27" spans="1:19" x14ac:dyDescent="0.2">
      <c r="A27">
        <v>7.4999999999999997E-2</v>
      </c>
      <c r="B27">
        <v>7.5999999999999998E-2</v>
      </c>
      <c r="C27">
        <v>8.2000000000000003E-2</v>
      </c>
      <c r="D27">
        <v>9.0999999999999998E-2</v>
      </c>
      <c r="E27">
        <v>9.4E-2</v>
      </c>
      <c r="F27">
        <v>0.113</v>
      </c>
      <c r="G27">
        <v>0.16500000000000001</v>
      </c>
      <c r="M27" s="27" t="s">
        <v>16</v>
      </c>
    </row>
    <row r="28" spans="1:19" x14ac:dyDescent="0.2">
      <c r="A28">
        <v>7.2999999999999995E-2</v>
      </c>
      <c r="B28">
        <v>7.2999999999999995E-2</v>
      </c>
      <c r="C28">
        <v>7.4999999999999997E-2</v>
      </c>
      <c r="D28">
        <v>8.3000000000000004E-2</v>
      </c>
      <c r="E28">
        <v>9.4E-2</v>
      </c>
      <c r="F28">
        <v>0.11799999999999999</v>
      </c>
      <c r="G28">
        <v>0.182</v>
      </c>
      <c r="M28" s="27"/>
      <c r="O28" s="1" t="s">
        <v>17</v>
      </c>
      <c r="P28" s="1"/>
    </row>
    <row r="29" spans="1:19" x14ac:dyDescent="0.2">
      <c r="A29">
        <v>7.1999999999999995E-2</v>
      </c>
      <c r="B29">
        <v>7.4999999999999997E-2</v>
      </c>
      <c r="C29">
        <v>7.2999999999999995E-2</v>
      </c>
      <c r="D29">
        <v>7.8E-2</v>
      </c>
      <c r="E29">
        <v>7.8E-2</v>
      </c>
      <c r="F29">
        <v>7.1999999999999995E-2</v>
      </c>
      <c r="G29">
        <v>7.0999999999999994E-2</v>
      </c>
      <c r="H29">
        <v>7.0000000000000007E-2</v>
      </c>
      <c r="I29">
        <v>7.1999999999999995E-2</v>
      </c>
      <c r="J29">
        <v>7.1999999999999995E-2</v>
      </c>
      <c r="K29">
        <v>7.5999999999999998E-2</v>
      </c>
      <c r="L29">
        <v>7.3999999999999996E-2</v>
      </c>
      <c r="M29" s="27"/>
      <c r="O29" s="3"/>
      <c r="P29" s="8" t="s">
        <v>4</v>
      </c>
      <c r="Q29" s="8" t="s">
        <v>5</v>
      </c>
      <c r="R29" s="8" t="s">
        <v>6</v>
      </c>
      <c r="S29" s="8" t="s">
        <v>18</v>
      </c>
    </row>
    <row r="30" spans="1:19" x14ac:dyDescent="0.2">
      <c r="A30">
        <v>7.1999999999999995E-2</v>
      </c>
      <c r="B30">
        <v>7.2999999999999995E-2</v>
      </c>
      <c r="C30">
        <v>7.1999999999999995E-2</v>
      </c>
      <c r="D30">
        <v>7.4999999999999997E-2</v>
      </c>
      <c r="E30">
        <v>7.3999999999999996E-2</v>
      </c>
      <c r="F30">
        <v>7.2999999999999995E-2</v>
      </c>
      <c r="G30">
        <v>7.0000000000000007E-2</v>
      </c>
      <c r="H30">
        <v>7.2999999999999995E-2</v>
      </c>
      <c r="I30">
        <v>7.1999999999999995E-2</v>
      </c>
      <c r="J30">
        <v>6.9000000000000006E-2</v>
      </c>
      <c r="K30">
        <v>7.0999999999999994E-2</v>
      </c>
      <c r="L30">
        <v>7.0000000000000007E-2</v>
      </c>
      <c r="M30" s="27"/>
      <c r="O30" s="3" t="s">
        <v>9</v>
      </c>
      <c r="P30" s="3">
        <f>A27</f>
        <v>7.4999999999999997E-2</v>
      </c>
      <c r="Q30" s="3">
        <f>A28</f>
        <v>7.2999999999999995E-2</v>
      </c>
      <c r="R30" s="3">
        <f>AVERAGE(P30:Q30)</f>
        <v>7.3999999999999996E-2</v>
      </c>
      <c r="S30" s="9">
        <v>0</v>
      </c>
    </row>
    <row r="31" spans="1:19" x14ac:dyDescent="0.2">
      <c r="A31">
        <v>7.8E-2</v>
      </c>
      <c r="B31">
        <v>7.9000000000000001E-2</v>
      </c>
      <c r="C31">
        <v>7.8E-2</v>
      </c>
      <c r="D31">
        <v>8.2000000000000003E-2</v>
      </c>
      <c r="E31">
        <v>9.9000000000000005E-2</v>
      </c>
      <c r="F31">
        <v>0.12</v>
      </c>
      <c r="G31">
        <v>0.10100000000000001</v>
      </c>
      <c r="H31">
        <v>8.7999999999999995E-2</v>
      </c>
      <c r="I31">
        <v>7.8E-2</v>
      </c>
      <c r="J31">
        <v>7.1999999999999995E-2</v>
      </c>
      <c r="K31">
        <v>7.0000000000000007E-2</v>
      </c>
      <c r="L31">
        <v>6.8000000000000005E-2</v>
      </c>
      <c r="M31" s="27"/>
      <c r="O31" s="3" t="s">
        <v>10</v>
      </c>
      <c r="P31" s="3">
        <f>B27</f>
        <v>7.5999999999999998E-2</v>
      </c>
      <c r="Q31" s="3">
        <f>B28</f>
        <v>7.2999999999999995E-2</v>
      </c>
      <c r="R31" s="3">
        <f>AVERAGE(P31:Q31)</f>
        <v>7.4499999999999997E-2</v>
      </c>
      <c r="S31" s="9">
        <v>0.5</v>
      </c>
    </row>
    <row r="32" spans="1:19" x14ac:dyDescent="0.2">
      <c r="A32">
        <v>7.8E-2</v>
      </c>
      <c r="B32">
        <v>7.8E-2</v>
      </c>
      <c r="C32">
        <v>7.5999999999999998E-2</v>
      </c>
      <c r="D32">
        <v>8.1000000000000003E-2</v>
      </c>
      <c r="E32">
        <v>9.7000000000000003E-2</v>
      </c>
      <c r="F32">
        <v>0.11899999999999999</v>
      </c>
      <c r="G32">
        <v>0.10100000000000001</v>
      </c>
      <c r="H32">
        <v>8.7999999999999995E-2</v>
      </c>
      <c r="I32">
        <v>7.9000000000000001E-2</v>
      </c>
      <c r="J32">
        <v>7.3999999999999996E-2</v>
      </c>
      <c r="K32">
        <v>6.8000000000000005E-2</v>
      </c>
      <c r="L32">
        <v>6.5000000000000002E-2</v>
      </c>
      <c r="M32" s="27"/>
      <c r="O32" s="3" t="s">
        <v>11</v>
      </c>
      <c r="P32" s="3">
        <f>C27</f>
        <v>8.2000000000000003E-2</v>
      </c>
      <c r="Q32" s="3">
        <f>C28</f>
        <v>7.4999999999999997E-2</v>
      </c>
      <c r="R32" s="3">
        <f t="shared" ref="R32:R36" si="1">AVERAGE(P32:Q32)</f>
        <v>7.85E-2</v>
      </c>
      <c r="S32" s="9">
        <v>1.25</v>
      </c>
    </row>
    <row r="33" spans="1:19" x14ac:dyDescent="0.2">
      <c r="A33">
        <v>7.1999999999999995E-2</v>
      </c>
      <c r="B33">
        <v>7.3999999999999996E-2</v>
      </c>
      <c r="C33">
        <v>7.2999999999999995E-2</v>
      </c>
      <c r="D33">
        <v>7.3999999999999996E-2</v>
      </c>
      <c r="E33">
        <v>7.3999999999999996E-2</v>
      </c>
      <c r="F33">
        <v>7.2999999999999995E-2</v>
      </c>
      <c r="M33" s="27"/>
      <c r="O33" s="3" t="s">
        <v>12</v>
      </c>
      <c r="P33" s="3">
        <f>D27</f>
        <v>9.0999999999999998E-2</v>
      </c>
      <c r="Q33" s="3">
        <f>D28</f>
        <v>8.3000000000000004E-2</v>
      </c>
      <c r="R33" s="3">
        <f>AVERAGE(P33:Q33)</f>
        <v>8.6999999999999994E-2</v>
      </c>
      <c r="S33" s="9">
        <v>2.5</v>
      </c>
    </row>
    <row r="34" spans="1:19" x14ac:dyDescent="0.2">
      <c r="A34">
        <v>7.2999999999999995E-2</v>
      </c>
      <c r="B34">
        <v>7.2999999999999995E-2</v>
      </c>
      <c r="C34">
        <v>7.0999999999999994E-2</v>
      </c>
      <c r="D34">
        <v>7.1999999999999995E-2</v>
      </c>
      <c r="E34">
        <v>7.1999999999999995E-2</v>
      </c>
      <c r="F34">
        <v>7.1999999999999995E-2</v>
      </c>
      <c r="M34" s="27"/>
      <c r="O34" s="3" t="s">
        <v>13</v>
      </c>
      <c r="P34" s="3">
        <f>E27</f>
        <v>9.4E-2</v>
      </c>
      <c r="Q34" s="3">
        <f>E28</f>
        <v>9.4E-2</v>
      </c>
      <c r="R34" s="3">
        <f t="shared" si="1"/>
        <v>9.4E-2</v>
      </c>
      <c r="S34" s="9">
        <v>3.75</v>
      </c>
    </row>
    <row r="35" spans="1:1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O35" s="3" t="s">
        <v>14</v>
      </c>
      <c r="P35" s="3"/>
      <c r="Q35" s="3"/>
      <c r="R35" s="3"/>
      <c r="S35" s="9"/>
    </row>
    <row r="36" spans="1:19" x14ac:dyDescent="0.2">
      <c r="A36" s="6"/>
      <c r="B36" s="6"/>
      <c r="C36" s="6"/>
      <c r="D36" s="6"/>
      <c r="E36" s="6"/>
      <c r="F36" s="6"/>
      <c r="G36" s="6"/>
      <c r="H36" s="15"/>
      <c r="I36" s="15"/>
      <c r="J36" s="15"/>
      <c r="K36" s="15"/>
      <c r="L36" s="15"/>
      <c r="M36" s="28" t="s">
        <v>1</v>
      </c>
      <c r="O36" s="3" t="s">
        <v>15</v>
      </c>
      <c r="P36" s="3">
        <f>G27</f>
        <v>0.16500000000000001</v>
      </c>
      <c r="Q36" s="3">
        <f>G28</f>
        <v>0.182</v>
      </c>
      <c r="R36" s="3">
        <f t="shared" si="1"/>
        <v>0.17349999999999999</v>
      </c>
      <c r="S36" s="9">
        <v>15</v>
      </c>
    </row>
    <row r="37" spans="1:19" x14ac:dyDescent="0.2">
      <c r="A37" s="6"/>
      <c r="B37" s="6"/>
      <c r="C37" s="6"/>
      <c r="D37" s="6"/>
      <c r="E37" s="6"/>
      <c r="F37" s="6"/>
      <c r="G37" s="6"/>
      <c r="H37" s="15"/>
      <c r="I37" s="15"/>
      <c r="J37" s="15"/>
      <c r="K37" s="15"/>
      <c r="L37" s="15"/>
      <c r="M37" s="29"/>
    </row>
    <row r="38" spans="1:19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9"/>
      <c r="N38" s="10"/>
      <c r="O38" s="10"/>
      <c r="P38" s="10"/>
    </row>
    <row r="39" spans="1:19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29"/>
      <c r="N39" s="10"/>
      <c r="O39" s="10"/>
      <c r="P39" s="10"/>
    </row>
    <row r="40" spans="1:19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8"/>
      <c r="M40" s="29"/>
      <c r="N40" s="10"/>
      <c r="O40" s="10"/>
      <c r="P40" s="10"/>
    </row>
    <row r="41" spans="1:1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9"/>
      <c r="M41" s="29"/>
      <c r="N41" s="10"/>
      <c r="O41" s="10"/>
      <c r="P41" s="10"/>
    </row>
    <row r="42" spans="1:19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  <c r="M42" s="29"/>
      <c r="N42" s="10"/>
      <c r="O42" s="10"/>
      <c r="P42" s="10"/>
    </row>
    <row r="43" spans="1:19" x14ac:dyDescent="0.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  <c r="M43" s="36"/>
      <c r="N43" s="10"/>
      <c r="O43" s="10"/>
      <c r="P43" s="10"/>
    </row>
    <row r="44" spans="1:19" x14ac:dyDescent="0.2">
      <c r="N44" s="10"/>
      <c r="O44" s="10"/>
      <c r="P44" s="10"/>
    </row>
    <row r="45" spans="1:19" x14ac:dyDescent="0.2">
      <c r="A45" s="1" t="s">
        <v>19</v>
      </c>
      <c r="B45" s="1"/>
      <c r="C45" s="1"/>
      <c r="D45" s="1"/>
      <c r="E45" s="1"/>
      <c r="K45" s="11"/>
      <c r="L45" s="12"/>
      <c r="M45" s="12"/>
    </row>
    <row r="47" spans="1:19" x14ac:dyDescent="0.2">
      <c r="A47" s="37"/>
      <c r="B47" s="38" t="s">
        <v>0</v>
      </c>
      <c r="C47" s="38" t="s">
        <v>0</v>
      </c>
      <c r="D47" s="38" t="s">
        <v>0</v>
      </c>
      <c r="E47" s="38" t="s">
        <v>0</v>
      </c>
      <c r="F47" s="38" t="s">
        <v>0</v>
      </c>
      <c r="G47" s="39" t="s">
        <v>1</v>
      </c>
      <c r="H47" s="39" t="s">
        <v>1</v>
      </c>
      <c r="I47" s="39" t="s">
        <v>1</v>
      </c>
      <c r="J47" s="40" t="s">
        <v>1</v>
      </c>
      <c r="K47" s="40" t="s">
        <v>1</v>
      </c>
    </row>
    <row r="48" spans="1:19" x14ac:dyDescent="0.2">
      <c r="A48" s="37" t="s">
        <v>23</v>
      </c>
      <c r="B48" s="41" t="s">
        <v>4</v>
      </c>
      <c r="C48" s="41" t="s">
        <v>5</v>
      </c>
      <c r="D48" s="41" t="s">
        <v>6</v>
      </c>
      <c r="E48" s="41" t="s">
        <v>21</v>
      </c>
      <c r="F48" s="41" t="s">
        <v>24</v>
      </c>
      <c r="G48" s="41" t="s">
        <v>4</v>
      </c>
      <c r="H48" s="41" t="s">
        <v>5</v>
      </c>
      <c r="I48" s="41" t="s">
        <v>6</v>
      </c>
      <c r="J48" s="42" t="s">
        <v>22</v>
      </c>
      <c r="K48" s="41" t="s">
        <v>24</v>
      </c>
    </row>
    <row r="49" spans="1:11" x14ac:dyDescent="0.2">
      <c r="A49" s="44">
        <v>1</v>
      </c>
      <c r="B49">
        <v>5.5E-2</v>
      </c>
      <c r="C49">
        <v>5.6000000000000001E-2</v>
      </c>
      <c r="D49" s="43">
        <f>AVERAGE(B49:C49)</f>
        <v>5.5500000000000001E-2</v>
      </c>
      <c r="E49" s="43">
        <f>(D49-0.0532)/0.0064</f>
        <v>0.3593750000000005</v>
      </c>
      <c r="F49" s="43">
        <f>E49-$E$49</f>
        <v>0</v>
      </c>
      <c r="G49">
        <v>7.1999999999999995E-2</v>
      </c>
      <c r="H49">
        <v>7.1999999999999995E-2</v>
      </c>
      <c r="I49" s="43">
        <f>AVERAGE(G49:H49)</f>
        <v>7.1999999999999995E-2</v>
      </c>
      <c r="J49" s="43">
        <f>(I49-0.0709)/0.0068</f>
        <v>0.16176470588235145</v>
      </c>
      <c r="K49" s="43">
        <f>J49-$J$49</f>
        <v>0</v>
      </c>
    </row>
    <row r="50" spans="1:11" x14ac:dyDescent="0.2">
      <c r="A50" s="44">
        <v>2</v>
      </c>
      <c r="B50">
        <v>5.7000000000000002E-2</v>
      </c>
      <c r="C50">
        <v>5.5E-2</v>
      </c>
      <c r="D50" s="43">
        <f t="shared" ref="D50:D78" si="2">AVERAGE(B50:C50)</f>
        <v>5.6000000000000001E-2</v>
      </c>
      <c r="E50" s="43">
        <f t="shared" ref="E50:E78" si="3">(D50-0.0532)/0.0064</f>
        <v>0.43750000000000061</v>
      </c>
      <c r="F50" s="43">
        <f t="shared" ref="F50:F78" si="4">E50-$E$49</f>
        <v>7.8125000000000111E-2</v>
      </c>
      <c r="G50">
        <v>7.4999999999999997E-2</v>
      </c>
      <c r="H50">
        <v>7.2999999999999995E-2</v>
      </c>
      <c r="I50" s="43">
        <f t="shared" ref="I50:I78" si="5">AVERAGE(G50:H50)</f>
        <v>7.3999999999999996E-2</v>
      </c>
      <c r="J50" s="43">
        <f t="shared" ref="J50:J78" si="6">(I50-0.0709)/0.0068</f>
        <v>0.4558823529411753</v>
      </c>
      <c r="K50" s="43">
        <f t="shared" ref="K50:K78" si="7">J50-$J$49</f>
        <v>0.29411764705882382</v>
      </c>
    </row>
    <row r="51" spans="1:11" x14ac:dyDescent="0.2">
      <c r="A51" s="44">
        <v>3</v>
      </c>
      <c r="B51">
        <v>5.8000000000000003E-2</v>
      </c>
      <c r="C51">
        <v>5.8000000000000003E-2</v>
      </c>
      <c r="D51" s="43">
        <f t="shared" si="2"/>
        <v>5.8000000000000003E-2</v>
      </c>
      <c r="E51" s="43">
        <f t="shared" si="3"/>
        <v>0.75000000000000089</v>
      </c>
      <c r="F51" s="43">
        <f>E51-$E$49</f>
        <v>0.39062500000000039</v>
      </c>
      <c r="G51">
        <v>7.2999999999999995E-2</v>
      </c>
      <c r="H51">
        <v>7.1999999999999995E-2</v>
      </c>
      <c r="I51" s="43">
        <f t="shared" si="5"/>
        <v>7.2499999999999995E-2</v>
      </c>
      <c r="J51" s="43">
        <f t="shared" si="6"/>
        <v>0.2352941176470574</v>
      </c>
      <c r="K51" s="43">
        <f t="shared" si="7"/>
        <v>7.3529411764705954E-2</v>
      </c>
    </row>
    <row r="52" spans="1:11" x14ac:dyDescent="0.2">
      <c r="A52" s="44">
        <v>4</v>
      </c>
      <c r="B52">
        <v>7.4999999999999997E-2</v>
      </c>
      <c r="C52">
        <v>7.4999999999999997E-2</v>
      </c>
      <c r="D52" s="43">
        <f t="shared" si="2"/>
        <v>7.4999999999999997E-2</v>
      </c>
      <c r="E52" s="43">
        <f t="shared" si="3"/>
        <v>3.40625</v>
      </c>
      <c r="F52" s="43">
        <f t="shared" si="4"/>
        <v>3.0468749999999996</v>
      </c>
      <c r="G52">
        <v>7.8E-2</v>
      </c>
      <c r="H52">
        <v>7.4999999999999997E-2</v>
      </c>
      <c r="I52" s="43">
        <f>AVERAGE(G52:H52)</f>
        <v>7.6499999999999999E-2</v>
      </c>
      <c r="J52" s="43">
        <f t="shared" si="6"/>
        <v>0.82352941176470507</v>
      </c>
      <c r="K52" s="43">
        <f t="shared" si="7"/>
        <v>0.66176470588235359</v>
      </c>
    </row>
    <row r="53" spans="1:11" x14ac:dyDescent="0.2">
      <c r="A53" s="44">
        <v>5</v>
      </c>
      <c r="B53">
        <v>7.0999999999999994E-2</v>
      </c>
      <c r="C53">
        <v>7.0000000000000007E-2</v>
      </c>
      <c r="D53" s="43">
        <f t="shared" si="2"/>
        <v>7.0500000000000007E-2</v>
      </c>
      <c r="E53" s="43">
        <f t="shared" si="3"/>
        <v>2.7031250000000013</v>
      </c>
      <c r="F53" s="43">
        <f t="shared" si="4"/>
        <v>2.3437500000000009</v>
      </c>
      <c r="G53">
        <v>7.8E-2</v>
      </c>
      <c r="H53">
        <v>7.3999999999999996E-2</v>
      </c>
      <c r="I53" s="43">
        <f t="shared" ref="I53:I60" si="8">AVERAGE(G53:H53)</f>
        <v>7.5999999999999998E-2</v>
      </c>
      <c r="J53" s="43">
        <f t="shared" si="6"/>
        <v>0.74999999999999911</v>
      </c>
      <c r="K53" s="43">
        <f t="shared" si="7"/>
        <v>0.58823529411764763</v>
      </c>
    </row>
    <row r="54" spans="1:11" x14ac:dyDescent="0.2">
      <c r="A54" s="44">
        <v>6</v>
      </c>
      <c r="B54">
        <v>6.3E-2</v>
      </c>
      <c r="C54">
        <v>6.2E-2</v>
      </c>
      <c r="D54" s="43">
        <f t="shared" si="2"/>
        <v>6.25E-2</v>
      </c>
      <c r="E54" s="43">
        <f t="shared" si="3"/>
        <v>1.4531250000000004</v>
      </c>
      <c r="F54" s="43">
        <f t="shared" si="4"/>
        <v>1.09375</v>
      </c>
      <c r="G54">
        <v>7.1999999999999995E-2</v>
      </c>
      <c r="H54">
        <v>7.2999999999999995E-2</v>
      </c>
      <c r="I54" s="43">
        <f t="shared" si="8"/>
        <v>7.2499999999999995E-2</v>
      </c>
      <c r="J54" s="43">
        <f t="shared" si="6"/>
        <v>0.2352941176470574</v>
      </c>
      <c r="K54" s="43">
        <f t="shared" si="7"/>
        <v>7.3529411764705954E-2</v>
      </c>
    </row>
    <row r="55" spans="1:11" x14ac:dyDescent="0.2">
      <c r="A55" s="44">
        <v>7</v>
      </c>
      <c r="B55">
        <v>0.06</v>
      </c>
      <c r="C55">
        <v>5.8000000000000003E-2</v>
      </c>
      <c r="D55" s="43">
        <f t="shared" si="2"/>
        <v>5.8999999999999997E-2</v>
      </c>
      <c r="E55" s="43">
        <f t="shared" si="3"/>
        <v>0.90624999999999989</v>
      </c>
      <c r="F55" s="43">
        <f>E55-$E$49</f>
        <v>0.54687499999999933</v>
      </c>
      <c r="G55">
        <v>7.0999999999999994E-2</v>
      </c>
      <c r="H55">
        <v>7.0000000000000007E-2</v>
      </c>
      <c r="I55" s="43">
        <f t="shared" si="8"/>
        <v>7.0500000000000007E-2</v>
      </c>
      <c r="J55" s="43">
        <f t="shared" si="6"/>
        <v>-5.8823529411764351E-2</v>
      </c>
      <c r="K55" s="43">
        <f t="shared" si="7"/>
        <v>-0.22058823529411581</v>
      </c>
    </row>
    <row r="56" spans="1:11" x14ac:dyDescent="0.2">
      <c r="A56" s="44">
        <v>8</v>
      </c>
      <c r="B56">
        <v>5.8999999999999997E-2</v>
      </c>
      <c r="C56">
        <v>5.8000000000000003E-2</v>
      </c>
      <c r="D56" s="43">
        <f t="shared" si="2"/>
        <v>5.8499999999999996E-2</v>
      </c>
      <c r="E56" s="43">
        <f t="shared" si="3"/>
        <v>0.82812499999999978</v>
      </c>
      <c r="F56" s="43">
        <f t="shared" si="4"/>
        <v>0.46874999999999928</v>
      </c>
      <c r="G56">
        <v>7.0000000000000007E-2</v>
      </c>
      <c r="H56">
        <v>7.2999999999999995E-2</v>
      </c>
      <c r="I56" s="43">
        <f t="shared" si="8"/>
        <v>7.1500000000000008E-2</v>
      </c>
      <c r="J56" s="43">
        <f t="shared" si="6"/>
        <v>8.823529411764755E-2</v>
      </c>
      <c r="K56" s="43">
        <f t="shared" si="7"/>
        <v>-7.35294117647039E-2</v>
      </c>
    </row>
    <row r="57" spans="1:11" x14ac:dyDescent="0.2">
      <c r="A57" s="44">
        <v>9</v>
      </c>
      <c r="B57">
        <v>0.06</v>
      </c>
      <c r="C57">
        <v>5.7000000000000002E-2</v>
      </c>
      <c r="D57" s="43">
        <f t="shared" si="2"/>
        <v>5.8499999999999996E-2</v>
      </c>
      <c r="E57" s="43">
        <f t="shared" si="3"/>
        <v>0.82812499999999978</v>
      </c>
      <c r="F57" s="43">
        <f t="shared" si="4"/>
        <v>0.46874999999999928</v>
      </c>
      <c r="G57">
        <v>7.1999999999999995E-2</v>
      </c>
      <c r="H57">
        <v>7.1999999999999995E-2</v>
      </c>
      <c r="I57" s="43">
        <f t="shared" si="8"/>
        <v>7.1999999999999995E-2</v>
      </c>
      <c r="J57" s="43">
        <f t="shared" si="6"/>
        <v>0.16176470588235145</v>
      </c>
      <c r="K57" s="43">
        <f t="shared" si="7"/>
        <v>0</v>
      </c>
    </row>
    <row r="58" spans="1:11" x14ac:dyDescent="0.2">
      <c r="A58" s="44">
        <v>10</v>
      </c>
      <c r="B58">
        <v>0.06</v>
      </c>
      <c r="C58">
        <v>5.8000000000000003E-2</v>
      </c>
      <c r="D58" s="43">
        <f t="shared" si="2"/>
        <v>5.8999999999999997E-2</v>
      </c>
      <c r="E58" s="43">
        <f t="shared" si="3"/>
        <v>0.90624999999999989</v>
      </c>
      <c r="F58" s="43">
        <f t="shared" si="4"/>
        <v>0.54687499999999933</v>
      </c>
      <c r="G58">
        <v>7.1999999999999995E-2</v>
      </c>
      <c r="H58">
        <v>6.9000000000000006E-2</v>
      </c>
      <c r="I58" s="43">
        <f t="shared" si="8"/>
        <v>7.0500000000000007E-2</v>
      </c>
      <c r="J58" s="43">
        <f t="shared" si="6"/>
        <v>-5.8823529411764351E-2</v>
      </c>
      <c r="K58" s="43">
        <f t="shared" si="7"/>
        <v>-0.22058823529411581</v>
      </c>
    </row>
    <row r="59" spans="1:11" x14ac:dyDescent="0.2">
      <c r="A59" s="44">
        <v>11</v>
      </c>
      <c r="B59">
        <v>6.2E-2</v>
      </c>
      <c r="C59">
        <v>5.8999999999999997E-2</v>
      </c>
      <c r="D59" s="43">
        <f t="shared" si="2"/>
        <v>6.0499999999999998E-2</v>
      </c>
      <c r="E59" s="43">
        <f t="shared" si="3"/>
        <v>1.140625</v>
      </c>
      <c r="F59" s="43">
        <f t="shared" si="4"/>
        <v>0.78124999999999956</v>
      </c>
      <c r="G59">
        <v>7.5999999999999998E-2</v>
      </c>
      <c r="H59">
        <v>7.0999999999999994E-2</v>
      </c>
      <c r="I59" s="43">
        <f t="shared" si="8"/>
        <v>7.3499999999999996E-2</v>
      </c>
      <c r="J59" s="43">
        <f t="shared" si="6"/>
        <v>0.38235294117646934</v>
      </c>
      <c r="K59" s="43">
        <f t="shared" si="7"/>
        <v>0.22058823529411789</v>
      </c>
    </row>
    <row r="60" spans="1:11" x14ac:dyDescent="0.2">
      <c r="A60" s="44">
        <v>12</v>
      </c>
      <c r="B60">
        <v>6.2E-2</v>
      </c>
      <c r="C60">
        <v>5.8000000000000003E-2</v>
      </c>
      <c r="D60" s="43">
        <f t="shared" si="2"/>
        <v>0.06</v>
      </c>
      <c r="E60" s="43">
        <f t="shared" si="3"/>
        <v>1.0625</v>
      </c>
      <c r="F60" s="43">
        <f t="shared" si="4"/>
        <v>0.70312499999999956</v>
      </c>
      <c r="G60">
        <v>7.3999999999999996E-2</v>
      </c>
      <c r="H60">
        <v>7.0000000000000007E-2</v>
      </c>
      <c r="I60" s="43">
        <f t="shared" si="8"/>
        <v>7.2000000000000008E-2</v>
      </c>
      <c r="J60" s="43">
        <f t="shared" si="6"/>
        <v>0.1617647058823535</v>
      </c>
      <c r="K60" s="43">
        <f t="shared" si="7"/>
        <v>2.0539125955565396E-15</v>
      </c>
    </row>
    <row r="61" spans="1:11" x14ac:dyDescent="0.2">
      <c r="A61" s="44">
        <v>13</v>
      </c>
      <c r="B61">
        <v>5.8999999999999997E-2</v>
      </c>
      <c r="C61">
        <v>5.8999999999999997E-2</v>
      </c>
      <c r="D61" s="43">
        <f t="shared" si="2"/>
        <v>5.8999999999999997E-2</v>
      </c>
      <c r="E61" s="43">
        <f t="shared" si="3"/>
        <v>0.90624999999999989</v>
      </c>
      <c r="F61" s="43">
        <f t="shared" si="4"/>
        <v>0.54687499999999933</v>
      </c>
      <c r="G61">
        <v>7.8E-2</v>
      </c>
      <c r="H61">
        <v>7.8E-2</v>
      </c>
      <c r="I61" s="43">
        <f t="shared" si="5"/>
        <v>7.8E-2</v>
      </c>
      <c r="J61" s="43">
        <f t="shared" si="6"/>
        <v>1.0441176470588229</v>
      </c>
      <c r="K61" s="43">
        <f t="shared" si="7"/>
        <v>0.88235294117647145</v>
      </c>
    </row>
    <row r="62" spans="1:11" x14ac:dyDescent="0.2">
      <c r="A62" s="44">
        <v>14</v>
      </c>
      <c r="B62">
        <v>0.06</v>
      </c>
      <c r="C62">
        <v>5.8000000000000003E-2</v>
      </c>
      <c r="D62" s="43">
        <f t="shared" si="2"/>
        <v>5.8999999999999997E-2</v>
      </c>
      <c r="E62" s="43">
        <f t="shared" si="3"/>
        <v>0.90624999999999989</v>
      </c>
      <c r="F62" s="43">
        <f t="shared" si="4"/>
        <v>0.54687499999999933</v>
      </c>
      <c r="G62">
        <v>7.9000000000000001E-2</v>
      </c>
      <c r="H62">
        <v>7.8E-2</v>
      </c>
      <c r="I62" s="43">
        <f t="shared" si="5"/>
        <v>7.85E-2</v>
      </c>
      <c r="J62" s="43">
        <f t="shared" si="6"/>
        <v>1.1176470588235288</v>
      </c>
      <c r="K62" s="43">
        <f t="shared" si="7"/>
        <v>0.95588235294117729</v>
      </c>
    </row>
    <row r="63" spans="1:11" x14ac:dyDescent="0.2">
      <c r="A63" s="44">
        <v>15</v>
      </c>
      <c r="B63">
        <v>5.7000000000000002E-2</v>
      </c>
      <c r="C63">
        <v>5.7000000000000002E-2</v>
      </c>
      <c r="D63" s="43">
        <f t="shared" si="2"/>
        <v>5.7000000000000002E-2</v>
      </c>
      <c r="E63" s="43">
        <f t="shared" si="3"/>
        <v>0.59375000000000067</v>
      </c>
      <c r="F63" s="43">
        <f t="shared" si="4"/>
        <v>0.23437500000000017</v>
      </c>
      <c r="G63">
        <v>7.8E-2</v>
      </c>
      <c r="H63">
        <v>7.5999999999999998E-2</v>
      </c>
      <c r="I63" s="43">
        <f t="shared" si="5"/>
        <v>7.6999999999999999E-2</v>
      </c>
      <c r="J63" s="43">
        <f t="shared" si="6"/>
        <v>0.89705882352941102</v>
      </c>
      <c r="K63" s="43">
        <f t="shared" si="7"/>
        <v>0.73529411764705954</v>
      </c>
    </row>
    <row r="64" spans="1:11" x14ac:dyDescent="0.2">
      <c r="A64" s="44">
        <v>16</v>
      </c>
      <c r="B64">
        <v>5.8000000000000003E-2</v>
      </c>
      <c r="C64">
        <v>5.7000000000000002E-2</v>
      </c>
      <c r="D64" s="43">
        <f t="shared" si="2"/>
        <v>5.7500000000000002E-2</v>
      </c>
      <c r="E64" s="43">
        <f t="shared" si="3"/>
        <v>0.67187500000000078</v>
      </c>
      <c r="F64" s="43">
        <f t="shared" si="4"/>
        <v>0.31250000000000028</v>
      </c>
      <c r="G64">
        <v>8.2000000000000003E-2</v>
      </c>
      <c r="H64">
        <v>8.1000000000000003E-2</v>
      </c>
      <c r="I64" s="43">
        <f t="shared" si="5"/>
        <v>8.1500000000000003E-2</v>
      </c>
      <c r="J64" s="43">
        <f t="shared" si="6"/>
        <v>1.5588235294117645</v>
      </c>
      <c r="K64" s="43">
        <f t="shared" si="7"/>
        <v>1.397058823529413</v>
      </c>
    </row>
    <row r="65" spans="1:11" x14ac:dyDescent="0.2">
      <c r="A65" s="44">
        <v>17</v>
      </c>
      <c r="B65">
        <v>0.06</v>
      </c>
      <c r="C65">
        <v>5.8000000000000003E-2</v>
      </c>
      <c r="D65" s="43">
        <f t="shared" si="2"/>
        <v>5.8999999999999997E-2</v>
      </c>
      <c r="E65" s="43">
        <f t="shared" si="3"/>
        <v>0.90624999999999989</v>
      </c>
      <c r="F65" s="43">
        <f t="shared" si="4"/>
        <v>0.54687499999999933</v>
      </c>
      <c r="G65">
        <v>9.9000000000000005E-2</v>
      </c>
      <c r="H65">
        <v>9.7000000000000003E-2</v>
      </c>
      <c r="I65" s="43">
        <f t="shared" si="5"/>
        <v>9.8000000000000004E-2</v>
      </c>
      <c r="J65" s="43">
        <f t="shared" si="6"/>
        <v>3.9852941176470589</v>
      </c>
      <c r="K65" s="43">
        <f t="shared" si="7"/>
        <v>3.8235294117647074</v>
      </c>
    </row>
    <row r="66" spans="1:11" x14ac:dyDescent="0.2">
      <c r="A66" s="44">
        <v>18</v>
      </c>
      <c r="B66">
        <v>0.06</v>
      </c>
      <c r="C66">
        <v>5.7000000000000002E-2</v>
      </c>
      <c r="D66" s="43">
        <f t="shared" si="2"/>
        <v>5.8499999999999996E-2</v>
      </c>
      <c r="E66" s="43">
        <f t="shared" si="3"/>
        <v>0.82812499999999978</v>
      </c>
      <c r="F66" s="43">
        <f t="shared" si="4"/>
        <v>0.46874999999999928</v>
      </c>
      <c r="G66">
        <v>0.12</v>
      </c>
      <c r="H66">
        <v>0.11899999999999999</v>
      </c>
      <c r="I66" s="43">
        <f t="shared" si="5"/>
        <v>0.1195</v>
      </c>
      <c r="J66" s="43">
        <f t="shared" si="6"/>
        <v>7.1470588235294104</v>
      </c>
      <c r="K66" s="43">
        <f t="shared" si="7"/>
        <v>6.9852941176470589</v>
      </c>
    </row>
    <row r="67" spans="1:11" x14ac:dyDescent="0.2">
      <c r="A67" s="44">
        <v>19</v>
      </c>
      <c r="B67">
        <v>5.8999999999999997E-2</v>
      </c>
      <c r="C67">
        <v>5.7000000000000002E-2</v>
      </c>
      <c r="D67" s="43">
        <f t="shared" si="2"/>
        <v>5.7999999999999996E-2</v>
      </c>
      <c r="E67" s="43">
        <f t="shared" si="3"/>
        <v>0.74999999999999978</v>
      </c>
      <c r="F67" s="43">
        <f t="shared" si="4"/>
        <v>0.39062499999999928</v>
      </c>
      <c r="G67">
        <v>0.10100000000000001</v>
      </c>
      <c r="H67">
        <v>0.10100000000000001</v>
      </c>
      <c r="I67" s="43">
        <f t="shared" si="5"/>
        <v>0.10100000000000001</v>
      </c>
      <c r="J67" s="43">
        <f t="shared" si="6"/>
        <v>4.4264705882352944</v>
      </c>
      <c r="K67" s="43">
        <f t="shared" si="7"/>
        <v>4.2647058823529429</v>
      </c>
    </row>
    <row r="68" spans="1:11" x14ac:dyDescent="0.2">
      <c r="A68" s="44">
        <v>20</v>
      </c>
      <c r="B68">
        <v>5.8999999999999997E-2</v>
      </c>
      <c r="C68">
        <v>5.8000000000000003E-2</v>
      </c>
      <c r="D68" s="43">
        <f t="shared" si="2"/>
        <v>5.8499999999999996E-2</v>
      </c>
      <c r="E68" s="43">
        <f t="shared" si="3"/>
        <v>0.82812499999999978</v>
      </c>
      <c r="F68" s="43">
        <f t="shared" si="4"/>
        <v>0.46874999999999928</v>
      </c>
      <c r="G68">
        <v>8.7999999999999995E-2</v>
      </c>
      <c r="H68">
        <v>8.7999999999999995E-2</v>
      </c>
      <c r="I68" s="43">
        <f t="shared" si="5"/>
        <v>8.7999999999999995E-2</v>
      </c>
      <c r="J68" s="43">
        <f t="shared" si="6"/>
        <v>2.5147058823529398</v>
      </c>
      <c r="K68" s="43">
        <f t="shared" si="7"/>
        <v>2.3529411764705883</v>
      </c>
    </row>
    <row r="69" spans="1:11" x14ac:dyDescent="0.2">
      <c r="A69" s="44">
        <v>21</v>
      </c>
      <c r="B69">
        <v>5.8999999999999997E-2</v>
      </c>
      <c r="C69">
        <v>5.7000000000000002E-2</v>
      </c>
      <c r="D69" s="43">
        <f t="shared" si="2"/>
        <v>5.7999999999999996E-2</v>
      </c>
      <c r="E69" s="43">
        <f t="shared" si="3"/>
        <v>0.74999999999999978</v>
      </c>
      <c r="F69" s="43">
        <f t="shared" si="4"/>
        <v>0.39062499999999928</v>
      </c>
      <c r="G69">
        <v>7.8E-2</v>
      </c>
      <c r="H69">
        <v>7.9000000000000001E-2</v>
      </c>
      <c r="I69" s="43">
        <f t="shared" si="5"/>
        <v>7.85E-2</v>
      </c>
      <c r="J69" s="43">
        <f t="shared" si="6"/>
        <v>1.1176470588235288</v>
      </c>
      <c r="K69" s="43">
        <f t="shared" si="7"/>
        <v>0.95588235294117729</v>
      </c>
    </row>
    <row r="70" spans="1:11" x14ac:dyDescent="0.2">
      <c r="A70" s="44">
        <v>22</v>
      </c>
      <c r="B70">
        <v>5.8000000000000003E-2</v>
      </c>
      <c r="C70">
        <v>5.6000000000000001E-2</v>
      </c>
      <c r="D70" s="43">
        <f t="shared" si="2"/>
        <v>5.7000000000000002E-2</v>
      </c>
      <c r="E70" s="43">
        <f t="shared" si="3"/>
        <v>0.59375000000000067</v>
      </c>
      <c r="F70" s="43">
        <f t="shared" si="4"/>
        <v>0.23437500000000017</v>
      </c>
      <c r="G70">
        <v>7.1999999999999995E-2</v>
      </c>
      <c r="H70">
        <v>7.3999999999999996E-2</v>
      </c>
      <c r="I70" s="43">
        <f t="shared" si="5"/>
        <v>7.2999999999999995E-2</v>
      </c>
      <c r="J70" s="43">
        <f t="shared" si="6"/>
        <v>0.30882352941176339</v>
      </c>
      <c r="K70" s="43">
        <f t="shared" si="7"/>
        <v>0.14705882352941194</v>
      </c>
    </row>
    <row r="71" spans="1:11" x14ac:dyDescent="0.2">
      <c r="A71" s="44">
        <v>23</v>
      </c>
      <c r="B71">
        <v>5.8999999999999997E-2</v>
      </c>
      <c r="C71">
        <v>5.8000000000000003E-2</v>
      </c>
      <c r="D71" s="43">
        <f t="shared" si="2"/>
        <v>5.8499999999999996E-2</v>
      </c>
      <c r="E71" s="43">
        <f t="shared" si="3"/>
        <v>0.82812499999999978</v>
      </c>
      <c r="F71" s="43">
        <f t="shared" si="4"/>
        <v>0.46874999999999928</v>
      </c>
      <c r="G71">
        <v>7.0000000000000007E-2</v>
      </c>
      <c r="H71">
        <v>6.8000000000000005E-2</v>
      </c>
      <c r="I71" s="43">
        <f t="shared" si="5"/>
        <v>6.9000000000000006E-2</v>
      </c>
      <c r="J71" s="43">
        <f t="shared" si="6"/>
        <v>-0.27941176470588219</v>
      </c>
      <c r="K71" s="43">
        <f t="shared" si="7"/>
        <v>-0.44117647058823362</v>
      </c>
    </row>
    <row r="72" spans="1:11" x14ac:dyDescent="0.2">
      <c r="A72" s="44">
        <v>24</v>
      </c>
      <c r="B72">
        <v>5.8999999999999997E-2</v>
      </c>
      <c r="C72">
        <v>5.7000000000000002E-2</v>
      </c>
      <c r="D72" s="43">
        <f t="shared" si="2"/>
        <v>5.7999999999999996E-2</v>
      </c>
      <c r="E72" s="43">
        <f t="shared" si="3"/>
        <v>0.74999999999999978</v>
      </c>
      <c r="F72" s="43">
        <f t="shared" si="4"/>
        <v>0.39062499999999928</v>
      </c>
      <c r="G72">
        <v>6.8000000000000005E-2</v>
      </c>
      <c r="H72">
        <v>6.5000000000000002E-2</v>
      </c>
      <c r="I72" s="43">
        <f t="shared" si="5"/>
        <v>6.6500000000000004E-2</v>
      </c>
      <c r="J72" s="43">
        <f t="shared" si="6"/>
        <v>-0.64705882352941202</v>
      </c>
      <c r="K72" s="43">
        <f t="shared" si="7"/>
        <v>-0.8088235294117635</v>
      </c>
    </row>
    <row r="73" spans="1:11" x14ac:dyDescent="0.2">
      <c r="A73" s="44">
        <v>25</v>
      </c>
      <c r="B73">
        <v>5.7000000000000002E-2</v>
      </c>
      <c r="C73">
        <v>5.8999999999999997E-2</v>
      </c>
      <c r="D73" s="43">
        <f t="shared" si="2"/>
        <v>5.7999999999999996E-2</v>
      </c>
      <c r="E73" s="43">
        <f t="shared" si="3"/>
        <v>0.74999999999999978</v>
      </c>
      <c r="F73" s="43">
        <f t="shared" si="4"/>
        <v>0.39062499999999928</v>
      </c>
      <c r="G73">
        <v>7.1999999999999995E-2</v>
      </c>
      <c r="H73">
        <v>7.2999999999999995E-2</v>
      </c>
      <c r="I73" s="43">
        <f t="shared" si="5"/>
        <v>7.2499999999999995E-2</v>
      </c>
      <c r="J73" s="43">
        <f t="shared" si="6"/>
        <v>0.2352941176470574</v>
      </c>
      <c r="K73" s="43">
        <f t="shared" si="7"/>
        <v>7.3529411764705954E-2</v>
      </c>
    </row>
    <row r="74" spans="1:11" x14ac:dyDescent="0.2">
      <c r="A74" s="44">
        <v>26</v>
      </c>
      <c r="B74">
        <v>0.06</v>
      </c>
      <c r="C74">
        <v>5.8000000000000003E-2</v>
      </c>
      <c r="D74" s="43">
        <f t="shared" si="2"/>
        <v>5.8999999999999997E-2</v>
      </c>
      <c r="E74" s="43">
        <f t="shared" si="3"/>
        <v>0.90624999999999989</v>
      </c>
      <c r="F74" s="43">
        <f t="shared" si="4"/>
        <v>0.54687499999999933</v>
      </c>
      <c r="G74">
        <v>7.3999999999999996E-2</v>
      </c>
      <c r="H74">
        <v>7.2999999999999995E-2</v>
      </c>
      <c r="I74" s="43">
        <f t="shared" si="5"/>
        <v>7.3499999999999996E-2</v>
      </c>
      <c r="J74" s="43">
        <f t="shared" si="6"/>
        <v>0.38235294117646934</v>
      </c>
      <c r="K74" s="43">
        <f t="shared" si="7"/>
        <v>0.22058823529411789</v>
      </c>
    </row>
    <row r="75" spans="1:11" x14ac:dyDescent="0.2">
      <c r="A75" s="44">
        <v>27</v>
      </c>
      <c r="B75">
        <v>7.6999999999999999E-2</v>
      </c>
      <c r="C75">
        <v>7.5999999999999998E-2</v>
      </c>
      <c r="D75" s="43">
        <f t="shared" si="2"/>
        <v>7.6499999999999999E-2</v>
      </c>
      <c r="E75" s="43">
        <f t="shared" si="3"/>
        <v>3.640625</v>
      </c>
      <c r="F75" s="43">
        <f t="shared" si="4"/>
        <v>3.2812499999999996</v>
      </c>
      <c r="G75">
        <v>7.2999999999999995E-2</v>
      </c>
      <c r="H75">
        <v>7.0999999999999994E-2</v>
      </c>
      <c r="I75" s="43">
        <f t="shared" si="5"/>
        <v>7.1999999999999995E-2</v>
      </c>
      <c r="J75" s="43">
        <f t="shared" si="6"/>
        <v>0.16176470588235145</v>
      </c>
      <c r="K75" s="43">
        <f t="shared" si="7"/>
        <v>0</v>
      </c>
    </row>
    <row r="76" spans="1:11" x14ac:dyDescent="0.2">
      <c r="A76" s="44">
        <v>28</v>
      </c>
      <c r="B76">
        <v>9.0999999999999998E-2</v>
      </c>
      <c r="C76">
        <v>8.8999999999999996E-2</v>
      </c>
      <c r="D76" s="43">
        <f t="shared" si="2"/>
        <v>0.09</v>
      </c>
      <c r="E76" s="43">
        <f t="shared" si="3"/>
        <v>5.75</v>
      </c>
      <c r="F76" s="43">
        <f t="shared" si="4"/>
        <v>5.3906249999999991</v>
      </c>
      <c r="G76">
        <v>7.3999999999999996E-2</v>
      </c>
      <c r="H76">
        <v>7.1999999999999995E-2</v>
      </c>
      <c r="I76" s="43">
        <f t="shared" si="5"/>
        <v>7.2999999999999995E-2</v>
      </c>
      <c r="J76" s="43">
        <f t="shared" si="6"/>
        <v>0.30882352941176339</v>
      </c>
      <c r="K76" s="43">
        <f t="shared" si="7"/>
        <v>0.14705882352941194</v>
      </c>
    </row>
    <row r="77" spans="1:11" x14ac:dyDescent="0.2">
      <c r="A77" s="44">
        <v>29</v>
      </c>
      <c r="B77">
        <v>7.6999999999999999E-2</v>
      </c>
      <c r="C77">
        <v>7.3999999999999996E-2</v>
      </c>
      <c r="D77" s="43">
        <f t="shared" si="2"/>
        <v>7.5499999999999998E-2</v>
      </c>
      <c r="E77" s="43">
        <f t="shared" si="3"/>
        <v>3.484375</v>
      </c>
      <c r="F77" s="43">
        <f t="shared" si="4"/>
        <v>3.1249999999999996</v>
      </c>
      <c r="G77">
        <v>7.3999999999999996E-2</v>
      </c>
      <c r="H77">
        <v>7.1999999999999995E-2</v>
      </c>
      <c r="I77" s="43">
        <f t="shared" si="5"/>
        <v>7.2999999999999995E-2</v>
      </c>
      <c r="J77" s="43">
        <f t="shared" si="6"/>
        <v>0.30882352941176339</v>
      </c>
      <c r="K77" s="43">
        <f t="shared" si="7"/>
        <v>0.14705882352941194</v>
      </c>
    </row>
    <row r="78" spans="1:11" x14ac:dyDescent="0.2">
      <c r="A78" s="44">
        <v>30</v>
      </c>
      <c r="B78">
        <v>6.6000000000000003E-2</v>
      </c>
      <c r="C78">
        <v>6.4000000000000001E-2</v>
      </c>
      <c r="D78" s="43">
        <f t="shared" si="2"/>
        <v>6.5000000000000002E-2</v>
      </c>
      <c r="E78" s="43">
        <f t="shared" si="3"/>
        <v>1.8437500000000007</v>
      </c>
      <c r="F78" s="43">
        <f t="shared" si="4"/>
        <v>1.4843750000000002</v>
      </c>
      <c r="G78">
        <v>7.2999999999999995E-2</v>
      </c>
      <c r="H78">
        <v>7.1999999999999995E-2</v>
      </c>
      <c r="I78" s="43">
        <f t="shared" si="5"/>
        <v>7.2499999999999995E-2</v>
      </c>
      <c r="J78" s="43">
        <f t="shared" si="6"/>
        <v>0.2352941176470574</v>
      </c>
      <c r="K78" s="43">
        <f t="shared" si="7"/>
        <v>7.3529411764705954E-2</v>
      </c>
    </row>
  </sheetData>
  <mergeCells count="1">
    <mergeCell ref="A4:K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S78"/>
  <sheetViews>
    <sheetView topLeftCell="A43" workbookViewId="0">
      <selection activeCell="K49" sqref="K49:K78"/>
    </sheetView>
  </sheetViews>
  <sheetFormatPr baseColWidth="10" defaultColWidth="9.1640625" defaultRowHeight="15" x14ac:dyDescent="0.2"/>
  <sheetData>
    <row r="4" spans="1:19" ht="19" x14ac:dyDescent="0.25">
      <c r="A4" s="52" t="s">
        <v>20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45"/>
      <c r="M4" s="45"/>
      <c r="N4" s="45"/>
      <c r="O4" s="45"/>
    </row>
    <row r="6" spans="1:19" x14ac:dyDescent="0.2">
      <c r="A6" s="1" t="s">
        <v>2</v>
      </c>
      <c r="B6" s="1"/>
      <c r="C6" s="1"/>
      <c r="O6" s="1" t="s">
        <v>3</v>
      </c>
      <c r="P6" s="1"/>
    </row>
    <row r="7" spans="1:19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O7" s="3"/>
      <c r="P7" s="4" t="s">
        <v>4</v>
      </c>
      <c r="Q7" s="4" t="s">
        <v>5</v>
      </c>
      <c r="R7" s="4" t="s">
        <v>6</v>
      </c>
      <c r="S7" s="4" t="s">
        <v>7</v>
      </c>
    </row>
    <row r="8" spans="1:19" x14ac:dyDescent="0.2">
      <c r="A8">
        <v>5.8000000000000003E-2</v>
      </c>
      <c r="B8">
        <v>5.8000000000000003E-2</v>
      </c>
      <c r="C8">
        <v>6.2E-2</v>
      </c>
      <c r="D8">
        <v>7.0000000000000007E-2</v>
      </c>
      <c r="E8">
        <v>8.5999999999999993E-2</v>
      </c>
      <c r="F8">
        <v>0.106</v>
      </c>
      <c r="G8">
        <v>0.17899999999999999</v>
      </c>
      <c r="M8" s="14" t="s">
        <v>8</v>
      </c>
      <c r="O8" s="3" t="s">
        <v>9</v>
      </c>
      <c r="P8" s="3">
        <f>A8</f>
        <v>5.8000000000000003E-2</v>
      </c>
      <c r="Q8" s="3">
        <f>A9</f>
        <v>5.6000000000000001E-2</v>
      </c>
      <c r="R8" s="3">
        <f>AVERAGE(P8:Q8)</f>
        <v>5.7000000000000002E-2</v>
      </c>
      <c r="S8" s="3">
        <v>0</v>
      </c>
    </row>
    <row r="9" spans="1:19" x14ac:dyDescent="0.2">
      <c r="A9">
        <v>5.6000000000000001E-2</v>
      </c>
      <c r="B9">
        <v>5.7000000000000002E-2</v>
      </c>
      <c r="C9">
        <v>6.2E-2</v>
      </c>
      <c r="D9">
        <v>7.0000000000000007E-2</v>
      </c>
      <c r="E9">
        <v>8.2000000000000003E-2</v>
      </c>
      <c r="F9">
        <v>0.109</v>
      </c>
      <c r="G9">
        <v>0.17399999999999999</v>
      </c>
      <c r="M9" s="14"/>
      <c r="O9" s="3" t="s">
        <v>10</v>
      </c>
      <c r="P9" s="3">
        <f>B8</f>
        <v>5.8000000000000003E-2</v>
      </c>
      <c r="Q9" s="3">
        <f>B9</f>
        <v>5.7000000000000002E-2</v>
      </c>
      <c r="R9" s="3">
        <f t="shared" ref="R9:R14" si="0">AVERAGE(P9:Q9)</f>
        <v>5.7500000000000002E-2</v>
      </c>
      <c r="S9" s="3">
        <v>0.6</v>
      </c>
    </row>
    <row r="10" spans="1:19" x14ac:dyDescent="0.2">
      <c r="A10">
        <v>5.5E-2</v>
      </c>
      <c r="B10">
        <v>5.8000000000000003E-2</v>
      </c>
      <c r="C10">
        <v>0.06</v>
      </c>
      <c r="D10">
        <v>7.6999999999999999E-2</v>
      </c>
      <c r="E10">
        <v>7.0000000000000007E-2</v>
      </c>
      <c r="F10">
        <v>6.2E-2</v>
      </c>
      <c r="G10">
        <v>0.06</v>
      </c>
      <c r="H10">
        <v>5.8999999999999997E-2</v>
      </c>
      <c r="I10">
        <v>5.8999999999999997E-2</v>
      </c>
      <c r="J10">
        <v>0.06</v>
      </c>
      <c r="K10">
        <v>6.0999999999999999E-2</v>
      </c>
      <c r="L10">
        <v>6.0999999999999999E-2</v>
      </c>
      <c r="M10" s="14"/>
      <c r="O10" s="3" t="s">
        <v>11</v>
      </c>
      <c r="P10" s="3">
        <f>C8</f>
        <v>6.2E-2</v>
      </c>
      <c r="Q10" s="3">
        <f>C9</f>
        <v>6.2E-2</v>
      </c>
      <c r="R10" s="3">
        <f t="shared" si="0"/>
        <v>6.2E-2</v>
      </c>
      <c r="S10" s="3">
        <v>1.5</v>
      </c>
    </row>
    <row r="11" spans="1:19" x14ac:dyDescent="0.2">
      <c r="A11">
        <v>5.7000000000000002E-2</v>
      </c>
      <c r="B11">
        <v>5.7000000000000002E-2</v>
      </c>
      <c r="C11">
        <v>5.8999999999999997E-2</v>
      </c>
      <c r="D11">
        <v>7.6999999999999999E-2</v>
      </c>
      <c r="E11">
        <v>6.9000000000000006E-2</v>
      </c>
      <c r="F11">
        <v>6.3E-2</v>
      </c>
      <c r="G11">
        <v>0.06</v>
      </c>
      <c r="H11">
        <v>5.8000000000000003E-2</v>
      </c>
      <c r="I11">
        <v>5.7000000000000002E-2</v>
      </c>
      <c r="J11">
        <v>5.8000000000000003E-2</v>
      </c>
      <c r="K11">
        <v>5.8999999999999997E-2</v>
      </c>
      <c r="L11">
        <v>5.8999999999999997E-2</v>
      </c>
      <c r="M11" s="14"/>
      <c r="O11" s="3" t="s">
        <v>12</v>
      </c>
      <c r="P11" s="3">
        <f>D8</f>
        <v>7.0000000000000007E-2</v>
      </c>
      <c r="Q11" s="3">
        <f>D9</f>
        <v>7.0000000000000007E-2</v>
      </c>
      <c r="R11" s="3">
        <f t="shared" si="0"/>
        <v>7.0000000000000007E-2</v>
      </c>
      <c r="S11" s="3">
        <v>3</v>
      </c>
    </row>
    <row r="12" spans="1:19" x14ac:dyDescent="0.2">
      <c r="A12">
        <v>5.7000000000000002E-2</v>
      </c>
      <c r="B12">
        <v>5.8999999999999997E-2</v>
      </c>
      <c r="C12">
        <v>5.8000000000000003E-2</v>
      </c>
      <c r="D12">
        <v>5.8000000000000003E-2</v>
      </c>
      <c r="E12">
        <v>5.8000000000000003E-2</v>
      </c>
      <c r="F12">
        <v>5.8999999999999997E-2</v>
      </c>
      <c r="G12">
        <v>5.8999999999999997E-2</v>
      </c>
      <c r="H12">
        <v>5.8000000000000003E-2</v>
      </c>
      <c r="I12">
        <v>5.8000000000000003E-2</v>
      </c>
      <c r="J12">
        <v>5.8999999999999997E-2</v>
      </c>
      <c r="K12">
        <v>5.8999999999999997E-2</v>
      </c>
      <c r="L12">
        <v>5.8999999999999997E-2</v>
      </c>
      <c r="M12" s="14"/>
      <c r="O12" s="3" t="s">
        <v>13</v>
      </c>
      <c r="P12" s="3">
        <f>E8</f>
        <v>8.5999999999999993E-2</v>
      </c>
      <c r="Q12" s="3">
        <f>E9</f>
        <v>8.2000000000000003E-2</v>
      </c>
      <c r="R12" s="3">
        <f t="shared" si="0"/>
        <v>8.3999999999999991E-2</v>
      </c>
      <c r="S12" s="3">
        <v>4.5999999999999996</v>
      </c>
    </row>
    <row r="13" spans="1:19" x14ac:dyDescent="0.2">
      <c r="A13">
        <v>5.8999999999999997E-2</v>
      </c>
      <c r="B13">
        <v>5.8999999999999997E-2</v>
      </c>
      <c r="C13">
        <v>5.8000000000000003E-2</v>
      </c>
      <c r="D13">
        <v>5.8000000000000003E-2</v>
      </c>
      <c r="E13">
        <v>5.8000000000000003E-2</v>
      </c>
      <c r="F13">
        <v>5.8000000000000003E-2</v>
      </c>
      <c r="G13">
        <v>5.8000000000000003E-2</v>
      </c>
      <c r="H13">
        <v>5.8000000000000003E-2</v>
      </c>
      <c r="I13">
        <v>5.7000000000000002E-2</v>
      </c>
      <c r="J13">
        <v>5.8999999999999997E-2</v>
      </c>
      <c r="K13">
        <v>5.8000000000000003E-2</v>
      </c>
      <c r="L13">
        <v>5.7000000000000002E-2</v>
      </c>
      <c r="M13" s="14"/>
      <c r="O13" s="3" t="s">
        <v>14</v>
      </c>
      <c r="P13" s="3"/>
      <c r="Q13" s="3"/>
      <c r="R13" s="3"/>
      <c r="S13" s="3"/>
    </row>
    <row r="14" spans="1:19" x14ac:dyDescent="0.2">
      <c r="A14">
        <v>5.7000000000000002E-2</v>
      </c>
      <c r="B14">
        <v>0.06</v>
      </c>
      <c r="C14">
        <v>7.0999999999999994E-2</v>
      </c>
      <c r="D14">
        <v>8.5000000000000006E-2</v>
      </c>
      <c r="E14">
        <v>7.0999999999999994E-2</v>
      </c>
      <c r="F14">
        <v>6.4000000000000001E-2</v>
      </c>
      <c r="M14" s="14"/>
      <c r="O14" s="3" t="s">
        <v>15</v>
      </c>
      <c r="P14" s="3">
        <f>G8</f>
        <v>0.17899999999999999</v>
      </c>
      <c r="Q14" s="3">
        <f>G9</f>
        <v>0.17399999999999999</v>
      </c>
      <c r="R14" s="3">
        <f t="shared" si="0"/>
        <v>0.17649999999999999</v>
      </c>
      <c r="S14" s="3">
        <v>18.600000000000001</v>
      </c>
    </row>
    <row r="15" spans="1:19" x14ac:dyDescent="0.2">
      <c r="A15">
        <v>5.8999999999999997E-2</v>
      </c>
      <c r="B15">
        <v>5.8999999999999997E-2</v>
      </c>
      <c r="C15">
        <v>7.0000000000000007E-2</v>
      </c>
      <c r="D15">
        <v>8.4000000000000005E-2</v>
      </c>
      <c r="E15">
        <v>7.1999999999999995E-2</v>
      </c>
      <c r="F15">
        <v>6.3E-2</v>
      </c>
      <c r="M15" s="14"/>
    </row>
    <row r="16" spans="1:19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9" x14ac:dyDescent="0.2">
      <c r="A17" s="6"/>
      <c r="B17" s="6"/>
      <c r="C17" s="6"/>
      <c r="D17" s="6"/>
      <c r="E17" s="6"/>
      <c r="F17" s="6"/>
      <c r="G17" s="6"/>
      <c r="H17" s="15"/>
      <c r="I17" s="15"/>
      <c r="J17" s="15"/>
      <c r="K17" s="15"/>
      <c r="L17" s="15"/>
      <c r="M17" s="16" t="s">
        <v>0</v>
      </c>
    </row>
    <row r="18" spans="1:19" x14ac:dyDescent="0.2">
      <c r="A18" s="6"/>
      <c r="B18" s="6"/>
      <c r="C18" s="6"/>
      <c r="D18" s="6"/>
      <c r="E18" s="6"/>
      <c r="F18" s="6"/>
      <c r="G18" s="6"/>
      <c r="H18" s="15"/>
      <c r="I18" s="15"/>
      <c r="J18" s="15"/>
      <c r="K18" s="15"/>
      <c r="L18" s="15"/>
      <c r="M18" s="17"/>
    </row>
    <row r="19" spans="1:19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7"/>
    </row>
    <row r="20" spans="1:19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7"/>
    </row>
    <row r="21" spans="1:19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8"/>
      <c r="M21" s="17"/>
    </row>
    <row r="22" spans="1:1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9"/>
      <c r="M22" s="17"/>
    </row>
    <row r="23" spans="1:19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  <c r="M23" s="17"/>
    </row>
    <row r="24" spans="1:19" x14ac:dyDescent="0.2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x14ac:dyDescent="0.2">
      <c r="A26" s="7">
        <v>1</v>
      </c>
      <c r="B26" s="7">
        <v>2</v>
      </c>
      <c r="C26" s="7">
        <v>3</v>
      </c>
      <c r="D26" s="7">
        <v>4</v>
      </c>
      <c r="E26" s="7">
        <v>5</v>
      </c>
      <c r="F26" s="7">
        <v>6</v>
      </c>
      <c r="G26" s="7">
        <v>7</v>
      </c>
      <c r="H26" s="7">
        <v>8</v>
      </c>
      <c r="I26" s="7">
        <v>9</v>
      </c>
      <c r="J26" s="7">
        <v>10</v>
      </c>
      <c r="K26" s="7">
        <v>11</v>
      </c>
      <c r="L26" s="7">
        <v>12</v>
      </c>
    </row>
    <row r="27" spans="1:19" x14ac:dyDescent="0.2">
      <c r="A27">
        <v>7.0999999999999994E-2</v>
      </c>
      <c r="B27">
        <v>7.3999999999999996E-2</v>
      </c>
      <c r="C27">
        <v>7.5999999999999998E-2</v>
      </c>
      <c r="D27">
        <v>8.5000000000000006E-2</v>
      </c>
      <c r="E27">
        <v>9.4E-2</v>
      </c>
      <c r="F27">
        <v>0.114</v>
      </c>
      <c r="G27">
        <v>0.19600000000000001</v>
      </c>
      <c r="M27" s="27" t="s">
        <v>16</v>
      </c>
    </row>
    <row r="28" spans="1:19" x14ac:dyDescent="0.2">
      <c r="A28">
        <v>7.0999999999999994E-2</v>
      </c>
      <c r="B28">
        <v>7.3999999999999996E-2</v>
      </c>
      <c r="C28">
        <v>7.5999999999999998E-2</v>
      </c>
      <c r="D28">
        <v>8.3000000000000004E-2</v>
      </c>
      <c r="E28">
        <v>9.6000000000000002E-2</v>
      </c>
      <c r="F28">
        <v>0.113</v>
      </c>
      <c r="G28">
        <v>0.183</v>
      </c>
      <c r="M28" s="27"/>
      <c r="O28" s="1" t="s">
        <v>17</v>
      </c>
      <c r="P28" s="1"/>
    </row>
    <row r="29" spans="1:19" x14ac:dyDescent="0.2">
      <c r="A29">
        <v>7.0999999999999994E-2</v>
      </c>
      <c r="B29">
        <v>7.0999999999999994E-2</v>
      </c>
      <c r="C29">
        <v>7.2999999999999995E-2</v>
      </c>
      <c r="D29">
        <v>7.5999999999999998E-2</v>
      </c>
      <c r="E29">
        <v>7.5999999999999998E-2</v>
      </c>
      <c r="F29">
        <v>7.3999999999999996E-2</v>
      </c>
      <c r="G29">
        <v>7.2999999999999995E-2</v>
      </c>
      <c r="H29">
        <v>7.2999999999999995E-2</v>
      </c>
      <c r="I29">
        <v>7.3999999999999996E-2</v>
      </c>
      <c r="J29">
        <v>7.2999999999999995E-2</v>
      </c>
      <c r="K29">
        <v>7.5999999999999998E-2</v>
      </c>
      <c r="L29">
        <v>7.6999999999999999E-2</v>
      </c>
      <c r="M29" s="27"/>
      <c r="O29" s="3"/>
      <c r="P29" s="8" t="s">
        <v>4</v>
      </c>
      <c r="Q29" s="8" t="s">
        <v>5</v>
      </c>
      <c r="R29" s="8" t="s">
        <v>6</v>
      </c>
      <c r="S29" s="8" t="s">
        <v>18</v>
      </c>
    </row>
    <row r="30" spans="1:19" x14ac:dyDescent="0.2">
      <c r="A30">
        <v>7.1999999999999995E-2</v>
      </c>
      <c r="B30">
        <v>7.2999999999999995E-2</v>
      </c>
      <c r="C30">
        <v>7.1999999999999995E-2</v>
      </c>
      <c r="D30">
        <v>7.5999999999999998E-2</v>
      </c>
      <c r="E30">
        <v>7.4999999999999997E-2</v>
      </c>
      <c r="F30">
        <v>7.3999999999999996E-2</v>
      </c>
      <c r="G30">
        <v>7.2999999999999995E-2</v>
      </c>
      <c r="H30">
        <v>7.2999999999999995E-2</v>
      </c>
      <c r="I30">
        <v>7.1999999999999995E-2</v>
      </c>
      <c r="J30">
        <v>7.1999999999999995E-2</v>
      </c>
      <c r="K30">
        <v>7.2999999999999995E-2</v>
      </c>
      <c r="L30">
        <v>7.2999999999999995E-2</v>
      </c>
      <c r="M30" s="27"/>
      <c r="O30" s="3" t="s">
        <v>9</v>
      </c>
      <c r="P30" s="3">
        <f>A27</f>
        <v>7.0999999999999994E-2</v>
      </c>
      <c r="Q30" s="3">
        <f>A28</f>
        <v>7.0999999999999994E-2</v>
      </c>
      <c r="R30" s="3">
        <f>AVERAGE(P30:Q30)</f>
        <v>7.0999999999999994E-2</v>
      </c>
      <c r="S30" s="9">
        <v>0</v>
      </c>
    </row>
    <row r="31" spans="1:19" x14ac:dyDescent="0.2">
      <c r="A31">
        <v>7.3999999999999996E-2</v>
      </c>
      <c r="B31">
        <v>7.6999999999999999E-2</v>
      </c>
      <c r="C31">
        <v>7.4999999999999997E-2</v>
      </c>
      <c r="D31">
        <v>0.08</v>
      </c>
      <c r="E31">
        <v>9.6000000000000002E-2</v>
      </c>
      <c r="F31">
        <v>0.11799999999999999</v>
      </c>
      <c r="G31">
        <v>0.104</v>
      </c>
      <c r="H31">
        <v>8.5999999999999993E-2</v>
      </c>
      <c r="I31">
        <v>7.9000000000000001E-2</v>
      </c>
      <c r="J31">
        <v>7.5999999999999998E-2</v>
      </c>
      <c r="K31">
        <v>7.4999999999999997E-2</v>
      </c>
      <c r="L31">
        <v>7.3999999999999996E-2</v>
      </c>
      <c r="M31" s="27"/>
      <c r="O31" s="3" t="s">
        <v>10</v>
      </c>
      <c r="P31" s="3">
        <f>B27</f>
        <v>7.3999999999999996E-2</v>
      </c>
      <c r="Q31" s="3">
        <f>B28</f>
        <v>7.3999999999999996E-2</v>
      </c>
      <c r="R31" s="3">
        <f>AVERAGE(P31:Q31)</f>
        <v>7.3999999999999996E-2</v>
      </c>
      <c r="S31" s="9">
        <v>0.5</v>
      </c>
    </row>
    <row r="32" spans="1:19" x14ac:dyDescent="0.2">
      <c r="A32">
        <v>7.4999999999999997E-2</v>
      </c>
      <c r="B32">
        <v>7.5999999999999998E-2</v>
      </c>
      <c r="C32">
        <v>7.4999999999999997E-2</v>
      </c>
      <c r="D32">
        <v>7.8E-2</v>
      </c>
      <c r="E32">
        <v>9.7000000000000003E-2</v>
      </c>
      <c r="F32">
        <v>0.11700000000000001</v>
      </c>
      <c r="G32">
        <v>0.1</v>
      </c>
      <c r="H32">
        <v>8.5000000000000006E-2</v>
      </c>
      <c r="I32">
        <v>7.8E-2</v>
      </c>
      <c r="J32">
        <v>7.2999999999999995E-2</v>
      </c>
      <c r="K32">
        <v>7.2999999999999995E-2</v>
      </c>
      <c r="L32">
        <v>7.0999999999999994E-2</v>
      </c>
      <c r="M32" s="27"/>
      <c r="O32" s="3" t="s">
        <v>11</v>
      </c>
      <c r="P32" s="3">
        <f>C27</f>
        <v>7.5999999999999998E-2</v>
      </c>
      <c r="Q32" s="3">
        <f>C28</f>
        <v>7.5999999999999998E-2</v>
      </c>
      <c r="R32" s="3">
        <f t="shared" ref="R32:R36" si="1">AVERAGE(P32:Q32)</f>
        <v>7.5999999999999998E-2</v>
      </c>
      <c r="S32" s="9">
        <v>1.25</v>
      </c>
    </row>
    <row r="33" spans="1:19" x14ac:dyDescent="0.2">
      <c r="A33">
        <v>7.0999999999999994E-2</v>
      </c>
      <c r="B33">
        <v>7.3999999999999996E-2</v>
      </c>
      <c r="C33">
        <v>7.1999999999999995E-2</v>
      </c>
      <c r="D33">
        <v>7.2999999999999995E-2</v>
      </c>
      <c r="E33">
        <v>7.2999999999999995E-2</v>
      </c>
      <c r="F33">
        <v>7.3999999999999996E-2</v>
      </c>
      <c r="M33" s="27"/>
      <c r="O33" s="3" t="s">
        <v>12</v>
      </c>
      <c r="P33" s="3">
        <f>D27</f>
        <v>8.5000000000000006E-2</v>
      </c>
      <c r="Q33" s="3">
        <f>D28</f>
        <v>8.3000000000000004E-2</v>
      </c>
      <c r="R33" s="3">
        <f>AVERAGE(P33:Q33)</f>
        <v>8.4000000000000005E-2</v>
      </c>
      <c r="S33" s="9">
        <v>2.5</v>
      </c>
    </row>
    <row r="34" spans="1:19" x14ac:dyDescent="0.2">
      <c r="A34">
        <v>7.3999999999999996E-2</v>
      </c>
      <c r="B34">
        <v>7.3999999999999996E-2</v>
      </c>
      <c r="C34">
        <v>7.3999999999999996E-2</v>
      </c>
      <c r="D34">
        <v>7.2999999999999995E-2</v>
      </c>
      <c r="E34">
        <v>7.1999999999999995E-2</v>
      </c>
      <c r="F34">
        <v>7.2999999999999995E-2</v>
      </c>
      <c r="M34" s="27"/>
      <c r="O34" s="3" t="s">
        <v>13</v>
      </c>
      <c r="P34" s="3">
        <f>E27</f>
        <v>9.4E-2</v>
      </c>
      <c r="Q34" s="3">
        <f>E28</f>
        <v>9.6000000000000002E-2</v>
      </c>
      <c r="R34" s="3">
        <f t="shared" si="1"/>
        <v>9.5000000000000001E-2</v>
      </c>
      <c r="S34" s="9">
        <v>3.75</v>
      </c>
    </row>
    <row r="35" spans="1:1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O35" s="3" t="s">
        <v>14</v>
      </c>
      <c r="P35" s="3"/>
      <c r="Q35" s="3"/>
      <c r="R35" s="3"/>
      <c r="S35" s="9"/>
    </row>
    <row r="36" spans="1:19" x14ac:dyDescent="0.2">
      <c r="A36" s="6"/>
      <c r="B36" s="6"/>
      <c r="C36" s="6"/>
      <c r="D36" s="6"/>
      <c r="E36" s="6"/>
      <c r="F36" s="6"/>
      <c r="G36" s="6"/>
      <c r="H36" s="15"/>
      <c r="I36" s="15"/>
      <c r="J36" s="15"/>
      <c r="K36" s="15"/>
      <c r="L36" s="15"/>
      <c r="M36" s="28" t="s">
        <v>1</v>
      </c>
      <c r="O36" s="3" t="s">
        <v>15</v>
      </c>
      <c r="P36" s="3">
        <f>G27</f>
        <v>0.19600000000000001</v>
      </c>
      <c r="Q36" s="3">
        <f>G28</f>
        <v>0.183</v>
      </c>
      <c r="R36" s="3">
        <f t="shared" si="1"/>
        <v>0.1895</v>
      </c>
      <c r="S36" s="9">
        <v>15</v>
      </c>
    </row>
    <row r="37" spans="1:19" x14ac:dyDescent="0.2">
      <c r="A37" s="6"/>
      <c r="B37" s="6"/>
      <c r="C37" s="6"/>
      <c r="D37" s="6"/>
      <c r="E37" s="6"/>
      <c r="F37" s="6"/>
      <c r="G37" s="6"/>
      <c r="H37" s="15"/>
      <c r="I37" s="15"/>
      <c r="J37" s="15"/>
      <c r="K37" s="15"/>
      <c r="L37" s="15"/>
      <c r="M37" s="29"/>
    </row>
    <row r="38" spans="1:19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9"/>
      <c r="N38" s="10"/>
      <c r="O38" s="10"/>
      <c r="P38" s="10"/>
    </row>
    <row r="39" spans="1:19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29"/>
      <c r="N39" s="10"/>
      <c r="O39" s="10"/>
      <c r="P39" s="10"/>
    </row>
    <row r="40" spans="1:19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8"/>
      <c r="M40" s="29"/>
      <c r="N40" s="10"/>
      <c r="O40" s="10"/>
      <c r="P40" s="10"/>
    </row>
    <row r="41" spans="1:1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9"/>
      <c r="M41" s="29"/>
      <c r="N41" s="10"/>
      <c r="O41" s="10"/>
      <c r="P41" s="10"/>
    </row>
    <row r="42" spans="1:19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  <c r="M42" s="29"/>
      <c r="N42" s="10"/>
      <c r="O42" s="10"/>
      <c r="P42" s="10"/>
    </row>
    <row r="43" spans="1:19" x14ac:dyDescent="0.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  <c r="M43" s="36"/>
      <c r="N43" s="10"/>
      <c r="O43" s="10"/>
      <c r="P43" s="10"/>
    </row>
    <row r="44" spans="1:19" x14ac:dyDescent="0.2">
      <c r="N44" s="10"/>
      <c r="O44" s="10"/>
      <c r="P44" s="10"/>
    </row>
    <row r="45" spans="1:19" x14ac:dyDescent="0.2">
      <c r="A45" s="1" t="s">
        <v>19</v>
      </c>
      <c r="B45" s="1"/>
      <c r="C45" s="1"/>
      <c r="D45" s="1"/>
      <c r="E45" s="1"/>
      <c r="K45" s="11"/>
      <c r="L45" s="12"/>
      <c r="M45" s="12"/>
    </row>
    <row r="47" spans="1:19" x14ac:dyDescent="0.2">
      <c r="A47" s="37"/>
      <c r="B47" s="38" t="s">
        <v>0</v>
      </c>
      <c r="C47" s="38" t="s">
        <v>0</v>
      </c>
      <c r="D47" s="38" t="s">
        <v>0</v>
      </c>
      <c r="E47" s="38" t="s">
        <v>0</v>
      </c>
      <c r="F47" s="38" t="s">
        <v>0</v>
      </c>
      <c r="G47" s="39" t="s">
        <v>1</v>
      </c>
      <c r="H47" s="39" t="s">
        <v>1</v>
      </c>
      <c r="I47" s="39" t="s">
        <v>1</v>
      </c>
      <c r="J47" s="40" t="s">
        <v>1</v>
      </c>
      <c r="K47" s="40" t="s">
        <v>1</v>
      </c>
    </row>
    <row r="48" spans="1:19" x14ac:dyDescent="0.2">
      <c r="A48" s="37" t="s">
        <v>23</v>
      </c>
      <c r="B48" s="41" t="s">
        <v>4</v>
      </c>
      <c r="C48" s="41" t="s">
        <v>5</v>
      </c>
      <c r="D48" s="41" t="s">
        <v>6</v>
      </c>
      <c r="E48" s="41" t="s">
        <v>21</v>
      </c>
      <c r="F48" s="41" t="s">
        <v>24</v>
      </c>
      <c r="G48" s="41" t="s">
        <v>4</v>
      </c>
      <c r="H48" s="41" t="s">
        <v>5</v>
      </c>
      <c r="I48" s="41" t="s">
        <v>6</v>
      </c>
      <c r="J48" s="42" t="s">
        <v>22</v>
      </c>
      <c r="K48" s="41" t="s">
        <v>24</v>
      </c>
    </row>
    <row r="49" spans="1:11" x14ac:dyDescent="0.2">
      <c r="A49" s="44">
        <v>1</v>
      </c>
      <c r="B49">
        <v>5.5E-2</v>
      </c>
      <c r="C49">
        <v>5.7000000000000002E-2</v>
      </c>
      <c r="D49" s="43">
        <f>AVERAGE(B49:C49)</f>
        <v>5.6000000000000001E-2</v>
      </c>
      <c r="E49" s="43">
        <f>(D49-0.0534)/0.0066</f>
        <v>0.39393939393939365</v>
      </c>
      <c r="F49" s="43">
        <f>E49-$E$49</f>
        <v>0</v>
      </c>
      <c r="G49">
        <v>7.0999999999999994E-2</v>
      </c>
      <c r="H49">
        <v>7.1999999999999995E-2</v>
      </c>
      <c r="I49" s="43">
        <f>AVERAGE(G49:H49)</f>
        <v>7.1499999999999994E-2</v>
      </c>
      <c r="J49" s="43">
        <f>(I49-0.0674)/0.0081</f>
        <v>0.50617283950617198</v>
      </c>
      <c r="K49" s="43">
        <f>J49-$J$49</f>
        <v>0</v>
      </c>
    </row>
    <row r="50" spans="1:11" x14ac:dyDescent="0.2">
      <c r="A50" s="44">
        <v>2</v>
      </c>
      <c r="B50">
        <v>5.8000000000000003E-2</v>
      </c>
      <c r="C50">
        <v>5.7000000000000002E-2</v>
      </c>
      <c r="D50" s="43">
        <f t="shared" ref="D50:D78" si="2">AVERAGE(B50:C50)</f>
        <v>5.7500000000000002E-2</v>
      </c>
      <c r="E50" s="43">
        <f t="shared" ref="E50:E78" si="3">(D50-0.0534)/0.0066</f>
        <v>0.6212121212121211</v>
      </c>
      <c r="F50" s="43">
        <f t="shared" ref="F50:F78" si="4">E50-$E$49</f>
        <v>0.22727272727272746</v>
      </c>
      <c r="G50">
        <v>7.0999999999999994E-2</v>
      </c>
      <c r="H50">
        <v>7.2999999999999995E-2</v>
      </c>
      <c r="I50" s="43">
        <f t="shared" ref="I50:I78" si="5">AVERAGE(G50:H50)</f>
        <v>7.1999999999999995E-2</v>
      </c>
      <c r="J50" s="43">
        <f t="shared" ref="J50:J78" si="6">(I50-0.0674)/0.0081</f>
        <v>0.56790123456790043</v>
      </c>
      <c r="K50" s="43">
        <f t="shared" ref="K50:K78" si="7">J50-$J$49</f>
        <v>6.1728395061728447E-2</v>
      </c>
    </row>
    <row r="51" spans="1:11" x14ac:dyDescent="0.2">
      <c r="A51" s="44">
        <v>3</v>
      </c>
      <c r="B51">
        <v>0.06</v>
      </c>
      <c r="C51">
        <v>5.8999999999999997E-2</v>
      </c>
      <c r="D51" s="43">
        <f t="shared" si="2"/>
        <v>5.9499999999999997E-2</v>
      </c>
      <c r="E51" s="43">
        <f t="shared" si="3"/>
        <v>0.92424242424242342</v>
      </c>
      <c r="F51" s="43">
        <f>E51-$E$49</f>
        <v>0.53030303030302983</v>
      </c>
      <c r="G51">
        <v>7.2999999999999995E-2</v>
      </c>
      <c r="H51">
        <v>7.1999999999999995E-2</v>
      </c>
      <c r="I51" s="43">
        <f t="shared" si="5"/>
        <v>7.2499999999999995E-2</v>
      </c>
      <c r="J51" s="43">
        <f t="shared" si="6"/>
        <v>0.62962962962962887</v>
      </c>
      <c r="K51" s="43">
        <f t="shared" si="7"/>
        <v>0.12345679012345689</v>
      </c>
    </row>
    <row r="52" spans="1:11" x14ac:dyDescent="0.2">
      <c r="A52" s="44">
        <v>4</v>
      </c>
      <c r="B52">
        <v>7.6999999999999999E-2</v>
      </c>
      <c r="C52">
        <v>7.6999999999999999E-2</v>
      </c>
      <c r="D52" s="43">
        <f t="shared" si="2"/>
        <v>7.6999999999999999E-2</v>
      </c>
      <c r="E52" s="43">
        <f t="shared" si="3"/>
        <v>3.5757575757575752</v>
      </c>
      <c r="F52" s="43">
        <f t="shared" si="4"/>
        <v>3.1818181818181817</v>
      </c>
      <c r="G52">
        <v>7.5999999999999998E-2</v>
      </c>
      <c r="H52">
        <v>7.5999999999999998E-2</v>
      </c>
      <c r="I52" s="43">
        <f>AVERAGE(G52:H52)</f>
        <v>7.5999999999999998E-2</v>
      </c>
      <c r="J52" s="43">
        <f t="shared" si="6"/>
        <v>1.061728395061728</v>
      </c>
      <c r="K52" s="43">
        <f t="shared" si="7"/>
        <v>0.55555555555555602</v>
      </c>
    </row>
    <row r="53" spans="1:11" x14ac:dyDescent="0.2">
      <c r="A53" s="44">
        <v>5</v>
      </c>
      <c r="B53">
        <v>7.0000000000000007E-2</v>
      </c>
      <c r="C53">
        <v>6.9000000000000006E-2</v>
      </c>
      <c r="D53" s="43">
        <f t="shared" si="2"/>
        <v>6.9500000000000006E-2</v>
      </c>
      <c r="E53" s="43">
        <f t="shared" si="3"/>
        <v>2.4393939393939399</v>
      </c>
      <c r="F53" s="43">
        <f t="shared" si="4"/>
        <v>2.0454545454545463</v>
      </c>
      <c r="G53">
        <v>7.5999999999999998E-2</v>
      </c>
      <c r="H53">
        <v>7.4999999999999997E-2</v>
      </c>
      <c r="I53" s="43">
        <f t="shared" ref="I53:I60" si="8">AVERAGE(G53:H53)</f>
        <v>7.5499999999999998E-2</v>
      </c>
      <c r="J53" s="43">
        <f t="shared" si="6"/>
        <v>0.99999999999999956</v>
      </c>
      <c r="K53" s="43">
        <f t="shared" si="7"/>
        <v>0.49382716049382758</v>
      </c>
    </row>
    <row r="54" spans="1:11" x14ac:dyDescent="0.2">
      <c r="A54" s="44">
        <v>6</v>
      </c>
      <c r="B54">
        <v>6.2E-2</v>
      </c>
      <c r="C54">
        <v>6.3E-2</v>
      </c>
      <c r="D54" s="43">
        <f t="shared" si="2"/>
        <v>6.25E-2</v>
      </c>
      <c r="E54" s="43">
        <f t="shared" si="3"/>
        <v>1.3787878787878782</v>
      </c>
      <c r="F54" s="43">
        <f t="shared" si="4"/>
        <v>0.98484848484848464</v>
      </c>
      <c r="G54">
        <v>7.3999999999999996E-2</v>
      </c>
      <c r="H54">
        <v>7.3999999999999996E-2</v>
      </c>
      <c r="I54" s="43">
        <f t="shared" si="8"/>
        <v>7.3999999999999996E-2</v>
      </c>
      <c r="J54" s="43">
        <f t="shared" si="6"/>
        <v>0.81481481481481421</v>
      </c>
      <c r="K54" s="43">
        <f t="shared" si="7"/>
        <v>0.30864197530864224</v>
      </c>
    </row>
    <row r="55" spans="1:11" x14ac:dyDescent="0.2">
      <c r="A55" s="44">
        <v>7</v>
      </c>
      <c r="B55">
        <v>0.06</v>
      </c>
      <c r="C55">
        <v>0.06</v>
      </c>
      <c r="D55" s="43">
        <f t="shared" si="2"/>
        <v>0.06</v>
      </c>
      <c r="E55" s="43">
        <f t="shared" si="3"/>
        <v>0.99999999999999922</v>
      </c>
      <c r="F55" s="43">
        <f>E55-$E$49</f>
        <v>0.60606060606060552</v>
      </c>
      <c r="G55">
        <v>7.2999999999999995E-2</v>
      </c>
      <c r="H55">
        <v>7.2999999999999995E-2</v>
      </c>
      <c r="I55" s="43">
        <f t="shared" si="8"/>
        <v>7.2999999999999995E-2</v>
      </c>
      <c r="J55" s="43">
        <f t="shared" si="6"/>
        <v>0.69135802469135732</v>
      </c>
      <c r="K55" s="43">
        <f t="shared" si="7"/>
        <v>0.18518518518518534</v>
      </c>
    </row>
    <row r="56" spans="1:11" x14ac:dyDescent="0.2">
      <c r="A56" s="44">
        <v>8</v>
      </c>
      <c r="B56">
        <v>5.8999999999999997E-2</v>
      </c>
      <c r="C56">
        <v>5.8000000000000003E-2</v>
      </c>
      <c r="D56" s="43">
        <f t="shared" si="2"/>
        <v>5.8499999999999996E-2</v>
      </c>
      <c r="E56" s="43">
        <f t="shared" si="3"/>
        <v>0.77272727272727171</v>
      </c>
      <c r="F56" s="43">
        <f t="shared" si="4"/>
        <v>0.37878787878787806</v>
      </c>
      <c r="G56">
        <v>7.2999999999999995E-2</v>
      </c>
      <c r="H56">
        <v>7.2999999999999995E-2</v>
      </c>
      <c r="I56" s="43">
        <f t="shared" si="8"/>
        <v>7.2999999999999995E-2</v>
      </c>
      <c r="J56" s="43">
        <f t="shared" si="6"/>
        <v>0.69135802469135732</v>
      </c>
      <c r="K56" s="43">
        <f t="shared" si="7"/>
        <v>0.18518518518518534</v>
      </c>
    </row>
    <row r="57" spans="1:11" x14ac:dyDescent="0.2">
      <c r="A57" s="44">
        <v>9</v>
      </c>
      <c r="B57">
        <v>5.8999999999999997E-2</v>
      </c>
      <c r="C57">
        <v>5.7000000000000002E-2</v>
      </c>
      <c r="D57" s="43">
        <f t="shared" si="2"/>
        <v>5.7999999999999996E-2</v>
      </c>
      <c r="E57" s="43">
        <f t="shared" si="3"/>
        <v>0.69696969696969591</v>
      </c>
      <c r="F57" s="43">
        <f t="shared" si="4"/>
        <v>0.30303030303030226</v>
      </c>
      <c r="G57">
        <v>7.3999999999999996E-2</v>
      </c>
      <c r="H57">
        <v>7.1999999999999995E-2</v>
      </c>
      <c r="I57" s="43">
        <f t="shared" si="8"/>
        <v>7.2999999999999995E-2</v>
      </c>
      <c r="J57" s="43">
        <f t="shared" si="6"/>
        <v>0.69135802469135732</v>
      </c>
      <c r="K57" s="43">
        <f t="shared" si="7"/>
        <v>0.18518518518518534</v>
      </c>
    </row>
    <row r="58" spans="1:11" x14ac:dyDescent="0.2">
      <c r="A58" s="44">
        <v>10</v>
      </c>
      <c r="B58">
        <v>0.06</v>
      </c>
      <c r="C58">
        <v>5.8000000000000003E-2</v>
      </c>
      <c r="D58" s="43">
        <f t="shared" si="2"/>
        <v>5.8999999999999997E-2</v>
      </c>
      <c r="E58" s="43">
        <f t="shared" si="3"/>
        <v>0.84848484848484751</v>
      </c>
      <c r="F58" s="43">
        <f t="shared" si="4"/>
        <v>0.45454545454545386</v>
      </c>
      <c r="G58">
        <v>7.2999999999999995E-2</v>
      </c>
      <c r="H58">
        <v>7.1999999999999995E-2</v>
      </c>
      <c r="I58" s="43">
        <f t="shared" si="8"/>
        <v>7.2499999999999995E-2</v>
      </c>
      <c r="J58" s="43">
        <f t="shared" si="6"/>
        <v>0.62962962962962887</v>
      </c>
      <c r="K58" s="43">
        <f t="shared" si="7"/>
        <v>0.12345679012345689</v>
      </c>
    </row>
    <row r="59" spans="1:11" x14ac:dyDescent="0.2">
      <c r="A59" s="44">
        <v>11</v>
      </c>
      <c r="B59">
        <v>6.0999999999999999E-2</v>
      </c>
      <c r="C59">
        <v>5.8999999999999997E-2</v>
      </c>
      <c r="D59" s="43">
        <f t="shared" si="2"/>
        <v>0.06</v>
      </c>
      <c r="E59" s="43">
        <f t="shared" si="3"/>
        <v>0.99999999999999922</v>
      </c>
      <c r="F59" s="43">
        <f t="shared" si="4"/>
        <v>0.60606060606060552</v>
      </c>
      <c r="G59">
        <v>7.5999999999999998E-2</v>
      </c>
      <c r="H59">
        <v>7.2999999999999995E-2</v>
      </c>
      <c r="I59" s="43">
        <f t="shared" si="8"/>
        <v>7.4499999999999997E-2</v>
      </c>
      <c r="J59" s="43">
        <f t="shared" si="6"/>
        <v>0.87654320987654266</v>
      </c>
      <c r="K59" s="43">
        <f t="shared" si="7"/>
        <v>0.37037037037037068</v>
      </c>
    </row>
    <row r="60" spans="1:11" x14ac:dyDescent="0.2">
      <c r="A60" s="44">
        <v>12</v>
      </c>
      <c r="B60">
        <v>6.0999999999999999E-2</v>
      </c>
      <c r="C60">
        <v>5.8999999999999997E-2</v>
      </c>
      <c r="D60" s="43">
        <f t="shared" si="2"/>
        <v>0.06</v>
      </c>
      <c r="E60" s="43">
        <f t="shared" si="3"/>
        <v>0.99999999999999922</v>
      </c>
      <c r="F60" s="43">
        <f t="shared" si="4"/>
        <v>0.60606060606060552</v>
      </c>
      <c r="G60">
        <v>7.6999999999999999E-2</v>
      </c>
      <c r="H60">
        <v>7.2999999999999995E-2</v>
      </c>
      <c r="I60" s="43">
        <f t="shared" si="8"/>
        <v>7.4999999999999997E-2</v>
      </c>
      <c r="J60" s="43">
        <f t="shared" si="6"/>
        <v>0.93827160493827111</v>
      </c>
      <c r="K60" s="43">
        <f t="shared" si="7"/>
        <v>0.43209876543209913</v>
      </c>
    </row>
    <row r="61" spans="1:11" x14ac:dyDescent="0.2">
      <c r="A61" s="44">
        <v>13</v>
      </c>
      <c r="B61">
        <v>5.7000000000000002E-2</v>
      </c>
      <c r="C61">
        <v>5.8999999999999997E-2</v>
      </c>
      <c r="D61" s="43">
        <f t="shared" si="2"/>
        <v>5.7999999999999996E-2</v>
      </c>
      <c r="E61" s="43">
        <f t="shared" si="3"/>
        <v>0.69696969696969591</v>
      </c>
      <c r="F61" s="43">
        <f t="shared" si="4"/>
        <v>0.30303030303030226</v>
      </c>
      <c r="G61">
        <v>7.3999999999999996E-2</v>
      </c>
      <c r="H61">
        <v>7.4999999999999997E-2</v>
      </c>
      <c r="I61" s="43">
        <f t="shared" si="5"/>
        <v>7.4499999999999997E-2</v>
      </c>
      <c r="J61" s="43">
        <f t="shared" si="6"/>
        <v>0.87654320987654266</v>
      </c>
      <c r="K61" s="43">
        <f t="shared" si="7"/>
        <v>0.37037037037037068</v>
      </c>
    </row>
    <row r="62" spans="1:11" x14ac:dyDescent="0.2">
      <c r="A62" s="44">
        <v>14</v>
      </c>
      <c r="B62">
        <v>5.8999999999999997E-2</v>
      </c>
      <c r="C62">
        <v>5.8999999999999997E-2</v>
      </c>
      <c r="D62" s="43">
        <f t="shared" si="2"/>
        <v>5.8999999999999997E-2</v>
      </c>
      <c r="E62" s="43">
        <f t="shared" si="3"/>
        <v>0.84848484848484751</v>
      </c>
      <c r="F62" s="43">
        <f t="shared" si="4"/>
        <v>0.45454545454545386</v>
      </c>
      <c r="G62">
        <v>7.6999999999999999E-2</v>
      </c>
      <c r="H62">
        <v>7.5999999999999998E-2</v>
      </c>
      <c r="I62" s="43">
        <f t="shared" si="5"/>
        <v>7.6499999999999999E-2</v>
      </c>
      <c r="J62" s="43">
        <f t="shared" si="6"/>
        <v>1.1234567901234565</v>
      </c>
      <c r="K62" s="43">
        <f t="shared" si="7"/>
        <v>0.61728395061728447</v>
      </c>
    </row>
    <row r="63" spans="1:11" x14ac:dyDescent="0.2">
      <c r="A63" s="44">
        <v>15</v>
      </c>
      <c r="B63">
        <v>5.8000000000000003E-2</v>
      </c>
      <c r="C63">
        <v>5.8000000000000003E-2</v>
      </c>
      <c r="D63" s="43">
        <f t="shared" si="2"/>
        <v>5.8000000000000003E-2</v>
      </c>
      <c r="E63" s="43">
        <f t="shared" si="3"/>
        <v>0.69696969696969702</v>
      </c>
      <c r="F63" s="43">
        <f t="shared" si="4"/>
        <v>0.30303030303030337</v>
      </c>
      <c r="G63">
        <v>7.4999999999999997E-2</v>
      </c>
      <c r="H63">
        <v>7.4999999999999997E-2</v>
      </c>
      <c r="I63" s="43">
        <f t="shared" si="5"/>
        <v>7.4999999999999997E-2</v>
      </c>
      <c r="J63" s="43">
        <f t="shared" si="6"/>
        <v>0.93827160493827111</v>
      </c>
      <c r="K63" s="43">
        <f t="shared" si="7"/>
        <v>0.43209876543209913</v>
      </c>
    </row>
    <row r="64" spans="1:11" x14ac:dyDescent="0.2">
      <c r="A64" s="44">
        <v>16</v>
      </c>
      <c r="B64">
        <v>5.8000000000000003E-2</v>
      </c>
      <c r="C64">
        <v>5.8000000000000003E-2</v>
      </c>
      <c r="D64" s="43">
        <f t="shared" si="2"/>
        <v>5.8000000000000003E-2</v>
      </c>
      <c r="E64" s="43">
        <f t="shared" si="3"/>
        <v>0.69696969696969702</v>
      </c>
      <c r="F64" s="43">
        <f t="shared" si="4"/>
        <v>0.30303030303030337</v>
      </c>
      <c r="G64">
        <v>0.08</v>
      </c>
      <c r="H64">
        <v>7.8E-2</v>
      </c>
      <c r="I64" s="43">
        <f t="shared" si="5"/>
        <v>7.9000000000000001E-2</v>
      </c>
      <c r="J64" s="43">
        <f t="shared" si="6"/>
        <v>1.4320987654320987</v>
      </c>
      <c r="K64" s="43">
        <f t="shared" si="7"/>
        <v>0.92592592592592671</v>
      </c>
    </row>
    <row r="65" spans="1:11" x14ac:dyDescent="0.2">
      <c r="A65" s="44">
        <v>17</v>
      </c>
      <c r="B65">
        <v>5.8000000000000003E-2</v>
      </c>
      <c r="C65">
        <v>5.8000000000000003E-2</v>
      </c>
      <c r="D65" s="43">
        <f t="shared" si="2"/>
        <v>5.8000000000000003E-2</v>
      </c>
      <c r="E65" s="43">
        <f t="shared" si="3"/>
        <v>0.69696969696969702</v>
      </c>
      <c r="F65" s="43">
        <f t="shared" si="4"/>
        <v>0.30303030303030337</v>
      </c>
      <c r="G65">
        <v>9.6000000000000002E-2</v>
      </c>
      <c r="H65">
        <v>9.7000000000000003E-2</v>
      </c>
      <c r="I65" s="43">
        <f t="shared" si="5"/>
        <v>9.6500000000000002E-2</v>
      </c>
      <c r="J65" s="43">
        <f t="shared" si="6"/>
        <v>3.592592592592593</v>
      </c>
      <c r="K65" s="43">
        <f t="shared" si="7"/>
        <v>3.086419753086421</v>
      </c>
    </row>
    <row r="66" spans="1:11" x14ac:dyDescent="0.2">
      <c r="A66" s="44">
        <v>18</v>
      </c>
      <c r="B66">
        <v>5.8999999999999997E-2</v>
      </c>
      <c r="C66">
        <v>5.8000000000000003E-2</v>
      </c>
      <c r="D66" s="43">
        <f t="shared" si="2"/>
        <v>5.8499999999999996E-2</v>
      </c>
      <c r="E66" s="43">
        <f t="shared" si="3"/>
        <v>0.77272727272727171</v>
      </c>
      <c r="F66" s="43">
        <f t="shared" si="4"/>
        <v>0.37878787878787806</v>
      </c>
      <c r="G66">
        <v>0.11799999999999999</v>
      </c>
      <c r="H66">
        <v>0.11700000000000001</v>
      </c>
      <c r="I66" s="43">
        <f t="shared" si="5"/>
        <v>0.11749999999999999</v>
      </c>
      <c r="J66" s="43">
        <f t="shared" si="6"/>
        <v>6.1851851851851842</v>
      </c>
      <c r="K66" s="43">
        <f t="shared" si="7"/>
        <v>5.6790123456790127</v>
      </c>
    </row>
    <row r="67" spans="1:11" x14ac:dyDescent="0.2">
      <c r="A67" s="44">
        <v>19</v>
      </c>
      <c r="B67">
        <v>5.8999999999999997E-2</v>
      </c>
      <c r="C67">
        <v>5.8000000000000003E-2</v>
      </c>
      <c r="D67" s="43">
        <f t="shared" si="2"/>
        <v>5.8499999999999996E-2</v>
      </c>
      <c r="E67" s="43">
        <f t="shared" si="3"/>
        <v>0.77272727272727171</v>
      </c>
      <c r="F67" s="43">
        <f t="shared" si="4"/>
        <v>0.37878787878787806</v>
      </c>
      <c r="G67">
        <v>0.104</v>
      </c>
      <c r="H67">
        <v>0.1</v>
      </c>
      <c r="I67" s="43">
        <f t="shared" si="5"/>
        <v>0.10200000000000001</v>
      </c>
      <c r="J67" s="43">
        <f t="shared" si="6"/>
        <v>4.2716049382716061</v>
      </c>
      <c r="K67" s="43">
        <f t="shared" si="7"/>
        <v>3.7654320987654342</v>
      </c>
    </row>
    <row r="68" spans="1:11" x14ac:dyDescent="0.2">
      <c r="A68" s="44">
        <v>20</v>
      </c>
      <c r="B68">
        <v>5.8000000000000003E-2</v>
      </c>
      <c r="C68">
        <v>5.8000000000000003E-2</v>
      </c>
      <c r="D68" s="43">
        <f t="shared" si="2"/>
        <v>5.8000000000000003E-2</v>
      </c>
      <c r="E68" s="43">
        <f t="shared" si="3"/>
        <v>0.69696969696969702</v>
      </c>
      <c r="F68" s="43">
        <f t="shared" si="4"/>
        <v>0.30303030303030337</v>
      </c>
      <c r="G68">
        <v>8.5999999999999993E-2</v>
      </c>
      <c r="H68">
        <v>8.5000000000000006E-2</v>
      </c>
      <c r="I68" s="43">
        <f t="shared" si="5"/>
        <v>8.5499999999999993E-2</v>
      </c>
      <c r="J68" s="43">
        <f t="shared" si="6"/>
        <v>2.2345679012345667</v>
      </c>
      <c r="K68" s="43">
        <f t="shared" si="7"/>
        <v>1.7283950617283947</v>
      </c>
    </row>
    <row r="69" spans="1:11" x14ac:dyDescent="0.2">
      <c r="A69" s="44">
        <v>21</v>
      </c>
      <c r="B69">
        <v>5.8000000000000003E-2</v>
      </c>
      <c r="C69">
        <v>5.7000000000000002E-2</v>
      </c>
      <c r="D69" s="43">
        <f t="shared" si="2"/>
        <v>5.7500000000000002E-2</v>
      </c>
      <c r="E69" s="43">
        <f t="shared" si="3"/>
        <v>0.6212121212121211</v>
      </c>
      <c r="F69" s="43">
        <f t="shared" si="4"/>
        <v>0.22727272727272746</v>
      </c>
      <c r="G69">
        <v>7.9000000000000001E-2</v>
      </c>
      <c r="H69">
        <v>7.8E-2</v>
      </c>
      <c r="I69" s="43">
        <f t="shared" si="5"/>
        <v>7.85E-2</v>
      </c>
      <c r="J69" s="43">
        <f t="shared" si="6"/>
        <v>1.3703703703703702</v>
      </c>
      <c r="K69" s="43">
        <f t="shared" si="7"/>
        <v>0.86419753086419826</v>
      </c>
    </row>
    <row r="70" spans="1:11" x14ac:dyDescent="0.2">
      <c r="A70" s="44">
        <v>22</v>
      </c>
      <c r="B70">
        <v>5.8999999999999997E-2</v>
      </c>
      <c r="C70">
        <v>5.8999999999999997E-2</v>
      </c>
      <c r="D70" s="43">
        <f t="shared" si="2"/>
        <v>5.8999999999999997E-2</v>
      </c>
      <c r="E70" s="43">
        <f t="shared" si="3"/>
        <v>0.84848484848484751</v>
      </c>
      <c r="F70" s="43">
        <f t="shared" si="4"/>
        <v>0.45454545454545386</v>
      </c>
      <c r="G70">
        <v>7.5999999999999998E-2</v>
      </c>
      <c r="H70">
        <v>7.2999999999999995E-2</v>
      </c>
      <c r="I70" s="43">
        <f t="shared" si="5"/>
        <v>7.4499999999999997E-2</v>
      </c>
      <c r="J70" s="43">
        <f t="shared" si="6"/>
        <v>0.87654320987654266</v>
      </c>
      <c r="K70" s="43">
        <f t="shared" si="7"/>
        <v>0.37037037037037068</v>
      </c>
    </row>
    <row r="71" spans="1:11" x14ac:dyDescent="0.2">
      <c r="A71" s="44">
        <v>23</v>
      </c>
      <c r="B71">
        <v>5.8999999999999997E-2</v>
      </c>
      <c r="C71">
        <v>5.8000000000000003E-2</v>
      </c>
      <c r="D71" s="43">
        <f t="shared" si="2"/>
        <v>5.8499999999999996E-2</v>
      </c>
      <c r="E71" s="43">
        <f t="shared" si="3"/>
        <v>0.77272727272727171</v>
      </c>
      <c r="F71" s="43">
        <f t="shared" si="4"/>
        <v>0.37878787878787806</v>
      </c>
      <c r="G71">
        <v>7.4999999999999997E-2</v>
      </c>
      <c r="H71">
        <v>7.2999999999999995E-2</v>
      </c>
      <c r="I71" s="43">
        <f t="shared" si="5"/>
        <v>7.3999999999999996E-2</v>
      </c>
      <c r="J71" s="43">
        <f t="shared" si="6"/>
        <v>0.81481481481481421</v>
      </c>
      <c r="K71" s="43">
        <f t="shared" si="7"/>
        <v>0.30864197530864224</v>
      </c>
    </row>
    <row r="72" spans="1:11" x14ac:dyDescent="0.2">
      <c r="A72" s="44">
        <v>24</v>
      </c>
      <c r="B72">
        <v>5.8999999999999997E-2</v>
      </c>
      <c r="C72">
        <v>5.7000000000000002E-2</v>
      </c>
      <c r="D72" s="43">
        <f t="shared" si="2"/>
        <v>5.7999999999999996E-2</v>
      </c>
      <c r="E72" s="43">
        <f t="shared" si="3"/>
        <v>0.69696969696969591</v>
      </c>
      <c r="F72" s="43">
        <f t="shared" si="4"/>
        <v>0.30303030303030226</v>
      </c>
      <c r="G72">
        <v>7.3999999999999996E-2</v>
      </c>
      <c r="H72">
        <v>7.0999999999999994E-2</v>
      </c>
      <c r="I72" s="43">
        <f t="shared" si="5"/>
        <v>7.2499999999999995E-2</v>
      </c>
      <c r="J72" s="43">
        <f t="shared" si="6"/>
        <v>0.62962962962962887</v>
      </c>
      <c r="K72" s="43">
        <f t="shared" si="7"/>
        <v>0.12345679012345689</v>
      </c>
    </row>
    <row r="73" spans="1:11" x14ac:dyDescent="0.2">
      <c r="A73" s="44">
        <v>25</v>
      </c>
      <c r="B73">
        <v>5.7000000000000002E-2</v>
      </c>
      <c r="C73">
        <v>5.8999999999999997E-2</v>
      </c>
      <c r="D73" s="43">
        <f t="shared" si="2"/>
        <v>5.7999999999999996E-2</v>
      </c>
      <c r="E73" s="43">
        <f t="shared" si="3"/>
        <v>0.69696969696969591</v>
      </c>
      <c r="F73" s="43">
        <f t="shared" si="4"/>
        <v>0.30303030303030226</v>
      </c>
      <c r="G73">
        <v>7.0999999999999994E-2</v>
      </c>
      <c r="H73">
        <v>7.3999999999999996E-2</v>
      </c>
      <c r="I73" s="43">
        <f t="shared" si="5"/>
        <v>7.2499999999999995E-2</v>
      </c>
      <c r="J73" s="43">
        <f t="shared" si="6"/>
        <v>0.62962962962962887</v>
      </c>
      <c r="K73" s="43">
        <f t="shared" si="7"/>
        <v>0.12345679012345689</v>
      </c>
    </row>
    <row r="74" spans="1:11" x14ac:dyDescent="0.2">
      <c r="A74" s="44">
        <v>26</v>
      </c>
      <c r="B74">
        <v>0.06</v>
      </c>
      <c r="C74">
        <v>5.8999999999999997E-2</v>
      </c>
      <c r="D74" s="43">
        <f t="shared" si="2"/>
        <v>5.9499999999999997E-2</v>
      </c>
      <c r="E74" s="43">
        <f t="shared" si="3"/>
        <v>0.92424242424242342</v>
      </c>
      <c r="F74" s="43">
        <f t="shared" si="4"/>
        <v>0.53030303030302983</v>
      </c>
      <c r="G74">
        <v>7.3999999999999996E-2</v>
      </c>
      <c r="H74">
        <v>7.3999999999999996E-2</v>
      </c>
      <c r="I74" s="43">
        <f t="shared" si="5"/>
        <v>7.3999999999999996E-2</v>
      </c>
      <c r="J74" s="43">
        <f t="shared" si="6"/>
        <v>0.81481481481481421</v>
      </c>
      <c r="K74" s="43">
        <f t="shared" si="7"/>
        <v>0.30864197530864224</v>
      </c>
    </row>
    <row r="75" spans="1:11" x14ac:dyDescent="0.2">
      <c r="A75" s="44">
        <v>27</v>
      </c>
      <c r="B75">
        <v>7.0999999999999994E-2</v>
      </c>
      <c r="C75">
        <v>7.0000000000000007E-2</v>
      </c>
      <c r="D75" s="43">
        <f t="shared" si="2"/>
        <v>7.0500000000000007E-2</v>
      </c>
      <c r="E75" s="43">
        <f t="shared" si="3"/>
        <v>2.5909090909090917</v>
      </c>
      <c r="F75" s="43">
        <f t="shared" si="4"/>
        <v>2.1969696969696981</v>
      </c>
      <c r="G75">
        <v>7.1999999999999995E-2</v>
      </c>
      <c r="H75">
        <v>7.3999999999999996E-2</v>
      </c>
      <c r="I75" s="43">
        <f t="shared" si="5"/>
        <v>7.2999999999999995E-2</v>
      </c>
      <c r="J75" s="43">
        <f t="shared" si="6"/>
        <v>0.69135802469135732</v>
      </c>
      <c r="K75" s="43">
        <f t="shared" si="7"/>
        <v>0.18518518518518534</v>
      </c>
    </row>
    <row r="76" spans="1:11" x14ac:dyDescent="0.2">
      <c r="A76" s="44">
        <v>28</v>
      </c>
      <c r="B76">
        <v>8.5000000000000006E-2</v>
      </c>
      <c r="C76">
        <v>8.4000000000000005E-2</v>
      </c>
      <c r="D76" s="43">
        <f t="shared" si="2"/>
        <v>8.4500000000000006E-2</v>
      </c>
      <c r="E76" s="43">
        <f t="shared" si="3"/>
        <v>4.7121212121212128</v>
      </c>
      <c r="F76" s="43">
        <f t="shared" si="4"/>
        <v>4.3181818181818192</v>
      </c>
      <c r="G76">
        <v>7.2999999999999995E-2</v>
      </c>
      <c r="H76">
        <v>7.2999999999999995E-2</v>
      </c>
      <c r="I76" s="43">
        <f t="shared" si="5"/>
        <v>7.2999999999999995E-2</v>
      </c>
      <c r="J76" s="43">
        <f t="shared" si="6"/>
        <v>0.69135802469135732</v>
      </c>
      <c r="K76" s="43">
        <f t="shared" si="7"/>
        <v>0.18518518518518534</v>
      </c>
    </row>
    <row r="77" spans="1:11" x14ac:dyDescent="0.2">
      <c r="A77" s="44">
        <v>29</v>
      </c>
      <c r="B77">
        <v>7.0999999999999994E-2</v>
      </c>
      <c r="C77">
        <v>7.1999999999999995E-2</v>
      </c>
      <c r="D77" s="43">
        <f t="shared" si="2"/>
        <v>7.1499999999999994E-2</v>
      </c>
      <c r="E77" s="43">
        <f t="shared" si="3"/>
        <v>2.7424242424242409</v>
      </c>
      <c r="F77" s="43">
        <f t="shared" si="4"/>
        <v>2.3484848484848473</v>
      </c>
      <c r="G77">
        <v>7.2999999999999995E-2</v>
      </c>
      <c r="H77">
        <v>7.1999999999999995E-2</v>
      </c>
      <c r="I77" s="43">
        <f t="shared" si="5"/>
        <v>7.2499999999999995E-2</v>
      </c>
      <c r="J77" s="43">
        <f t="shared" si="6"/>
        <v>0.62962962962962887</v>
      </c>
      <c r="K77" s="43">
        <f t="shared" si="7"/>
        <v>0.12345679012345689</v>
      </c>
    </row>
    <row r="78" spans="1:11" x14ac:dyDescent="0.2">
      <c r="A78" s="44">
        <v>30</v>
      </c>
      <c r="B78">
        <v>6.4000000000000001E-2</v>
      </c>
      <c r="C78">
        <v>6.3E-2</v>
      </c>
      <c r="D78" s="43">
        <f t="shared" si="2"/>
        <v>6.3500000000000001E-2</v>
      </c>
      <c r="E78" s="43">
        <f t="shared" si="3"/>
        <v>1.5303030303030301</v>
      </c>
      <c r="F78" s="43">
        <f t="shared" si="4"/>
        <v>1.1363636363636365</v>
      </c>
      <c r="G78">
        <v>7.3999999999999996E-2</v>
      </c>
      <c r="H78">
        <v>7.2999999999999995E-2</v>
      </c>
      <c r="I78" s="43">
        <f t="shared" si="5"/>
        <v>7.3499999999999996E-2</v>
      </c>
      <c r="J78" s="43">
        <f t="shared" si="6"/>
        <v>0.75308641975308577</v>
      </c>
      <c r="K78" s="43">
        <f t="shared" si="7"/>
        <v>0.24691358024691379</v>
      </c>
    </row>
  </sheetData>
  <mergeCells count="1">
    <mergeCell ref="A4:K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S78"/>
  <sheetViews>
    <sheetView topLeftCell="A46" workbookViewId="0">
      <selection activeCell="K49" sqref="K49:K72"/>
    </sheetView>
  </sheetViews>
  <sheetFormatPr baseColWidth="10" defaultColWidth="9.1640625" defaultRowHeight="15" x14ac:dyDescent="0.2"/>
  <sheetData>
    <row r="4" spans="1:19" ht="19" x14ac:dyDescent="0.25">
      <c r="A4" s="52" t="s">
        <v>20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45"/>
      <c r="M4" s="45"/>
      <c r="N4" s="45"/>
      <c r="O4" s="45"/>
    </row>
    <row r="6" spans="1:19" x14ac:dyDescent="0.2">
      <c r="A6" s="1" t="s">
        <v>2</v>
      </c>
      <c r="B6" s="1"/>
      <c r="C6" s="1"/>
      <c r="O6" s="1" t="s">
        <v>3</v>
      </c>
      <c r="P6" s="1"/>
    </row>
    <row r="7" spans="1:19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O7" s="3"/>
      <c r="P7" s="4" t="s">
        <v>4</v>
      </c>
      <c r="Q7" s="4" t="s">
        <v>5</v>
      </c>
      <c r="R7" s="4" t="s">
        <v>6</v>
      </c>
      <c r="S7" s="4" t="s">
        <v>7</v>
      </c>
    </row>
    <row r="8" spans="1:19" x14ac:dyDescent="0.2">
      <c r="A8">
        <v>5.7000000000000002E-2</v>
      </c>
      <c r="B8">
        <v>5.8999999999999997E-2</v>
      </c>
      <c r="C8">
        <v>6.2E-2</v>
      </c>
      <c r="D8">
        <v>7.0999999999999994E-2</v>
      </c>
      <c r="E8">
        <v>8.5000000000000006E-2</v>
      </c>
      <c r="F8">
        <v>0.10100000000000001</v>
      </c>
      <c r="G8">
        <v>0.17399999999999999</v>
      </c>
      <c r="M8" s="14" t="s">
        <v>8</v>
      </c>
      <c r="O8" s="3" t="s">
        <v>9</v>
      </c>
      <c r="P8" s="3">
        <f>A8</f>
        <v>5.7000000000000002E-2</v>
      </c>
      <c r="Q8" s="3">
        <f>A9</f>
        <v>5.6000000000000001E-2</v>
      </c>
      <c r="R8" s="3">
        <f>AVERAGE(P8:Q8)</f>
        <v>5.6500000000000002E-2</v>
      </c>
      <c r="S8" s="3">
        <v>0</v>
      </c>
    </row>
    <row r="9" spans="1:19" x14ac:dyDescent="0.2">
      <c r="A9">
        <v>5.6000000000000001E-2</v>
      </c>
      <c r="B9">
        <v>5.8000000000000003E-2</v>
      </c>
      <c r="C9">
        <v>6.2E-2</v>
      </c>
      <c r="D9">
        <v>7.0000000000000007E-2</v>
      </c>
      <c r="E9">
        <v>8.3000000000000004E-2</v>
      </c>
      <c r="F9">
        <v>9.5000000000000001E-2</v>
      </c>
      <c r="G9">
        <v>0.185</v>
      </c>
      <c r="M9" s="14"/>
      <c r="O9" s="3" t="s">
        <v>10</v>
      </c>
      <c r="P9" s="3">
        <f>B8</f>
        <v>5.8999999999999997E-2</v>
      </c>
      <c r="Q9" s="3">
        <f>B9</f>
        <v>5.8000000000000003E-2</v>
      </c>
      <c r="R9" s="3">
        <f t="shared" ref="R9:R14" si="0">AVERAGE(P9:Q9)</f>
        <v>5.8499999999999996E-2</v>
      </c>
      <c r="S9" s="3">
        <v>0.6</v>
      </c>
    </row>
    <row r="10" spans="1:19" x14ac:dyDescent="0.2">
      <c r="A10">
        <v>5.6000000000000001E-2</v>
      </c>
      <c r="B10">
        <v>5.7000000000000002E-2</v>
      </c>
      <c r="C10">
        <v>5.7000000000000002E-2</v>
      </c>
      <c r="D10">
        <v>6.4000000000000001E-2</v>
      </c>
      <c r="E10">
        <v>6.3E-2</v>
      </c>
      <c r="F10">
        <v>0.06</v>
      </c>
      <c r="G10">
        <v>5.8999999999999997E-2</v>
      </c>
      <c r="H10">
        <v>5.8000000000000003E-2</v>
      </c>
      <c r="I10">
        <v>5.8000000000000003E-2</v>
      </c>
      <c r="J10">
        <v>5.8999999999999997E-2</v>
      </c>
      <c r="K10">
        <v>6.0999999999999999E-2</v>
      </c>
      <c r="L10">
        <v>6.0999999999999999E-2</v>
      </c>
      <c r="M10" s="14"/>
      <c r="O10" s="3" t="s">
        <v>11</v>
      </c>
      <c r="P10" s="3">
        <f>C8</f>
        <v>6.2E-2</v>
      </c>
      <c r="Q10" s="3">
        <f>C9</f>
        <v>6.2E-2</v>
      </c>
      <c r="R10" s="3">
        <f t="shared" si="0"/>
        <v>6.2E-2</v>
      </c>
      <c r="S10" s="3">
        <v>1.5</v>
      </c>
    </row>
    <row r="11" spans="1:19" x14ac:dyDescent="0.2">
      <c r="A11">
        <v>5.7000000000000002E-2</v>
      </c>
      <c r="B11">
        <v>5.7000000000000002E-2</v>
      </c>
      <c r="C11">
        <v>5.7000000000000002E-2</v>
      </c>
      <c r="D11">
        <v>6.4000000000000001E-2</v>
      </c>
      <c r="E11">
        <v>6.2E-2</v>
      </c>
      <c r="F11">
        <v>0.06</v>
      </c>
      <c r="G11">
        <v>5.8000000000000003E-2</v>
      </c>
      <c r="H11">
        <v>5.8000000000000003E-2</v>
      </c>
      <c r="I11">
        <v>5.7000000000000002E-2</v>
      </c>
      <c r="J11">
        <v>5.8000000000000003E-2</v>
      </c>
      <c r="K11">
        <v>5.8999999999999997E-2</v>
      </c>
      <c r="L11">
        <v>5.8000000000000003E-2</v>
      </c>
      <c r="M11" s="14"/>
      <c r="O11" s="3" t="s">
        <v>12</v>
      </c>
      <c r="P11" s="3">
        <f>D8</f>
        <v>7.0999999999999994E-2</v>
      </c>
      <c r="Q11" s="3">
        <f>D9</f>
        <v>7.0000000000000007E-2</v>
      </c>
      <c r="R11" s="3">
        <f t="shared" si="0"/>
        <v>7.0500000000000007E-2</v>
      </c>
      <c r="S11" s="3">
        <v>3</v>
      </c>
    </row>
    <row r="12" spans="1:19" x14ac:dyDescent="0.2">
      <c r="A12">
        <v>5.8000000000000003E-2</v>
      </c>
      <c r="B12">
        <v>5.8000000000000003E-2</v>
      </c>
      <c r="C12">
        <v>5.8000000000000003E-2</v>
      </c>
      <c r="D12">
        <v>5.8000000000000003E-2</v>
      </c>
      <c r="E12">
        <v>5.8000000000000003E-2</v>
      </c>
      <c r="F12">
        <v>5.8999999999999997E-2</v>
      </c>
      <c r="G12">
        <v>5.8000000000000003E-2</v>
      </c>
      <c r="H12">
        <v>5.8000000000000003E-2</v>
      </c>
      <c r="I12">
        <v>5.8000000000000003E-2</v>
      </c>
      <c r="J12">
        <v>5.8000000000000003E-2</v>
      </c>
      <c r="K12">
        <v>5.8999999999999997E-2</v>
      </c>
      <c r="L12">
        <v>5.8000000000000003E-2</v>
      </c>
      <c r="M12" s="14"/>
      <c r="O12" s="3" t="s">
        <v>13</v>
      </c>
      <c r="P12" s="3">
        <f>E8</f>
        <v>8.5000000000000006E-2</v>
      </c>
      <c r="Q12" s="3">
        <f>E9</f>
        <v>8.3000000000000004E-2</v>
      </c>
      <c r="R12" s="3">
        <f t="shared" si="0"/>
        <v>8.4000000000000005E-2</v>
      </c>
      <c r="S12" s="3">
        <v>4.5999999999999996</v>
      </c>
    </row>
    <row r="13" spans="1:19" x14ac:dyDescent="0.2">
      <c r="A13">
        <v>5.8999999999999997E-2</v>
      </c>
      <c r="B13">
        <v>5.8999999999999997E-2</v>
      </c>
      <c r="C13">
        <v>5.7000000000000002E-2</v>
      </c>
      <c r="D13">
        <v>5.7000000000000002E-2</v>
      </c>
      <c r="E13">
        <v>5.7000000000000002E-2</v>
      </c>
      <c r="F13">
        <v>5.7000000000000002E-2</v>
      </c>
      <c r="G13">
        <v>5.7000000000000002E-2</v>
      </c>
      <c r="H13">
        <v>5.7000000000000002E-2</v>
      </c>
      <c r="I13">
        <v>5.6000000000000001E-2</v>
      </c>
      <c r="J13">
        <v>5.7000000000000002E-2</v>
      </c>
      <c r="K13">
        <v>5.7000000000000002E-2</v>
      </c>
      <c r="L13">
        <v>5.6000000000000001E-2</v>
      </c>
      <c r="M13" s="14"/>
      <c r="O13" s="3" t="s">
        <v>14</v>
      </c>
      <c r="P13" s="3"/>
      <c r="Q13" s="3"/>
      <c r="R13" s="3"/>
      <c r="S13" s="3"/>
    </row>
    <row r="14" spans="1:19" x14ac:dyDescent="0.2">
      <c r="A14">
        <v>5.7000000000000002E-2</v>
      </c>
      <c r="B14">
        <v>5.8999999999999997E-2</v>
      </c>
      <c r="C14">
        <v>7.0000000000000007E-2</v>
      </c>
      <c r="D14">
        <v>8.3000000000000004E-2</v>
      </c>
      <c r="E14">
        <v>7.0000000000000007E-2</v>
      </c>
      <c r="F14">
        <v>6.2E-2</v>
      </c>
      <c r="M14" s="14"/>
      <c r="O14" s="3" t="s">
        <v>15</v>
      </c>
      <c r="P14" s="3">
        <f>G8</f>
        <v>0.17399999999999999</v>
      </c>
      <c r="Q14" s="3">
        <f>G9</f>
        <v>0.185</v>
      </c>
      <c r="R14" s="3">
        <f t="shared" si="0"/>
        <v>0.17949999999999999</v>
      </c>
      <c r="S14" s="3">
        <v>18.600000000000001</v>
      </c>
    </row>
    <row r="15" spans="1:19" x14ac:dyDescent="0.2">
      <c r="A15">
        <v>5.8000000000000003E-2</v>
      </c>
      <c r="B15">
        <v>5.8999999999999997E-2</v>
      </c>
      <c r="C15">
        <v>7.0999999999999994E-2</v>
      </c>
      <c r="D15">
        <v>8.3000000000000004E-2</v>
      </c>
      <c r="E15">
        <v>6.9000000000000006E-2</v>
      </c>
      <c r="F15">
        <v>6.0999999999999999E-2</v>
      </c>
      <c r="M15" s="14"/>
    </row>
    <row r="16" spans="1:19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9" x14ac:dyDescent="0.2">
      <c r="A17" s="6"/>
      <c r="B17" s="6"/>
      <c r="C17" s="6"/>
      <c r="D17" s="6"/>
      <c r="E17" s="6"/>
      <c r="F17" s="6"/>
      <c r="G17" s="6"/>
      <c r="H17" s="15"/>
      <c r="I17" s="15"/>
      <c r="J17" s="15"/>
      <c r="K17" s="15"/>
      <c r="L17" s="15"/>
      <c r="M17" s="16" t="s">
        <v>0</v>
      </c>
    </row>
    <row r="18" spans="1:19" x14ac:dyDescent="0.2">
      <c r="A18" s="6"/>
      <c r="B18" s="6"/>
      <c r="C18" s="6"/>
      <c r="D18" s="6"/>
      <c r="E18" s="6"/>
      <c r="F18" s="6"/>
      <c r="G18" s="6"/>
      <c r="H18" s="15"/>
      <c r="I18" s="15"/>
      <c r="J18" s="15"/>
      <c r="K18" s="15"/>
      <c r="L18" s="15"/>
      <c r="M18" s="17"/>
    </row>
    <row r="19" spans="1:19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7"/>
    </row>
    <row r="20" spans="1:19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7"/>
    </row>
    <row r="21" spans="1:19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8"/>
      <c r="M21" s="17"/>
    </row>
    <row r="22" spans="1:1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9"/>
      <c r="M22" s="17"/>
    </row>
    <row r="23" spans="1:19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  <c r="M23" s="17"/>
    </row>
    <row r="24" spans="1:19" x14ac:dyDescent="0.2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x14ac:dyDescent="0.2">
      <c r="A26" s="7">
        <v>1</v>
      </c>
      <c r="B26" s="7">
        <v>2</v>
      </c>
      <c r="C26" s="7">
        <v>3</v>
      </c>
      <c r="D26" s="7">
        <v>4</v>
      </c>
      <c r="E26" s="7">
        <v>5</v>
      </c>
      <c r="F26" s="7">
        <v>6</v>
      </c>
      <c r="G26" s="7">
        <v>7</v>
      </c>
      <c r="H26" s="7">
        <v>8</v>
      </c>
      <c r="I26" s="7">
        <v>9</v>
      </c>
      <c r="J26" s="7">
        <v>10</v>
      </c>
      <c r="K26" s="7">
        <v>11</v>
      </c>
      <c r="L26" s="7">
        <v>12</v>
      </c>
    </row>
    <row r="27" spans="1:19" x14ac:dyDescent="0.2">
      <c r="A27">
        <v>7.0999999999999994E-2</v>
      </c>
      <c r="B27">
        <v>7.2999999999999995E-2</v>
      </c>
      <c r="C27">
        <v>7.5999999999999998E-2</v>
      </c>
      <c r="D27">
        <v>8.5000000000000006E-2</v>
      </c>
      <c r="E27">
        <v>9.5000000000000001E-2</v>
      </c>
      <c r="F27">
        <v>0.113</v>
      </c>
      <c r="G27">
        <v>0.188</v>
      </c>
      <c r="M27" s="27" t="s">
        <v>16</v>
      </c>
    </row>
    <row r="28" spans="1:19" x14ac:dyDescent="0.2">
      <c r="A28">
        <v>7.0999999999999994E-2</v>
      </c>
      <c r="B28">
        <v>7.3999999999999996E-2</v>
      </c>
      <c r="C28">
        <v>7.5999999999999998E-2</v>
      </c>
      <c r="D28">
        <v>8.4000000000000005E-2</v>
      </c>
      <c r="E28">
        <v>9.8000000000000004E-2</v>
      </c>
      <c r="F28">
        <v>0.113</v>
      </c>
      <c r="G28">
        <v>0.182</v>
      </c>
      <c r="M28" s="27"/>
      <c r="O28" s="1" t="s">
        <v>17</v>
      </c>
      <c r="P28" s="1"/>
    </row>
    <row r="29" spans="1:19" x14ac:dyDescent="0.2">
      <c r="A29">
        <v>7.0999999999999994E-2</v>
      </c>
      <c r="B29">
        <v>7.2999999999999995E-2</v>
      </c>
      <c r="C29">
        <v>7.1999999999999995E-2</v>
      </c>
      <c r="D29">
        <v>7.3999999999999996E-2</v>
      </c>
      <c r="E29">
        <v>7.3999999999999996E-2</v>
      </c>
      <c r="F29">
        <v>7.3999999999999996E-2</v>
      </c>
      <c r="G29">
        <v>7.4999999999999997E-2</v>
      </c>
      <c r="H29">
        <v>7.1999999999999995E-2</v>
      </c>
      <c r="I29">
        <v>7.2999999999999995E-2</v>
      </c>
      <c r="J29">
        <v>7.3999999999999996E-2</v>
      </c>
      <c r="K29">
        <v>7.6999999999999999E-2</v>
      </c>
      <c r="L29">
        <v>7.6999999999999999E-2</v>
      </c>
      <c r="M29" s="27"/>
      <c r="O29" s="3"/>
      <c r="P29" s="8" t="s">
        <v>4</v>
      </c>
      <c r="Q29" s="8" t="s">
        <v>5</v>
      </c>
      <c r="R29" s="8" t="s">
        <v>6</v>
      </c>
      <c r="S29" s="8" t="s">
        <v>18</v>
      </c>
    </row>
    <row r="30" spans="1:19" x14ac:dyDescent="0.2">
      <c r="A30">
        <v>7.1999999999999995E-2</v>
      </c>
      <c r="B30">
        <v>7.1999999999999995E-2</v>
      </c>
      <c r="C30">
        <v>7.1999999999999995E-2</v>
      </c>
      <c r="D30">
        <v>7.2999999999999995E-2</v>
      </c>
      <c r="E30">
        <v>7.2999999999999995E-2</v>
      </c>
      <c r="F30">
        <v>7.3999999999999996E-2</v>
      </c>
      <c r="G30">
        <v>7.3999999999999996E-2</v>
      </c>
      <c r="H30">
        <v>7.3999999999999996E-2</v>
      </c>
      <c r="I30">
        <v>7.1999999999999995E-2</v>
      </c>
      <c r="J30">
        <v>7.2999999999999995E-2</v>
      </c>
      <c r="K30">
        <v>7.3999999999999996E-2</v>
      </c>
      <c r="L30">
        <v>7.3999999999999996E-2</v>
      </c>
      <c r="M30" s="27"/>
      <c r="O30" s="3" t="s">
        <v>9</v>
      </c>
      <c r="P30" s="3">
        <f>A27</f>
        <v>7.0999999999999994E-2</v>
      </c>
      <c r="Q30" s="3">
        <f>A28</f>
        <v>7.0999999999999994E-2</v>
      </c>
      <c r="R30" s="3">
        <f>AVERAGE(P30:Q30)</f>
        <v>7.0999999999999994E-2</v>
      </c>
      <c r="S30" s="9">
        <v>0</v>
      </c>
    </row>
    <row r="31" spans="1:19" x14ac:dyDescent="0.2">
      <c r="A31">
        <v>7.4999999999999997E-2</v>
      </c>
      <c r="B31">
        <v>7.6999999999999999E-2</v>
      </c>
      <c r="C31">
        <v>7.5999999999999998E-2</v>
      </c>
      <c r="D31">
        <v>8.3000000000000004E-2</v>
      </c>
      <c r="E31">
        <v>0.1</v>
      </c>
      <c r="F31">
        <v>0.11600000000000001</v>
      </c>
      <c r="G31">
        <v>9.9000000000000005E-2</v>
      </c>
      <c r="H31">
        <v>8.2000000000000003E-2</v>
      </c>
      <c r="I31">
        <v>7.6999999999999999E-2</v>
      </c>
      <c r="J31">
        <v>7.3999999999999996E-2</v>
      </c>
      <c r="K31">
        <v>7.3999999999999996E-2</v>
      </c>
      <c r="L31">
        <v>7.2999999999999995E-2</v>
      </c>
      <c r="M31" s="27"/>
      <c r="O31" s="3" t="s">
        <v>10</v>
      </c>
      <c r="P31" s="3">
        <f>B27</f>
        <v>7.2999999999999995E-2</v>
      </c>
      <c r="Q31" s="3">
        <f>B28</f>
        <v>7.3999999999999996E-2</v>
      </c>
      <c r="R31" s="3">
        <f>AVERAGE(P31:Q31)</f>
        <v>7.3499999999999996E-2</v>
      </c>
      <c r="S31" s="9">
        <v>0.5</v>
      </c>
    </row>
    <row r="32" spans="1:19" x14ac:dyDescent="0.2">
      <c r="A32">
        <v>7.6999999999999999E-2</v>
      </c>
      <c r="B32">
        <v>7.6999999999999999E-2</v>
      </c>
      <c r="C32">
        <v>7.5999999999999998E-2</v>
      </c>
      <c r="D32">
        <v>8.2000000000000003E-2</v>
      </c>
      <c r="E32">
        <v>0.10100000000000001</v>
      </c>
      <c r="F32">
        <v>0.11700000000000001</v>
      </c>
      <c r="G32">
        <v>9.7000000000000003E-2</v>
      </c>
      <c r="H32">
        <v>8.3000000000000004E-2</v>
      </c>
      <c r="I32">
        <v>7.5999999999999998E-2</v>
      </c>
      <c r="J32">
        <v>7.3999999999999996E-2</v>
      </c>
      <c r="K32">
        <v>7.2999999999999995E-2</v>
      </c>
      <c r="L32">
        <v>6.7000000000000004E-2</v>
      </c>
      <c r="M32" s="27"/>
      <c r="O32" s="3" t="s">
        <v>11</v>
      </c>
      <c r="P32" s="3">
        <f>C27</f>
        <v>7.5999999999999998E-2</v>
      </c>
      <c r="Q32" s="3">
        <f>C28</f>
        <v>7.5999999999999998E-2</v>
      </c>
      <c r="R32" s="3">
        <f t="shared" ref="R32:R36" si="1">AVERAGE(P32:Q32)</f>
        <v>7.5999999999999998E-2</v>
      </c>
      <c r="S32" s="9">
        <v>1.25</v>
      </c>
    </row>
    <row r="33" spans="1:19" x14ac:dyDescent="0.2">
      <c r="A33">
        <v>7.0999999999999994E-2</v>
      </c>
      <c r="B33">
        <v>7.2999999999999995E-2</v>
      </c>
      <c r="C33">
        <v>7.1999999999999995E-2</v>
      </c>
      <c r="D33">
        <v>7.2999999999999995E-2</v>
      </c>
      <c r="E33">
        <v>7.2999999999999995E-2</v>
      </c>
      <c r="F33">
        <v>7.1999999999999995E-2</v>
      </c>
      <c r="M33" s="27"/>
      <c r="O33" s="3" t="s">
        <v>12</v>
      </c>
      <c r="P33" s="3">
        <f>D27</f>
        <v>8.5000000000000006E-2</v>
      </c>
      <c r="Q33" s="3">
        <f>D28</f>
        <v>8.4000000000000005E-2</v>
      </c>
      <c r="R33" s="3">
        <f>AVERAGE(P33:Q33)</f>
        <v>8.4500000000000006E-2</v>
      </c>
      <c r="S33" s="9">
        <v>2.5</v>
      </c>
    </row>
    <row r="34" spans="1:19" x14ac:dyDescent="0.2">
      <c r="A34">
        <v>7.3999999999999996E-2</v>
      </c>
      <c r="B34">
        <v>7.4999999999999997E-2</v>
      </c>
      <c r="C34">
        <v>7.2999999999999995E-2</v>
      </c>
      <c r="D34">
        <v>7.2999999999999995E-2</v>
      </c>
      <c r="E34">
        <v>7.3999999999999996E-2</v>
      </c>
      <c r="F34">
        <v>7.3999999999999996E-2</v>
      </c>
      <c r="M34" s="27"/>
      <c r="O34" s="3" t="s">
        <v>13</v>
      </c>
      <c r="P34" s="3">
        <f>E27</f>
        <v>9.5000000000000001E-2</v>
      </c>
      <c r="Q34" s="3">
        <f>E28</f>
        <v>9.8000000000000004E-2</v>
      </c>
      <c r="R34" s="3">
        <f t="shared" si="1"/>
        <v>9.6500000000000002E-2</v>
      </c>
      <c r="S34" s="9">
        <v>3.75</v>
      </c>
    </row>
    <row r="35" spans="1:1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O35" s="3" t="s">
        <v>14</v>
      </c>
      <c r="P35" s="3"/>
      <c r="Q35" s="3"/>
      <c r="R35" s="3"/>
      <c r="S35" s="9"/>
    </row>
    <row r="36" spans="1:19" x14ac:dyDescent="0.2">
      <c r="A36" s="6"/>
      <c r="B36" s="6"/>
      <c r="C36" s="6"/>
      <c r="D36" s="6"/>
      <c r="E36" s="6"/>
      <c r="F36" s="6"/>
      <c r="G36" s="6"/>
      <c r="H36" s="15"/>
      <c r="I36" s="15"/>
      <c r="J36" s="15"/>
      <c r="K36" s="15"/>
      <c r="L36" s="15"/>
      <c r="M36" s="28" t="s">
        <v>1</v>
      </c>
      <c r="O36" s="3" t="s">
        <v>15</v>
      </c>
      <c r="P36" s="3">
        <f>G27</f>
        <v>0.188</v>
      </c>
      <c r="Q36" s="3">
        <f>G28</f>
        <v>0.182</v>
      </c>
      <c r="R36" s="3">
        <f t="shared" si="1"/>
        <v>0.185</v>
      </c>
      <c r="S36" s="9">
        <v>15</v>
      </c>
    </row>
    <row r="37" spans="1:19" x14ac:dyDescent="0.2">
      <c r="A37" s="6"/>
      <c r="B37" s="6"/>
      <c r="C37" s="6"/>
      <c r="D37" s="6"/>
      <c r="E37" s="6"/>
      <c r="F37" s="6"/>
      <c r="G37" s="6"/>
      <c r="H37" s="15"/>
      <c r="I37" s="15"/>
      <c r="J37" s="15"/>
      <c r="K37" s="15"/>
      <c r="L37" s="15"/>
      <c r="M37" s="29"/>
    </row>
    <row r="38" spans="1:19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9"/>
      <c r="N38" s="10"/>
      <c r="O38" s="10"/>
      <c r="P38" s="10"/>
    </row>
    <row r="39" spans="1:19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29"/>
      <c r="N39" s="10"/>
      <c r="O39" s="10"/>
      <c r="P39" s="10"/>
    </row>
    <row r="40" spans="1:19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8"/>
      <c r="M40" s="29"/>
      <c r="N40" s="10"/>
      <c r="O40" s="10"/>
      <c r="P40" s="10"/>
    </row>
    <row r="41" spans="1:1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9"/>
      <c r="M41" s="29"/>
      <c r="N41" s="10"/>
      <c r="O41" s="10"/>
      <c r="P41" s="10"/>
    </row>
    <row r="42" spans="1:19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  <c r="M42" s="29"/>
      <c r="N42" s="10"/>
      <c r="O42" s="10"/>
      <c r="P42" s="10"/>
    </row>
    <row r="43" spans="1:19" x14ac:dyDescent="0.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  <c r="M43" s="36"/>
      <c r="N43" s="10"/>
      <c r="O43" s="10"/>
      <c r="P43" s="10"/>
    </row>
    <row r="44" spans="1:19" x14ac:dyDescent="0.2">
      <c r="N44" s="10"/>
      <c r="O44" s="10"/>
      <c r="P44" s="10"/>
    </row>
    <row r="45" spans="1:19" x14ac:dyDescent="0.2">
      <c r="A45" s="1" t="s">
        <v>19</v>
      </c>
      <c r="B45" s="1"/>
      <c r="C45" s="1"/>
      <c r="D45" s="1"/>
      <c r="E45" s="1"/>
      <c r="K45" s="11"/>
      <c r="L45" s="12"/>
      <c r="M45" s="12"/>
    </row>
    <row r="47" spans="1:19" x14ac:dyDescent="0.2">
      <c r="A47" s="37"/>
      <c r="B47" s="38" t="s">
        <v>0</v>
      </c>
      <c r="C47" s="38" t="s">
        <v>0</v>
      </c>
      <c r="D47" s="38" t="s">
        <v>0</v>
      </c>
      <c r="E47" s="38" t="s">
        <v>0</v>
      </c>
      <c r="F47" s="38" t="s">
        <v>0</v>
      </c>
      <c r="G47" s="39" t="s">
        <v>1</v>
      </c>
      <c r="H47" s="39" t="s">
        <v>1</v>
      </c>
      <c r="I47" s="39" t="s">
        <v>1</v>
      </c>
      <c r="J47" s="40" t="s">
        <v>1</v>
      </c>
      <c r="K47" s="40" t="s">
        <v>1</v>
      </c>
    </row>
    <row r="48" spans="1:19" x14ac:dyDescent="0.2">
      <c r="A48" s="37" t="s">
        <v>23</v>
      </c>
      <c r="B48" s="41" t="s">
        <v>4</v>
      </c>
      <c r="C48" s="41" t="s">
        <v>5</v>
      </c>
      <c r="D48" s="41" t="s">
        <v>6</v>
      </c>
      <c r="E48" s="41" t="s">
        <v>21</v>
      </c>
      <c r="F48" s="41" t="s">
        <v>24</v>
      </c>
      <c r="G48" s="41" t="s">
        <v>4</v>
      </c>
      <c r="H48" s="41" t="s">
        <v>5</v>
      </c>
      <c r="I48" s="41" t="s">
        <v>6</v>
      </c>
      <c r="J48" s="42" t="s">
        <v>22</v>
      </c>
      <c r="K48" s="41" t="s">
        <v>24</v>
      </c>
    </row>
    <row r="49" spans="1:11" x14ac:dyDescent="0.2">
      <c r="A49" s="44">
        <v>1</v>
      </c>
      <c r="B49">
        <v>5.6000000000000001E-2</v>
      </c>
      <c r="C49">
        <v>5.7000000000000002E-2</v>
      </c>
      <c r="D49" s="43">
        <f>AVERAGE(B49:C49)</f>
        <v>5.6500000000000002E-2</v>
      </c>
      <c r="E49" s="43">
        <f>(D49-0.0533)/0.0067</f>
        <v>0.47761194029850768</v>
      </c>
      <c r="F49" s="43">
        <f>E49-$E$49</f>
        <v>0</v>
      </c>
      <c r="G49">
        <v>7.0999999999999994E-2</v>
      </c>
      <c r="H49">
        <v>7.1999999999999995E-2</v>
      </c>
      <c r="I49" s="43">
        <f>AVERAGE(G49:H49)</f>
        <v>7.1499999999999994E-2</v>
      </c>
      <c r="J49" s="43">
        <f>(I49-0.068)/0.0077</f>
        <v>0.45454545454545314</v>
      </c>
      <c r="K49" s="43">
        <f>J49-$J$49</f>
        <v>0</v>
      </c>
    </row>
    <row r="50" spans="1:11" x14ac:dyDescent="0.2">
      <c r="A50" s="44">
        <v>2</v>
      </c>
      <c r="B50">
        <v>5.7000000000000002E-2</v>
      </c>
      <c r="C50">
        <v>5.7000000000000002E-2</v>
      </c>
      <c r="D50" s="43">
        <f t="shared" ref="D50:D78" si="2">AVERAGE(B50:C50)</f>
        <v>5.7000000000000002E-2</v>
      </c>
      <c r="E50" s="43">
        <f t="shared" ref="E50:E78" si="3">(D50-0.0533)/0.0067</f>
        <v>0.55223880597014952</v>
      </c>
      <c r="F50" s="43">
        <f t="shared" ref="F50:F78" si="4">E50-$E$49</f>
        <v>7.462686567164184E-2</v>
      </c>
      <c r="G50">
        <v>7.2999999999999995E-2</v>
      </c>
      <c r="H50">
        <v>7.1999999999999995E-2</v>
      </c>
      <c r="I50" s="43">
        <f t="shared" ref="I50:I78" si="5">AVERAGE(G50:H50)</f>
        <v>7.2499999999999995E-2</v>
      </c>
      <c r="J50" s="43">
        <f t="shared" ref="J50:J78" si="6">(I50-0.068)/0.0077</f>
        <v>0.58441558441558317</v>
      </c>
      <c r="K50" s="43">
        <f t="shared" ref="K50:K78" si="7">J50-$J$49</f>
        <v>0.12987012987013002</v>
      </c>
    </row>
    <row r="51" spans="1:11" x14ac:dyDescent="0.2">
      <c r="A51" s="44">
        <v>3</v>
      </c>
      <c r="B51">
        <v>5.7000000000000002E-2</v>
      </c>
      <c r="C51">
        <v>5.7000000000000002E-2</v>
      </c>
      <c r="D51" s="43">
        <f t="shared" si="2"/>
        <v>5.7000000000000002E-2</v>
      </c>
      <c r="E51" s="43">
        <f t="shared" si="3"/>
        <v>0.55223880597014952</v>
      </c>
      <c r="F51" s="43">
        <f>E51-$E$49</f>
        <v>7.462686567164184E-2</v>
      </c>
      <c r="G51">
        <v>7.1999999999999995E-2</v>
      </c>
      <c r="H51">
        <v>7.1999999999999995E-2</v>
      </c>
      <c r="I51" s="43">
        <f t="shared" si="5"/>
        <v>7.1999999999999995E-2</v>
      </c>
      <c r="J51" s="43">
        <f t="shared" si="6"/>
        <v>0.5194805194805181</v>
      </c>
      <c r="K51" s="43">
        <f t="shared" si="7"/>
        <v>6.4935064935064957E-2</v>
      </c>
    </row>
    <row r="52" spans="1:11" x14ac:dyDescent="0.2">
      <c r="A52" s="44">
        <v>4</v>
      </c>
      <c r="B52">
        <v>6.4000000000000001E-2</v>
      </c>
      <c r="C52">
        <v>6.4000000000000001E-2</v>
      </c>
      <c r="D52" s="43">
        <f t="shared" si="2"/>
        <v>6.4000000000000001E-2</v>
      </c>
      <c r="E52" s="43">
        <f t="shared" si="3"/>
        <v>1.5970149253731345</v>
      </c>
      <c r="F52" s="43">
        <f t="shared" si="4"/>
        <v>1.1194029850746268</v>
      </c>
      <c r="G52">
        <v>7.3999999999999996E-2</v>
      </c>
      <c r="H52">
        <v>7.2999999999999995E-2</v>
      </c>
      <c r="I52" s="43">
        <f>AVERAGE(G52:H52)</f>
        <v>7.3499999999999996E-2</v>
      </c>
      <c r="J52" s="43">
        <f t="shared" si="6"/>
        <v>0.71428571428571308</v>
      </c>
      <c r="K52" s="43">
        <f t="shared" si="7"/>
        <v>0.25974025974025994</v>
      </c>
    </row>
    <row r="53" spans="1:11" x14ac:dyDescent="0.2">
      <c r="A53" s="44">
        <v>5</v>
      </c>
      <c r="B53">
        <v>6.3E-2</v>
      </c>
      <c r="C53">
        <v>6.2E-2</v>
      </c>
      <c r="D53" s="43">
        <f t="shared" si="2"/>
        <v>6.25E-2</v>
      </c>
      <c r="E53" s="43">
        <f t="shared" si="3"/>
        <v>1.3731343283582089</v>
      </c>
      <c r="F53" s="43">
        <f t="shared" si="4"/>
        <v>0.89552238805970119</v>
      </c>
      <c r="G53">
        <v>7.3999999999999996E-2</v>
      </c>
      <c r="H53">
        <v>7.2999999999999995E-2</v>
      </c>
      <c r="I53" s="43">
        <f t="shared" ref="I53:I60" si="8">AVERAGE(G53:H53)</f>
        <v>7.3499999999999996E-2</v>
      </c>
      <c r="J53" s="43">
        <f t="shared" si="6"/>
        <v>0.71428571428571308</v>
      </c>
      <c r="K53" s="43">
        <f t="shared" si="7"/>
        <v>0.25974025974025994</v>
      </c>
    </row>
    <row r="54" spans="1:11" x14ac:dyDescent="0.2">
      <c r="A54" s="44">
        <v>6</v>
      </c>
      <c r="B54">
        <v>0.06</v>
      </c>
      <c r="C54">
        <v>0.06</v>
      </c>
      <c r="D54" s="43">
        <f t="shared" si="2"/>
        <v>0.06</v>
      </c>
      <c r="E54" s="43">
        <f t="shared" si="3"/>
        <v>0.99999999999999967</v>
      </c>
      <c r="F54" s="43">
        <f t="shared" si="4"/>
        <v>0.52238805970149205</v>
      </c>
      <c r="G54">
        <v>7.3999999999999996E-2</v>
      </c>
      <c r="H54">
        <v>7.3999999999999996E-2</v>
      </c>
      <c r="I54" s="43">
        <f t="shared" si="8"/>
        <v>7.3999999999999996E-2</v>
      </c>
      <c r="J54" s="43">
        <f t="shared" si="6"/>
        <v>0.77922077922077804</v>
      </c>
      <c r="K54" s="43">
        <f t="shared" si="7"/>
        <v>0.32467532467532489</v>
      </c>
    </row>
    <row r="55" spans="1:11" x14ac:dyDescent="0.2">
      <c r="A55" s="44">
        <v>7</v>
      </c>
      <c r="B55">
        <v>5.8999999999999997E-2</v>
      </c>
      <c r="C55">
        <v>5.8000000000000003E-2</v>
      </c>
      <c r="D55" s="43">
        <f t="shared" si="2"/>
        <v>5.8499999999999996E-2</v>
      </c>
      <c r="E55" s="43">
        <f t="shared" si="3"/>
        <v>0.77611940298507409</v>
      </c>
      <c r="F55" s="43">
        <f>E55-$E$49</f>
        <v>0.29850746268656642</v>
      </c>
      <c r="G55">
        <v>7.4999999999999997E-2</v>
      </c>
      <c r="H55">
        <v>7.3999999999999996E-2</v>
      </c>
      <c r="I55" s="43">
        <f t="shared" si="8"/>
        <v>7.4499999999999997E-2</v>
      </c>
      <c r="J55" s="43">
        <f t="shared" si="6"/>
        <v>0.8441558441558431</v>
      </c>
      <c r="K55" s="43">
        <f t="shared" si="7"/>
        <v>0.38961038961038996</v>
      </c>
    </row>
    <row r="56" spans="1:11" x14ac:dyDescent="0.2">
      <c r="A56" s="44">
        <v>8</v>
      </c>
      <c r="B56">
        <v>5.8000000000000003E-2</v>
      </c>
      <c r="C56">
        <v>5.8000000000000003E-2</v>
      </c>
      <c r="D56" s="43">
        <f t="shared" si="2"/>
        <v>5.8000000000000003E-2</v>
      </c>
      <c r="E56" s="43">
        <f t="shared" si="3"/>
        <v>0.7014925373134332</v>
      </c>
      <c r="F56" s="43">
        <f t="shared" si="4"/>
        <v>0.22388059701492552</v>
      </c>
      <c r="G56">
        <v>7.1999999999999995E-2</v>
      </c>
      <c r="H56">
        <v>7.3999999999999996E-2</v>
      </c>
      <c r="I56" s="43">
        <f t="shared" si="8"/>
        <v>7.2999999999999995E-2</v>
      </c>
      <c r="J56" s="43">
        <f t="shared" si="6"/>
        <v>0.64935064935064812</v>
      </c>
      <c r="K56" s="43">
        <f t="shared" si="7"/>
        <v>0.19480519480519498</v>
      </c>
    </row>
    <row r="57" spans="1:11" x14ac:dyDescent="0.2">
      <c r="A57" s="44">
        <v>9</v>
      </c>
      <c r="B57">
        <v>5.8000000000000003E-2</v>
      </c>
      <c r="C57">
        <v>5.7000000000000002E-2</v>
      </c>
      <c r="D57" s="43">
        <f t="shared" si="2"/>
        <v>5.7500000000000002E-2</v>
      </c>
      <c r="E57" s="43">
        <f t="shared" si="3"/>
        <v>0.62686567164179141</v>
      </c>
      <c r="F57" s="43">
        <f t="shared" si="4"/>
        <v>0.14925373134328374</v>
      </c>
      <c r="G57">
        <v>7.2999999999999995E-2</v>
      </c>
      <c r="H57">
        <v>7.1999999999999995E-2</v>
      </c>
      <c r="I57" s="43">
        <f t="shared" si="8"/>
        <v>7.2499999999999995E-2</v>
      </c>
      <c r="J57" s="43">
        <f t="shared" si="6"/>
        <v>0.58441558441558317</v>
      </c>
      <c r="K57" s="43">
        <f t="shared" si="7"/>
        <v>0.12987012987013002</v>
      </c>
    </row>
    <row r="58" spans="1:11" x14ac:dyDescent="0.2">
      <c r="A58" s="44">
        <v>10</v>
      </c>
      <c r="B58">
        <v>5.8999999999999997E-2</v>
      </c>
      <c r="C58">
        <v>5.8000000000000003E-2</v>
      </c>
      <c r="D58" s="43">
        <f t="shared" si="2"/>
        <v>5.8499999999999996E-2</v>
      </c>
      <c r="E58" s="43">
        <f t="shared" si="3"/>
        <v>0.77611940298507409</v>
      </c>
      <c r="F58" s="43">
        <f t="shared" si="4"/>
        <v>0.29850746268656642</v>
      </c>
      <c r="G58">
        <v>7.3999999999999996E-2</v>
      </c>
      <c r="H58">
        <v>7.2999999999999995E-2</v>
      </c>
      <c r="I58" s="43">
        <f t="shared" si="8"/>
        <v>7.3499999999999996E-2</v>
      </c>
      <c r="J58" s="43">
        <f t="shared" si="6"/>
        <v>0.71428571428571308</v>
      </c>
      <c r="K58" s="43">
        <f t="shared" si="7"/>
        <v>0.25974025974025994</v>
      </c>
    </row>
    <row r="59" spans="1:11" x14ac:dyDescent="0.2">
      <c r="A59" s="44">
        <v>11</v>
      </c>
      <c r="B59">
        <v>6.0999999999999999E-2</v>
      </c>
      <c r="C59">
        <v>5.8999999999999997E-2</v>
      </c>
      <c r="D59" s="43">
        <f t="shared" si="2"/>
        <v>0.06</v>
      </c>
      <c r="E59" s="43">
        <f t="shared" si="3"/>
        <v>0.99999999999999967</v>
      </c>
      <c r="F59" s="43">
        <f t="shared" si="4"/>
        <v>0.52238805970149205</v>
      </c>
      <c r="G59">
        <v>7.6999999999999999E-2</v>
      </c>
      <c r="H59">
        <v>7.3999999999999996E-2</v>
      </c>
      <c r="I59" s="43">
        <f t="shared" si="8"/>
        <v>7.5499999999999998E-2</v>
      </c>
      <c r="J59" s="43">
        <f t="shared" si="6"/>
        <v>0.97402597402597302</v>
      </c>
      <c r="K59" s="43">
        <f t="shared" si="7"/>
        <v>0.51948051948051988</v>
      </c>
    </row>
    <row r="60" spans="1:11" x14ac:dyDescent="0.2">
      <c r="A60" s="44">
        <v>12</v>
      </c>
      <c r="B60">
        <v>6.0999999999999999E-2</v>
      </c>
      <c r="C60">
        <v>5.8000000000000003E-2</v>
      </c>
      <c r="D60" s="43">
        <f t="shared" si="2"/>
        <v>5.9499999999999997E-2</v>
      </c>
      <c r="E60" s="43">
        <f t="shared" si="3"/>
        <v>0.92537313432835777</v>
      </c>
      <c r="F60" s="43">
        <f t="shared" si="4"/>
        <v>0.4477611940298501</v>
      </c>
      <c r="G60">
        <v>7.6999999999999999E-2</v>
      </c>
      <c r="H60">
        <v>7.3999999999999996E-2</v>
      </c>
      <c r="I60" s="43">
        <f t="shared" si="8"/>
        <v>7.5499999999999998E-2</v>
      </c>
      <c r="J60" s="43">
        <f t="shared" si="6"/>
        <v>0.97402597402597302</v>
      </c>
      <c r="K60" s="43">
        <f t="shared" si="7"/>
        <v>0.51948051948051988</v>
      </c>
    </row>
    <row r="61" spans="1:11" x14ac:dyDescent="0.2">
      <c r="A61" s="44">
        <v>13</v>
      </c>
      <c r="B61">
        <v>5.8000000000000003E-2</v>
      </c>
      <c r="C61">
        <v>5.8999999999999997E-2</v>
      </c>
      <c r="D61" s="43">
        <f t="shared" si="2"/>
        <v>5.8499999999999996E-2</v>
      </c>
      <c r="E61" s="43">
        <f t="shared" si="3"/>
        <v>0.77611940298507409</v>
      </c>
      <c r="F61" s="43">
        <f t="shared" si="4"/>
        <v>0.29850746268656642</v>
      </c>
      <c r="G61">
        <v>7.4999999999999997E-2</v>
      </c>
      <c r="H61">
        <v>7.6999999999999999E-2</v>
      </c>
      <c r="I61" s="43">
        <f t="shared" si="5"/>
        <v>7.5999999999999998E-2</v>
      </c>
      <c r="J61" s="43">
        <f t="shared" si="6"/>
        <v>1.038961038961038</v>
      </c>
      <c r="K61" s="43">
        <f t="shared" si="7"/>
        <v>0.58441558441558483</v>
      </c>
    </row>
    <row r="62" spans="1:11" x14ac:dyDescent="0.2">
      <c r="A62" s="44">
        <v>14</v>
      </c>
      <c r="B62">
        <v>5.8000000000000003E-2</v>
      </c>
      <c r="C62">
        <v>5.8999999999999997E-2</v>
      </c>
      <c r="D62" s="43">
        <f t="shared" si="2"/>
        <v>5.8499999999999996E-2</v>
      </c>
      <c r="E62" s="43">
        <f t="shared" si="3"/>
        <v>0.77611940298507409</v>
      </c>
      <c r="F62" s="43">
        <f t="shared" si="4"/>
        <v>0.29850746268656642</v>
      </c>
      <c r="G62">
        <v>7.6999999999999999E-2</v>
      </c>
      <c r="H62">
        <v>7.6999999999999999E-2</v>
      </c>
      <c r="I62" s="43">
        <f t="shared" si="5"/>
        <v>7.6999999999999999E-2</v>
      </c>
      <c r="J62" s="43">
        <f t="shared" si="6"/>
        <v>1.1688311688311681</v>
      </c>
      <c r="K62" s="43">
        <f t="shared" si="7"/>
        <v>0.71428571428571497</v>
      </c>
    </row>
    <row r="63" spans="1:11" x14ac:dyDescent="0.2">
      <c r="A63" s="44">
        <v>15</v>
      </c>
      <c r="B63">
        <v>5.8000000000000003E-2</v>
      </c>
      <c r="C63">
        <v>5.7000000000000002E-2</v>
      </c>
      <c r="D63" s="43">
        <f t="shared" si="2"/>
        <v>5.7500000000000002E-2</v>
      </c>
      <c r="E63" s="43">
        <f t="shared" si="3"/>
        <v>0.62686567164179141</v>
      </c>
      <c r="F63" s="43">
        <f t="shared" si="4"/>
        <v>0.14925373134328374</v>
      </c>
      <c r="G63">
        <v>7.5999999999999998E-2</v>
      </c>
      <c r="H63">
        <v>7.5999999999999998E-2</v>
      </c>
      <c r="I63" s="43">
        <f t="shared" si="5"/>
        <v>7.5999999999999998E-2</v>
      </c>
      <c r="J63" s="43">
        <f t="shared" si="6"/>
        <v>1.038961038961038</v>
      </c>
      <c r="K63" s="43">
        <f t="shared" si="7"/>
        <v>0.58441558441558483</v>
      </c>
    </row>
    <row r="64" spans="1:11" x14ac:dyDescent="0.2">
      <c r="A64" s="44">
        <v>16</v>
      </c>
      <c r="B64">
        <v>5.8000000000000003E-2</v>
      </c>
      <c r="C64">
        <v>5.7000000000000002E-2</v>
      </c>
      <c r="D64" s="43">
        <f t="shared" si="2"/>
        <v>5.7500000000000002E-2</v>
      </c>
      <c r="E64" s="43">
        <f t="shared" si="3"/>
        <v>0.62686567164179141</v>
      </c>
      <c r="F64" s="43">
        <f t="shared" si="4"/>
        <v>0.14925373134328374</v>
      </c>
      <c r="G64">
        <v>8.3000000000000004E-2</v>
      </c>
      <c r="H64">
        <v>8.2000000000000003E-2</v>
      </c>
      <c r="I64" s="43">
        <f t="shared" si="5"/>
        <v>8.2500000000000004E-2</v>
      </c>
      <c r="J64" s="43">
        <f t="shared" si="6"/>
        <v>1.883116883116883</v>
      </c>
      <c r="K64" s="43">
        <f t="shared" si="7"/>
        <v>1.4285714285714297</v>
      </c>
    </row>
    <row r="65" spans="1:11" x14ac:dyDescent="0.2">
      <c r="A65" s="44">
        <v>17</v>
      </c>
      <c r="B65">
        <v>5.8000000000000003E-2</v>
      </c>
      <c r="C65">
        <v>5.7000000000000002E-2</v>
      </c>
      <c r="D65" s="43">
        <f t="shared" si="2"/>
        <v>5.7500000000000002E-2</v>
      </c>
      <c r="E65" s="43">
        <f t="shared" si="3"/>
        <v>0.62686567164179141</v>
      </c>
      <c r="F65" s="43">
        <f t="shared" si="4"/>
        <v>0.14925373134328374</v>
      </c>
      <c r="G65">
        <v>0.1</v>
      </c>
      <c r="H65">
        <v>0.10100000000000001</v>
      </c>
      <c r="I65" s="43">
        <f t="shared" si="5"/>
        <v>0.10050000000000001</v>
      </c>
      <c r="J65" s="43">
        <f t="shared" si="6"/>
        <v>4.220779220779221</v>
      </c>
      <c r="K65" s="43">
        <f t="shared" si="7"/>
        <v>3.7662337662337677</v>
      </c>
    </row>
    <row r="66" spans="1:11" x14ac:dyDescent="0.2">
      <c r="A66" s="44">
        <v>18</v>
      </c>
      <c r="B66">
        <v>5.8999999999999997E-2</v>
      </c>
      <c r="C66">
        <v>5.7000000000000002E-2</v>
      </c>
      <c r="D66" s="43">
        <f t="shared" si="2"/>
        <v>5.7999999999999996E-2</v>
      </c>
      <c r="E66" s="43">
        <f t="shared" si="3"/>
        <v>0.7014925373134322</v>
      </c>
      <c r="F66" s="43">
        <f t="shared" si="4"/>
        <v>0.22388059701492452</v>
      </c>
      <c r="G66">
        <v>0.11600000000000001</v>
      </c>
      <c r="H66">
        <v>0.11700000000000001</v>
      </c>
      <c r="I66" s="43">
        <f t="shared" si="5"/>
        <v>0.11650000000000001</v>
      </c>
      <c r="J66" s="43">
        <f t="shared" si="6"/>
        <v>6.2987012987012987</v>
      </c>
      <c r="K66" s="43">
        <f t="shared" si="7"/>
        <v>5.8441558441558454</v>
      </c>
    </row>
    <row r="67" spans="1:11" x14ac:dyDescent="0.2">
      <c r="A67" s="44">
        <v>19</v>
      </c>
      <c r="B67">
        <v>5.8000000000000003E-2</v>
      </c>
      <c r="C67">
        <v>5.7000000000000002E-2</v>
      </c>
      <c r="D67" s="43">
        <f t="shared" si="2"/>
        <v>5.7500000000000002E-2</v>
      </c>
      <c r="E67" s="43">
        <f t="shared" si="3"/>
        <v>0.62686567164179141</v>
      </c>
      <c r="F67" s="43">
        <f t="shared" si="4"/>
        <v>0.14925373134328374</v>
      </c>
      <c r="G67">
        <v>9.9000000000000005E-2</v>
      </c>
      <c r="H67">
        <v>9.7000000000000003E-2</v>
      </c>
      <c r="I67" s="43">
        <f t="shared" si="5"/>
        <v>9.8000000000000004E-2</v>
      </c>
      <c r="J67" s="43">
        <f t="shared" si="6"/>
        <v>3.8961038961038956</v>
      </c>
      <c r="K67" s="43">
        <f t="shared" si="7"/>
        <v>3.4415584415584424</v>
      </c>
    </row>
    <row r="68" spans="1:11" x14ac:dyDescent="0.2">
      <c r="A68" s="44">
        <v>20</v>
      </c>
      <c r="B68">
        <v>5.8000000000000003E-2</v>
      </c>
      <c r="C68">
        <v>5.7000000000000002E-2</v>
      </c>
      <c r="D68" s="43">
        <f t="shared" si="2"/>
        <v>5.7500000000000002E-2</v>
      </c>
      <c r="E68" s="43">
        <f t="shared" si="3"/>
        <v>0.62686567164179141</v>
      </c>
      <c r="F68" s="43">
        <f t="shared" si="4"/>
        <v>0.14925373134328374</v>
      </c>
      <c r="G68">
        <v>8.2000000000000003E-2</v>
      </c>
      <c r="H68">
        <v>8.3000000000000004E-2</v>
      </c>
      <c r="I68" s="43">
        <f t="shared" si="5"/>
        <v>8.2500000000000004E-2</v>
      </c>
      <c r="J68" s="43">
        <f t="shared" si="6"/>
        <v>1.883116883116883</v>
      </c>
      <c r="K68" s="43">
        <f t="shared" si="7"/>
        <v>1.4285714285714297</v>
      </c>
    </row>
    <row r="69" spans="1:11" x14ac:dyDescent="0.2">
      <c r="A69" s="44">
        <v>21</v>
      </c>
      <c r="B69">
        <v>5.8000000000000003E-2</v>
      </c>
      <c r="C69">
        <v>5.6000000000000001E-2</v>
      </c>
      <c r="D69" s="43">
        <f t="shared" si="2"/>
        <v>5.7000000000000002E-2</v>
      </c>
      <c r="E69" s="43">
        <f t="shared" si="3"/>
        <v>0.55223880597014952</v>
      </c>
      <c r="F69" s="43">
        <f t="shared" si="4"/>
        <v>7.462686567164184E-2</v>
      </c>
      <c r="G69">
        <v>7.6999999999999999E-2</v>
      </c>
      <c r="H69">
        <v>7.5999999999999998E-2</v>
      </c>
      <c r="I69" s="43">
        <f t="shared" si="5"/>
        <v>7.6499999999999999E-2</v>
      </c>
      <c r="J69" s="43">
        <f t="shared" si="6"/>
        <v>1.103896103896103</v>
      </c>
      <c r="K69" s="43">
        <f t="shared" si="7"/>
        <v>0.6493506493506499</v>
      </c>
    </row>
    <row r="70" spans="1:11" x14ac:dyDescent="0.2">
      <c r="A70" s="44">
        <v>22</v>
      </c>
      <c r="B70">
        <v>5.8000000000000003E-2</v>
      </c>
      <c r="C70">
        <v>5.7000000000000002E-2</v>
      </c>
      <c r="D70" s="43">
        <f t="shared" si="2"/>
        <v>5.7500000000000002E-2</v>
      </c>
      <c r="E70" s="43">
        <f t="shared" si="3"/>
        <v>0.62686567164179141</v>
      </c>
      <c r="F70" s="43">
        <f t="shared" si="4"/>
        <v>0.14925373134328374</v>
      </c>
      <c r="G70">
        <v>7.3999999999999996E-2</v>
      </c>
      <c r="H70">
        <v>7.3999999999999996E-2</v>
      </c>
      <c r="I70" s="43">
        <f t="shared" si="5"/>
        <v>7.3999999999999996E-2</v>
      </c>
      <c r="J70" s="43">
        <f t="shared" si="6"/>
        <v>0.77922077922077804</v>
      </c>
      <c r="K70" s="43">
        <f t="shared" si="7"/>
        <v>0.32467532467532489</v>
      </c>
    </row>
    <row r="71" spans="1:11" x14ac:dyDescent="0.2">
      <c r="A71" s="44">
        <v>23</v>
      </c>
      <c r="B71">
        <v>5.8999999999999997E-2</v>
      </c>
      <c r="C71">
        <v>5.7000000000000002E-2</v>
      </c>
      <c r="D71" s="43">
        <f t="shared" si="2"/>
        <v>5.7999999999999996E-2</v>
      </c>
      <c r="E71" s="43">
        <f t="shared" si="3"/>
        <v>0.7014925373134322</v>
      </c>
      <c r="F71" s="43">
        <f t="shared" si="4"/>
        <v>0.22388059701492452</v>
      </c>
      <c r="G71">
        <v>7.3999999999999996E-2</v>
      </c>
      <c r="H71">
        <v>7.2999999999999995E-2</v>
      </c>
      <c r="I71" s="43">
        <f t="shared" si="5"/>
        <v>7.3499999999999996E-2</v>
      </c>
      <c r="J71" s="43">
        <f t="shared" si="6"/>
        <v>0.71428571428571308</v>
      </c>
      <c r="K71" s="43">
        <f t="shared" si="7"/>
        <v>0.25974025974025994</v>
      </c>
    </row>
    <row r="72" spans="1:11" x14ac:dyDescent="0.2">
      <c r="A72" s="44">
        <v>24</v>
      </c>
      <c r="B72">
        <v>5.8000000000000003E-2</v>
      </c>
      <c r="C72">
        <v>5.6000000000000001E-2</v>
      </c>
      <c r="D72" s="43">
        <f t="shared" si="2"/>
        <v>5.7000000000000002E-2</v>
      </c>
      <c r="E72" s="43">
        <f t="shared" si="3"/>
        <v>0.55223880597014952</v>
      </c>
      <c r="F72" s="43">
        <f t="shared" si="4"/>
        <v>7.462686567164184E-2</v>
      </c>
      <c r="G72">
        <v>7.2999999999999995E-2</v>
      </c>
      <c r="H72">
        <v>6.7000000000000004E-2</v>
      </c>
      <c r="I72" s="43">
        <f t="shared" si="5"/>
        <v>7.0000000000000007E-2</v>
      </c>
      <c r="J72" s="43">
        <f t="shared" si="6"/>
        <v>0.25974025974025994</v>
      </c>
      <c r="K72" s="43">
        <f t="shared" si="7"/>
        <v>-0.1948051948051932</v>
      </c>
    </row>
    <row r="73" spans="1:11" x14ac:dyDescent="0.2">
      <c r="A73" s="44">
        <v>25</v>
      </c>
      <c r="B73">
        <v>5.7000000000000002E-2</v>
      </c>
      <c r="C73">
        <v>5.8000000000000003E-2</v>
      </c>
      <c r="D73" s="43">
        <f t="shared" si="2"/>
        <v>5.7500000000000002E-2</v>
      </c>
      <c r="E73" s="43">
        <f t="shared" si="3"/>
        <v>0.62686567164179141</v>
      </c>
      <c r="F73" s="43">
        <f t="shared" si="4"/>
        <v>0.14925373134328374</v>
      </c>
      <c r="G73">
        <v>7.0999999999999994E-2</v>
      </c>
      <c r="H73">
        <v>7.3999999999999996E-2</v>
      </c>
      <c r="I73" s="43">
        <f t="shared" si="5"/>
        <v>7.2499999999999995E-2</v>
      </c>
      <c r="J73" s="43">
        <f t="shared" si="6"/>
        <v>0.58441558441558317</v>
      </c>
      <c r="K73" s="43">
        <f t="shared" si="7"/>
        <v>0.12987012987013002</v>
      </c>
    </row>
    <row r="74" spans="1:11" x14ac:dyDescent="0.2">
      <c r="A74" s="44">
        <v>26</v>
      </c>
      <c r="B74">
        <v>5.8999999999999997E-2</v>
      </c>
      <c r="C74">
        <v>5.8999999999999997E-2</v>
      </c>
      <c r="D74" s="43">
        <f t="shared" si="2"/>
        <v>5.8999999999999997E-2</v>
      </c>
      <c r="E74" s="43">
        <f t="shared" si="3"/>
        <v>0.85074626865671588</v>
      </c>
      <c r="F74" s="43">
        <f t="shared" si="4"/>
        <v>0.3731343283582082</v>
      </c>
      <c r="G74">
        <v>7.2999999999999995E-2</v>
      </c>
      <c r="H74">
        <v>7.4999999999999997E-2</v>
      </c>
      <c r="I74" s="43">
        <f t="shared" si="5"/>
        <v>7.3999999999999996E-2</v>
      </c>
      <c r="J74" s="43">
        <f t="shared" si="6"/>
        <v>0.77922077922077804</v>
      </c>
      <c r="K74" s="43">
        <f t="shared" si="7"/>
        <v>0.32467532467532489</v>
      </c>
    </row>
    <row r="75" spans="1:11" x14ac:dyDescent="0.2">
      <c r="A75" s="44">
        <v>27</v>
      </c>
      <c r="B75">
        <v>7.0000000000000007E-2</v>
      </c>
      <c r="C75">
        <v>7.0999999999999994E-2</v>
      </c>
      <c r="D75" s="43">
        <f t="shared" si="2"/>
        <v>7.0500000000000007E-2</v>
      </c>
      <c r="E75" s="43">
        <f t="shared" si="3"/>
        <v>2.5671641791044784</v>
      </c>
      <c r="F75" s="43">
        <f t="shared" si="4"/>
        <v>2.0895522388059709</v>
      </c>
      <c r="G75">
        <v>7.1999999999999995E-2</v>
      </c>
      <c r="H75">
        <v>7.2999999999999995E-2</v>
      </c>
      <c r="I75" s="43">
        <f t="shared" si="5"/>
        <v>7.2499999999999995E-2</v>
      </c>
      <c r="J75" s="43">
        <f t="shared" si="6"/>
        <v>0.58441558441558317</v>
      </c>
      <c r="K75" s="43">
        <f t="shared" si="7"/>
        <v>0.12987012987013002</v>
      </c>
    </row>
    <row r="76" spans="1:11" x14ac:dyDescent="0.2">
      <c r="A76" s="44">
        <v>28</v>
      </c>
      <c r="B76">
        <v>8.3000000000000004E-2</v>
      </c>
      <c r="C76">
        <v>8.3000000000000004E-2</v>
      </c>
      <c r="D76" s="43">
        <f t="shared" si="2"/>
        <v>8.3000000000000004E-2</v>
      </c>
      <c r="E76" s="43">
        <f t="shared" si="3"/>
        <v>4.432835820895523</v>
      </c>
      <c r="F76" s="43">
        <f t="shared" si="4"/>
        <v>3.9552238805970155</v>
      </c>
      <c r="G76">
        <v>7.2999999999999995E-2</v>
      </c>
      <c r="H76">
        <v>7.2999999999999995E-2</v>
      </c>
      <c r="I76" s="43">
        <f t="shared" si="5"/>
        <v>7.2999999999999995E-2</v>
      </c>
      <c r="J76" s="43">
        <f t="shared" si="6"/>
        <v>0.64935064935064812</v>
      </c>
      <c r="K76" s="43">
        <f t="shared" si="7"/>
        <v>0.19480519480519498</v>
      </c>
    </row>
    <row r="77" spans="1:11" x14ac:dyDescent="0.2">
      <c r="A77" s="44">
        <v>29</v>
      </c>
      <c r="B77">
        <v>7.0000000000000007E-2</v>
      </c>
      <c r="C77">
        <v>6.9000000000000006E-2</v>
      </c>
      <c r="D77" s="43">
        <f t="shared" si="2"/>
        <v>6.9500000000000006E-2</v>
      </c>
      <c r="E77" s="43">
        <f t="shared" si="3"/>
        <v>2.4179104477611948</v>
      </c>
      <c r="F77" s="43">
        <f t="shared" si="4"/>
        <v>1.9402985074626871</v>
      </c>
      <c r="G77">
        <v>7.2999999999999995E-2</v>
      </c>
      <c r="H77">
        <v>7.3999999999999996E-2</v>
      </c>
      <c r="I77" s="43">
        <f t="shared" si="5"/>
        <v>7.3499999999999996E-2</v>
      </c>
      <c r="J77" s="43">
        <f t="shared" si="6"/>
        <v>0.71428571428571308</v>
      </c>
      <c r="K77" s="43">
        <f t="shared" si="7"/>
        <v>0.25974025974025994</v>
      </c>
    </row>
    <row r="78" spans="1:11" x14ac:dyDescent="0.2">
      <c r="A78" s="44">
        <v>30</v>
      </c>
      <c r="B78">
        <v>6.2E-2</v>
      </c>
      <c r="C78">
        <v>6.0999999999999999E-2</v>
      </c>
      <c r="D78" s="43">
        <f t="shared" si="2"/>
        <v>6.1499999999999999E-2</v>
      </c>
      <c r="E78" s="43">
        <f t="shared" si="3"/>
        <v>1.2238805970149251</v>
      </c>
      <c r="F78" s="43">
        <f t="shared" si="4"/>
        <v>0.7462686567164174</v>
      </c>
      <c r="G78">
        <v>7.1999999999999995E-2</v>
      </c>
      <c r="H78">
        <v>7.3999999999999996E-2</v>
      </c>
      <c r="I78" s="43">
        <f t="shared" si="5"/>
        <v>7.2999999999999995E-2</v>
      </c>
      <c r="J78" s="43">
        <f t="shared" si="6"/>
        <v>0.64935064935064812</v>
      </c>
      <c r="K78" s="43">
        <f t="shared" si="7"/>
        <v>0.19480519480519498</v>
      </c>
    </row>
  </sheetData>
  <mergeCells count="1">
    <mergeCell ref="A4:K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S78"/>
  <sheetViews>
    <sheetView topLeftCell="A46" workbookViewId="0">
      <selection activeCell="B52" sqref="B52"/>
    </sheetView>
  </sheetViews>
  <sheetFormatPr baseColWidth="10" defaultColWidth="9.1640625" defaultRowHeight="15" x14ac:dyDescent="0.2"/>
  <sheetData>
    <row r="4" spans="1:19" ht="19" x14ac:dyDescent="0.25">
      <c r="A4" s="52" t="s">
        <v>20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46"/>
      <c r="M4" s="46"/>
      <c r="N4" s="46"/>
      <c r="O4" s="46"/>
    </row>
    <row r="6" spans="1:19" x14ac:dyDescent="0.2">
      <c r="A6" s="1" t="s">
        <v>2</v>
      </c>
      <c r="B6" s="1"/>
      <c r="C6" s="1"/>
      <c r="O6" s="1" t="s">
        <v>3</v>
      </c>
      <c r="P6" s="1"/>
    </row>
    <row r="7" spans="1:19" x14ac:dyDescent="0.2">
      <c r="A7" s="2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  <c r="L7" s="2">
        <v>12</v>
      </c>
      <c r="O7" s="3"/>
      <c r="P7" s="4" t="s">
        <v>4</v>
      </c>
      <c r="Q7" s="4" t="s">
        <v>5</v>
      </c>
      <c r="R7" s="4" t="s">
        <v>6</v>
      </c>
      <c r="S7" s="4" t="s">
        <v>7</v>
      </c>
    </row>
    <row r="8" spans="1:19" x14ac:dyDescent="0.2">
      <c r="A8">
        <v>5.5E-2</v>
      </c>
      <c r="B8">
        <v>5.8000000000000003E-2</v>
      </c>
      <c r="C8">
        <v>6.0999999999999999E-2</v>
      </c>
      <c r="D8">
        <v>6.9000000000000006E-2</v>
      </c>
      <c r="E8">
        <v>8.1000000000000003E-2</v>
      </c>
      <c r="F8">
        <v>9.7000000000000003E-2</v>
      </c>
      <c r="G8">
        <v>0.17199999999999999</v>
      </c>
      <c r="M8" s="14" t="s">
        <v>8</v>
      </c>
      <c r="O8" s="3" t="s">
        <v>9</v>
      </c>
      <c r="P8" s="3">
        <f>A8</f>
        <v>5.5E-2</v>
      </c>
      <c r="Q8" s="3">
        <f>A9</f>
        <v>5.5E-2</v>
      </c>
      <c r="R8" s="3">
        <f>AVERAGE(P8:Q8)</f>
        <v>5.5E-2</v>
      </c>
      <c r="S8" s="3">
        <v>0</v>
      </c>
    </row>
    <row r="9" spans="1:19" x14ac:dyDescent="0.2">
      <c r="A9">
        <v>5.5E-2</v>
      </c>
      <c r="B9">
        <v>5.8000000000000003E-2</v>
      </c>
      <c r="C9">
        <v>6.9000000000000006E-2</v>
      </c>
      <c r="D9">
        <v>7.0000000000000007E-2</v>
      </c>
      <c r="E9">
        <v>8.3000000000000004E-2</v>
      </c>
      <c r="F9">
        <v>9.2999999999999999E-2</v>
      </c>
      <c r="G9">
        <v>0.17899999999999999</v>
      </c>
      <c r="M9" s="14"/>
      <c r="O9" s="3" t="s">
        <v>10</v>
      </c>
      <c r="P9" s="3">
        <f>B8</f>
        <v>5.8000000000000003E-2</v>
      </c>
      <c r="Q9" s="3">
        <f>B9</f>
        <v>5.8000000000000003E-2</v>
      </c>
      <c r="R9" s="3">
        <f t="shared" ref="R9:R14" si="0">AVERAGE(P9:Q9)</f>
        <v>5.8000000000000003E-2</v>
      </c>
      <c r="S9" s="3">
        <v>0.6</v>
      </c>
    </row>
    <row r="10" spans="1:19" x14ac:dyDescent="0.2">
      <c r="A10">
        <v>5.8999999999999997E-2</v>
      </c>
      <c r="B10">
        <v>5.7000000000000002E-2</v>
      </c>
      <c r="C10">
        <v>6.3E-2</v>
      </c>
      <c r="D10">
        <v>6.0999999999999999E-2</v>
      </c>
      <c r="E10">
        <v>6.2E-2</v>
      </c>
      <c r="F10">
        <v>0.06</v>
      </c>
      <c r="G10">
        <v>5.8999999999999997E-2</v>
      </c>
      <c r="H10">
        <v>5.8000000000000003E-2</v>
      </c>
      <c r="I10">
        <v>5.8000000000000003E-2</v>
      </c>
      <c r="J10">
        <v>0.06</v>
      </c>
      <c r="K10">
        <v>6.0999999999999999E-2</v>
      </c>
      <c r="L10">
        <v>6.2E-2</v>
      </c>
      <c r="M10" s="14"/>
      <c r="O10" s="3" t="s">
        <v>11</v>
      </c>
      <c r="P10" s="3">
        <f>C8</f>
        <v>6.0999999999999999E-2</v>
      </c>
      <c r="Q10" s="3">
        <f>C9</f>
        <v>6.9000000000000006E-2</v>
      </c>
      <c r="R10" s="3">
        <f t="shared" si="0"/>
        <v>6.5000000000000002E-2</v>
      </c>
      <c r="S10" s="3">
        <v>1.5</v>
      </c>
    </row>
    <row r="11" spans="1:19" x14ac:dyDescent="0.2">
      <c r="A11">
        <v>5.6000000000000001E-2</v>
      </c>
      <c r="B11">
        <v>5.7000000000000002E-2</v>
      </c>
      <c r="C11">
        <v>5.8999999999999997E-2</v>
      </c>
      <c r="D11">
        <v>6.0999999999999999E-2</v>
      </c>
      <c r="E11">
        <v>6.0999999999999999E-2</v>
      </c>
      <c r="F11">
        <v>5.8999999999999997E-2</v>
      </c>
      <c r="G11">
        <v>5.8999999999999997E-2</v>
      </c>
      <c r="H11">
        <v>5.8000000000000003E-2</v>
      </c>
      <c r="I11">
        <v>5.7000000000000002E-2</v>
      </c>
      <c r="J11">
        <v>5.8999999999999997E-2</v>
      </c>
      <c r="K11">
        <v>0.06</v>
      </c>
      <c r="L11">
        <v>0.06</v>
      </c>
      <c r="M11" s="14"/>
      <c r="O11" s="3" t="s">
        <v>12</v>
      </c>
      <c r="P11" s="3">
        <f>D8</f>
        <v>6.9000000000000006E-2</v>
      </c>
      <c r="Q11" s="3">
        <f>D9</f>
        <v>7.0000000000000007E-2</v>
      </c>
      <c r="R11" s="3">
        <f t="shared" si="0"/>
        <v>6.9500000000000006E-2</v>
      </c>
      <c r="S11" s="3">
        <v>3</v>
      </c>
    </row>
    <row r="12" spans="1:19" x14ac:dyDescent="0.2">
      <c r="A12">
        <v>5.7000000000000002E-2</v>
      </c>
      <c r="B12">
        <v>5.8000000000000003E-2</v>
      </c>
      <c r="C12">
        <v>5.8000000000000003E-2</v>
      </c>
      <c r="D12">
        <v>5.8000000000000003E-2</v>
      </c>
      <c r="E12">
        <v>5.8000000000000003E-2</v>
      </c>
      <c r="F12">
        <v>5.8999999999999997E-2</v>
      </c>
      <c r="G12">
        <v>5.8999999999999997E-2</v>
      </c>
      <c r="H12">
        <v>5.8000000000000003E-2</v>
      </c>
      <c r="I12">
        <v>5.8000000000000003E-2</v>
      </c>
      <c r="J12">
        <v>5.8000000000000003E-2</v>
      </c>
      <c r="K12">
        <v>5.8000000000000003E-2</v>
      </c>
      <c r="L12">
        <v>5.8000000000000003E-2</v>
      </c>
      <c r="M12" s="14"/>
      <c r="O12" s="3" t="s">
        <v>13</v>
      </c>
      <c r="P12" s="3">
        <f>E8</f>
        <v>8.1000000000000003E-2</v>
      </c>
      <c r="Q12" s="3">
        <f>E9</f>
        <v>8.3000000000000004E-2</v>
      </c>
      <c r="R12" s="3">
        <f t="shared" si="0"/>
        <v>8.2000000000000003E-2</v>
      </c>
      <c r="S12" s="3">
        <v>4.5999999999999996</v>
      </c>
    </row>
    <row r="13" spans="1:19" x14ac:dyDescent="0.2">
      <c r="A13">
        <v>0.06</v>
      </c>
      <c r="B13">
        <v>5.8000000000000003E-2</v>
      </c>
      <c r="C13">
        <v>5.7000000000000002E-2</v>
      </c>
      <c r="D13">
        <v>5.7000000000000002E-2</v>
      </c>
      <c r="E13">
        <v>5.7000000000000002E-2</v>
      </c>
      <c r="F13">
        <v>5.8000000000000003E-2</v>
      </c>
      <c r="G13">
        <v>5.7000000000000002E-2</v>
      </c>
      <c r="H13">
        <v>6.4000000000000001E-2</v>
      </c>
      <c r="I13">
        <v>5.7000000000000002E-2</v>
      </c>
      <c r="J13">
        <v>5.8000000000000003E-2</v>
      </c>
      <c r="K13">
        <v>5.7000000000000002E-2</v>
      </c>
      <c r="L13">
        <v>5.6000000000000001E-2</v>
      </c>
      <c r="M13" s="14"/>
      <c r="O13" s="3" t="s">
        <v>14</v>
      </c>
      <c r="P13" s="3"/>
      <c r="Q13" s="3"/>
      <c r="R13" s="3"/>
      <c r="S13" s="3"/>
    </row>
    <row r="14" spans="1:19" x14ac:dyDescent="0.2">
      <c r="A14">
        <v>5.7000000000000002E-2</v>
      </c>
      <c r="B14">
        <v>0.06</v>
      </c>
      <c r="C14">
        <v>6.9000000000000006E-2</v>
      </c>
      <c r="D14">
        <v>8.5000000000000006E-2</v>
      </c>
      <c r="E14">
        <v>7.1999999999999995E-2</v>
      </c>
      <c r="F14">
        <v>6.2E-2</v>
      </c>
      <c r="M14" s="14"/>
      <c r="O14" s="3" t="s">
        <v>15</v>
      </c>
      <c r="P14" s="3">
        <f>G8</f>
        <v>0.17199999999999999</v>
      </c>
      <c r="Q14" s="3">
        <f>G9</f>
        <v>0.17899999999999999</v>
      </c>
      <c r="R14" s="3">
        <f t="shared" si="0"/>
        <v>0.17549999999999999</v>
      </c>
      <c r="S14" s="3">
        <v>18.600000000000001</v>
      </c>
    </row>
    <row r="15" spans="1:19" x14ac:dyDescent="0.2">
      <c r="A15">
        <v>5.8999999999999997E-2</v>
      </c>
      <c r="B15">
        <v>5.8999999999999997E-2</v>
      </c>
      <c r="C15">
        <v>6.9000000000000006E-2</v>
      </c>
      <c r="D15">
        <v>8.5000000000000006E-2</v>
      </c>
      <c r="E15">
        <v>7.1999999999999995E-2</v>
      </c>
      <c r="F15">
        <v>6.7000000000000004E-2</v>
      </c>
      <c r="M15" s="14"/>
    </row>
    <row r="16" spans="1:19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9" x14ac:dyDescent="0.2">
      <c r="A17" s="6"/>
      <c r="B17" s="6"/>
      <c r="C17" s="6"/>
      <c r="D17" s="6"/>
      <c r="E17" s="6"/>
      <c r="F17" s="6"/>
      <c r="G17" s="6"/>
      <c r="H17" s="15"/>
      <c r="I17" s="15"/>
      <c r="J17" s="15"/>
      <c r="K17" s="15"/>
      <c r="L17" s="15"/>
      <c r="M17" s="16" t="s">
        <v>0</v>
      </c>
    </row>
    <row r="18" spans="1:19" x14ac:dyDescent="0.2">
      <c r="A18" s="6"/>
      <c r="B18" s="6"/>
      <c r="C18" s="6"/>
      <c r="D18" s="6"/>
      <c r="E18" s="6"/>
      <c r="F18" s="6"/>
      <c r="G18" s="6"/>
      <c r="H18" s="15"/>
      <c r="I18" s="15"/>
      <c r="J18" s="15"/>
      <c r="K18" s="15"/>
      <c r="L18" s="15"/>
      <c r="M18" s="17"/>
    </row>
    <row r="19" spans="1:19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7"/>
    </row>
    <row r="20" spans="1:19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17"/>
    </row>
    <row r="21" spans="1:19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18"/>
      <c r="M21" s="17"/>
    </row>
    <row r="22" spans="1:19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9"/>
      <c r="M22" s="17"/>
    </row>
    <row r="23" spans="1:19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2"/>
      <c r="M23" s="17"/>
    </row>
    <row r="24" spans="1:19" x14ac:dyDescent="0.2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5"/>
      <c r="M24" s="26"/>
    </row>
    <row r="25" spans="1:19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9" x14ac:dyDescent="0.2">
      <c r="A26" s="7">
        <v>1</v>
      </c>
      <c r="B26" s="7">
        <v>2</v>
      </c>
      <c r="C26" s="7">
        <v>3</v>
      </c>
      <c r="D26" s="7">
        <v>4</v>
      </c>
      <c r="E26" s="7">
        <v>5</v>
      </c>
      <c r="F26" s="7">
        <v>6</v>
      </c>
      <c r="G26" s="7">
        <v>7</v>
      </c>
      <c r="H26" s="7">
        <v>8</v>
      </c>
      <c r="I26" s="7">
        <v>9</v>
      </c>
      <c r="J26" s="7">
        <v>10</v>
      </c>
      <c r="K26" s="7">
        <v>11</v>
      </c>
      <c r="L26" s="7">
        <v>12</v>
      </c>
    </row>
    <row r="27" spans="1:19" x14ac:dyDescent="0.2">
      <c r="A27">
        <v>7.1999999999999995E-2</v>
      </c>
      <c r="B27">
        <v>7.2999999999999995E-2</v>
      </c>
      <c r="C27">
        <v>7.5999999999999998E-2</v>
      </c>
      <c r="D27">
        <v>8.4000000000000005E-2</v>
      </c>
      <c r="E27">
        <v>9.2999999999999999E-2</v>
      </c>
      <c r="F27">
        <v>0.113</v>
      </c>
      <c r="G27">
        <v>0.184</v>
      </c>
      <c r="M27" s="27" t="s">
        <v>16</v>
      </c>
    </row>
    <row r="28" spans="1:19" x14ac:dyDescent="0.2">
      <c r="A28">
        <v>7.0999999999999994E-2</v>
      </c>
      <c r="B28">
        <v>7.9000000000000001E-2</v>
      </c>
      <c r="C28">
        <v>7.6999999999999999E-2</v>
      </c>
      <c r="D28">
        <v>8.5000000000000006E-2</v>
      </c>
      <c r="E28">
        <v>9.6000000000000002E-2</v>
      </c>
      <c r="F28">
        <v>0.113</v>
      </c>
      <c r="G28">
        <v>0.192</v>
      </c>
      <c r="M28" s="27"/>
      <c r="O28" s="1" t="s">
        <v>17</v>
      </c>
      <c r="P28" s="1"/>
    </row>
    <row r="29" spans="1:19" x14ac:dyDescent="0.2">
      <c r="A29">
        <v>0.124</v>
      </c>
      <c r="B29">
        <v>0.17199999999999999</v>
      </c>
      <c r="C29">
        <v>0.108</v>
      </c>
      <c r="D29">
        <v>0.105</v>
      </c>
      <c r="E29">
        <v>7.6999999999999999E-2</v>
      </c>
      <c r="F29">
        <v>7.3999999999999996E-2</v>
      </c>
      <c r="G29">
        <v>7.4999999999999997E-2</v>
      </c>
      <c r="H29">
        <v>8.2000000000000003E-2</v>
      </c>
      <c r="I29">
        <v>7.3999999999999996E-2</v>
      </c>
      <c r="J29">
        <v>7.3999999999999996E-2</v>
      </c>
      <c r="K29">
        <v>7.6999999999999999E-2</v>
      </c>
      <c r="L29">
        <v>0.107</v>
      </c>
      <c r="M29" s="27"/>
      <c r="O29" s="3"/>
      <c r="P29" s="8" t="s">
        <v>4</v>
      </c>
      <c r="Q29" s="8" t="s">
        <v>5</v>
      </c>
      <c r="R29" s="8" t="s">
        <v>6</v>
      </c>
      <c r="S29" s="8" t="s">
        <v>18</v>
      </c>
    </row>
    <row r="30" spans="1:19" x14ac:dyDescent="0.2">
      <c r="A30">
        <v>7.1999999999999995E-2</v>
      </c>
      <c r="B30">
        <v>7.1999999999999995E-2</v>
      </c>
      <c r="C30">
        <v>7.1999999999999995E-2</v>
      </c>
      <c r="D30">
        <v>7.1999999999999995E-2</v>
      </c>
      <c r="E30">
        <v>7.2999999999999995E-2</v>
      </c>
      <c r="F30">
        <v>7.3999999999999996E-2</v>
      </c>
      <c r="G30">
        <v>7.3999999999999996E-2</v>
      </c>
      <c r="H30">
        <v>7.3999999999999996E-2</v>
      </c>
      <c r="I30">
        <v>7.1999999999999995E-2</v>
      </c>
      <c r="J30">
        <v>7.2999999999999995E-2</v>
      </c>
      <c r="K30">
        <v>7.4999999999999997E-2</v>
      </c>
      <c r="L30">
        <v>7.3999999999999996E-2</v>
      </c>
      <c r="M30" s="27"/>
      <c r="O30" s="3" t="s">
        <v>9</v>
      </c>
      <c r="P30" s="3">
        <f>A27</f>
        <v>7.1999999999999995E-2</v>
      </c>
      <c r="Q30" s="3">
        <f>A28</f>
        <v>7.0999999999999994E-2</v>
      </c>
      <c r="R30" s="3">
        <f>AVERAGE(P30:Q30)</f>
        <v>7.1499999999999994E-2</v>
      </c>
      <c r="S30" s="9">
        <v>0</v>
      </c>
    </row>
    <row r="31" spans="1:19" x14ac:dyDescent="0.2">
      <c r="A31">
        <v>7.3999999999999996E-2</v>
      </c>
      <c r="B31">
        <v>7.5999999999999998E-2</v>
      </c>
      <c r="C31">
        <v>7.3999999999999996E-2</v>
      </c>
      <c r="D31">
        <v>8.2000000000000003E-2</v>
      </c>
      <c r="E31">
        <v>9.9000000000000005E-2</v>
      </c>
      <c r="F31">
        <v>0.114</v>
      </c>
      <c r="G31">
        <v>9.8000000000000004E-2</v>
      </c>
      <c r="H31">
        <v>8.1000000000000003E-2</v>
      </c>
      <c r="I31">
        <v>7.5999999999999998E-2</v>
      </c>
      <c r="J31">
        <v>7.2999999999999995E-2</v>
      </c>
      <c r="K31">
        <v>7.2999999999999995E-2</v>
      </c>
      <c r="L31">
        <v>7.2999999999999995E-2</v>
      </c>
      <c r="M31" s="27"/>
      <c r="O31" s="3" t="s">
        <v>10</v>
      </c>
      <c r="P31" s="3">
        <f>B27</f>
        <v>7.2999999999999995E-2</v>
      </c>
      <c r="Q31" s="3">
        <f>B28</f>
        <v>7.9000000000000001E-2</v>
      </c>
      <c r="R31" s="3">
        <f>AVERAGE(P31:Q31)</f>
        <v>7.5999999999999998E-2</v>
      </c>
      <c r="S31" s="9">
        <v>0.5</v>
      </c>
    </row>
    <row r="32" spans="1:19" x14ac:dyDescent="0.2">
      <c r="A32">
        <v>7.5999999999999998E-2</v>
      </c>
      <c r="B32">
        <v>7.6999999999999999E-2</v>
      </c>
      <c r="C32">
        <v>7.6999999999999999E-2</v>
      </c>
      <c r="D32">
        <v>8.2000000000000003E-2</v>
      </c>
      <c r="E32">
        <v>0.10100000000000001</v>
      </c>
      <c r="F32">
        <v>0.11600000000000001</v>
      </c>
      <c r="G32">
        <v>9.8000000000000004E-2</v>
      </c>
      <c r="H32">
        <v>8.3000000000000004E-2</v>
      </c>
      <c r="I32">
        <v>7.5999999999999998E-2</v>
      </c>
      <c r="J32">
        <v>7.2999999999999995E-2</v>
      </c>
      <c r="K32">
        <v>7.2999999999999995E-2</v>
      </c>
      <c r="L32">
        <v>7.0000000000000007E-2</v>
      </c>
      <c r="M32" s="27"/>
      <c r="O32" s="3" t="s">
        <v>11</v>
      </c>
      <c r="P32" s="3">
        <f>C27</f>
        <v>7.5999999999999998E-2</v>
      </c>
      <c r="Q32" s="3">
        <f>C28</f>
        <v>7.6999999999999999E-2</v>
      </c>
      <c r="R32" s="3">
        <f t="shared" ref="R32:R36" si="1">AVERAGE(P32:Q32)</f>
        <v>7.6499999999999999E-2</v>
      </c>
      <c r="S32" s="9">
        <v>1.25</v>
      </c>
    </row>
    <row r="33" spans="1:19" x14ac:dyDescent="0.2">
      <c r="A33">
        <v>7.0999999999999994E-2</v>
      </c>
      <c r="B33">
        <v>7.2999999999999995E-2</v>
      </c>
      <c r="C33">
        <v>7.0999999999999994E-2</v>
      </c>
      <c r="D33">
        <v>7.1999999999999995E-2</v>
      </c>
      <c r="E33">
        <v>7.1999999999999995E-2</v>
      </c>
      <c r="F33">
        <v>7.1999999999999995E-2</v>
      </c>
      <c r="M33" s="27"/>
      <c r="O33" s="3" t="s">
        <v>12</v>
      </c>
      <c r="P33" s="3">
        <f>D27</f>
        <v>8.4000000000000005E-2</v>
      </c>
      <c r="Q33" s="3">
        <f>D28</f>
        <v>8.5000000000000006E-2</v>
      </c>
      <c r="R33" s="3">
        <f>AVERAGE(P33:Q33)</f>
        <v>8.4500000000000006E-2</v>
      </c>
      <c r="S33" s="9">
        <v>2.5</v>
      </c>
    </row>
    <row r="34" spans="1:19" x14ac:dyDescent="0.2">
      <c r="A34">
        <v>7.3999999999999996E-2</v>
      </c>
      <c r="B34">
        <v>7.3999999999999996E-2</v>
      </c>
      <c r="C34">
        <v>7.3999999999999996E-2</v>
      </c>
      <c r="D34">
        <v>7.1999999999999995E-2</v>
      </c>
      <c r="E34">
        <v>7.2999999999999995E-2</v>
      </c>
      <c r="F34">
        <v>7.2999999999999995E-2</v>
      </c>
      <c r="M34" s="27"/>
      <c r="O34" s="3" t="s">
        <v>13</v>
      </c>
      <c r="P34" s="3">
        <f>E27</f>
        <v>9.2999999999999999E-2</v>
      </c>
      <c r="Q34" s="3">
        <f>E28</f>
        <v>9.6000000000000002E-2</v>
      </c>
      <c r="R34" s="3">
        <f t="shared" si="1"/>
        <v>9.4500000000000001E-2</v>
      </c>
      <c r="S34" s="9">
        <v>3.75</v>
      </c>
    </row>
    <row r="35" spans="1:19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O35" s="3" t="s">
        <v>14</v>
      </c>
      <c r="P35" s="3"/>
      <c r="Q35" s="3"/>
      <c r="R35" s="3"/>
      <c r="S35" s="9"/>
    </row>
    <row r="36" spans="1:19" x14ac:dyDescent="0.2">
      <c r="A36" s="6"/>
      <c r="B36" s="6"/>
      <c r="C36" s="6"/>
      <c r="D36" s="6"/>
      <c r="E36" s="6"/>
      <c r="F36" s="6"/>
      <c r="G36" s="6"/>
      <c r="H36" s="15"/>
      <c r="I36" s="15"/>
      <c r="J36" s="15"/>
      <c r="K36" s="15"/>
      <c r="L36" s="15"/>
      <c r="M36" s="28" t="s">
        <v>1</v>
      </c>
      <c r="O36" s="3" t="s">
        <v>15</v>
      </c>
      <c r="P36" s="3">
        <f>G27</f>
        <v>0.184</v>
      </c>
      <c r="Q36" s="3">
        <f>G28</f>
        <v>0.192</v>
      </c>
      <c r="R36" s="3">
        <f t="shared" si="1"/>
        <v>0.188</v>
      </c>
      <c r="S36" s="9">
        <v>15</v>
      </c>
    </row>
    <row r="37" spans="1:19" x14ac:dyDescent="0.2">
      <c r="A37" s="6"/>
      <c r="B37" s="6"/>
      <c r="C37" s="6"/>
      <c r="D37" s="6"/>
      <c r="E37" s="6"/>
      <c r="F37" s="6"/>
      <c r="G37" s="6"/>
      <c r="H37" s="15"/>
      <c r="I37" s="15"/>
      <c r="J37" s="15"/>
      <c r="K37" s="15"/>
      <c r="L37" s="15"/>
      <c r="M37" s="29"/>
    </row>
    <row r="38" spans="1:19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29"/>
      <c r="N38" s="10"/>
      <c r="O38" s="10"/>
      <c r="P38" s="10"/>
    </row>
    <row r="39" spans="1:19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29"/>
      <c r="N39" s="10"/>
      <c r="O39" s="10"/>
      <c r="P39" s="10"/>
    </row>
    <row r="40" spans="1:19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18"/>
      <c r="M40" s="29"/>
      <c r="N40" s="10"/>
      <c r="O40" s="10"/>
      <c r="P40" s="10"/>
    </row>
    <row r="41" spans="1:19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19"/>
      <c r="M41" s="29"/>
      <c r="N41" s="10"/>
      <c r="O41" s="10"/>
      <c r="P41" s="10"/>
    </row>
    <row r="42" spans="1:19" x14ac:dyDescent="0.2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  <c r="M42" s="29"/>
      <c r="N42" s="10"/>
      <c r="O42" s="10"/>
      <c r="P42" s="10"/>
    </row>
    <row r="43" spans="1:19" x14ac:dyDescent="0.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5"/>
      <c r="M43" s="36"/>
      <c r="N43" s="10"/>
      <c r="O43" s="10"/>
      <c r="P43" s="10"/>
    </row>
    <row r="44" spans="1:19" x14ac:dyDescent="0.2">
      <c r="N44" s="10"/>
      <c r="O44" s="10"/>
      <c r="P44" s="10"/>
    </row>
    <row r="45" spans="1:19" x14ac:dyDescent="0.2">
      <c r="A45" s="1" t="s">
        <v>19</v>
      </c>
      <c r="B45" s="1"/>
      <c r="C45" s="1"/>
      <c r="D45" s="1"/>
      <c r="E45" s="1"/>
      <c r="K45" s="11"/>
      <c r="L45" s="12"/>
      <c r="M45" s="12"/>
    </row>
    <row r="47" spans="1:19" x14ac:dyDescent="0.2">
      <c r="A47" s="37"/>
      <c r="B47" s="38" t="s">
        <v>0</v>
      </c>
      <c r="C47" s="38" t="s">
        <v>0</v>
      </c>
      <c r="D47" s="38" t="s">
        <v>0</v>
      </c>
      <c r="E47" s="38" t="s">
        <v>0</v>
      </c>
      <c r="F47" s="38" t="s">
        <v>0</v>
      </c>
      <c r="G47" s="39" t="s">
        <v>1</v>
      </c>
      <c r="H47" s="39" t="s">
        <v>1</v>
      </c>
      <c r="I47" s="39" t="s">
        <v>1</v>
      </c>
      <c r="J47" s="40" t="s">
        <v>1</v>
      </c>
      <c r="K47" s="40" t="s">
        <v>1</v>
      </c>
    </row>
    <row r="48" spans="1:19" x14ac:dyDescent="0.2">
      <c r="A48" s="37" t="s">
        <v>23</v>
      </c>
      <c r="B48" s="41" t="s">
        <v>4</v>
      </c>
      <c r="C48" s="41" t="s">
        <v>5</v>
      </c>
      <c r="D48" s="41" t="s">
        <v>6</v>
      </c>
      <c r="E48" s="41" t="s">
        <v>21</v>
      </c>
      <c r="F48" s="41" t="s">
        <v>24</v>
      </c>
      <c r="G48" s="41" t="s">
        <v>4</v>
      </c>
      <c r="H48" s="41" t="s">
        <v>5</v>
      </c>
      <c r="I48" s="41" t="s">
        <v>6</v>
      </c>
      <c r="J48" s="42" t="s">
        <v>22</v>
      </c>
      <c r="K48" s="41" t="s">
        <v>24</v>
      </c>
    </row>
    <row r="49" spans="1:11" x14ac:dyDescent="0.2">
      <c r="A49" s="44">
        <v>1</v>
      </c>
      <c r="C49">
        <v>5.6000000000000001E-2</v>
      </c>
      <c r="D49" s="43">
        <f>AVERAGE(B49:C49)</f>
        <v>5.6000000000000001E-2</v>
      </c>
      <c r="E49" s="43">
        <f>(D49-0.0533)/0.0067</f>
        <v>0.40298507462686584</v>
      </c>
      <c r="F49" s="43">
        <f>E49-$E$49</f>
        <v>0</v>
      </c>
      <c r="H49">
        <v>7.1999999999999995E-2</v>
      </c>
      <c r="I49" s="43">
        <f>AVERAGE(G49:H49)</f>
        <v>7.1999999999999995E-2</v>
      </c>
      <c r="J49" s="43">
        <f>(I49-0.068)/0.0077</f>
        <v>0.5194805194805181</v>
      </c>
      <c r="K49" s="43">
        <f>J49-$J$49</f>
        <v>0</v>
      </c>
    </row>
    <row r="50" spans="1:11" x14ac:dyDescent="0.2">
      <c r="A50" s="44">
        <v>2</v>
      </c>
      <c r="B50">
        <v>5.7000000000000002E-2</v>
      </c>
      <c r="C50">
        <v>5.7000000000000002E-2</v>
      </c>
      <c r="D50" s="43">
        <f t="shared" ref="D50:D78" si="2">AVERAGE(B50:C50)</f>
        <v>5.7000000000000002E-2</v>
      </c>
      <c r="E50" s="43">
        <f t="shared" ref="E50:E78" si="3">(D50-0.0533)/0.0067</f>
        <v>0.55223880597014952</v>
      </c>
      <c r="F50" s="43">
        <f t="shared" ref="F50:F78" si="4">E50-$E$49</f>
        <v>0.14925373134328368</v>
      </c>
      <c r="H50">
        <v>7.1999999999999995E-2</v>
      </c>
      <c r="I50" s="43">
        <f t="shared" ref="I50:I78" si="5">AVERAGE(G50:H50)</f>
        <v>7.1999999999999995E-2</v>
      </c>
      <c r="J50" s="43">
        <f t="shared" ref="J50:J78" si="6">(I50-0.068)/0.0077</f>
        <v>0.5194805194805181</v>
      </c>
      <c r="K50" s="43">
        <f t="shared" ref="K50:K78" si="7">J50-$J$49</f>
        <v>0</v>
      </c>
    </row>
    <row r="51" spans="1:11" x14ac:dyDescent="0.2">
      <c r="A51" s="44">
        <v>3</v>
      </c>
      <c r="B51">
        <v>6.3E-2</v>
      </c>
      <c r="C51">
        <v>5.8999999999999997E-2</v>
      </c>
      <c r="D51" s="43">
        <f t="shared" si="2"/>
        <v>6.0999999999999999E-2</v>
      </c>
      <c r="E51" s="43">
        <f t="shared" si="3"/>
        <v>1.1492537313432833</v>
      </c>
      <c r="F51" s="43">
        <f>E51-$E$49</f>
        <v>0.74626865671641751</v>
      </c>
      <c r="H51">
        <v>7.1999999999999995E-2</v>
      </c>
      <c r="I51" s="43">
        <f t="shared" si="5"/>
        <v>7.1999999999999995E-2</v>
      </c>
      <c r="J51" s="43">
        <f t="shared" si="6"/>
        <v>0.5194805194805181</v>
      </c>
      <c r="K51" s="43">
        <f t="shared" si="7"/>
        <v>0</v>
      </c>
    </row>
    <row r="52" spans="1:11" x14ac:dyDescent="0.2">
      <c r="A52" s="44">
        <v>4</v>
      </c>
      <c r="B52">
        <v>6.0999999999999999E-2</v>
      </c>
      <c r="C52">
        <v>6.0999999999999999E-2</v>
      </c>
      <c r="D52" s="43">
        <f t="shared" si="2"/>
        <v>6.0999999999999999E-2</v>
      </c>
      <c r="E52" s="43">
        <f t="shared" si="3"/>
        <v>1.1492537313432833</v>
      </c>
      <c r="F52" s="43">
        <f t="shared" si="4"/>
        <v>0.74626865671641751</v>
      </c>
      <c r="H52">
        <v>7.1999999999999995E-2</v>
      </c>
      <c r="I52" s="43">
        <f>AVERAGE(G52:H52)</f>
        <v>7.1999999999999995E-2</v>
      </c>
      <c r="J52" s="43">
        <f t="shared" si="6"/>
        <v>0.5194805194805181</v>
      </c>
      <c r="K52" s="43">
        <f t="shared" si="7"/>
        <v>0</v>
      </c>
    </row>
    <row r="53" spans="1:11" x14ac:dyDescent="0.2">
      <c r="A53" s="44">
        <v>5</v>
      </c>
      <c r="B53">
        <v>6.2E-2</v>
      </c>
      <c r="C53">
        <v>6.0999999999999999E-2</v>
      </c>
      <c r="D53" s="43">
        <f t="shared" si="2"/>
        <v>6.1499999999999999E-2</v>
      </c>
      <c r="E53" s="43">
        <f t="shared" si="3"/>
        <v>1.2238805970149251</v>
      </c>
      <c r="F53" s="43">
        <f t="shared" si="4"/>
        <v>0.8208955223880593</v>
      </c>
      <c r="H53">
        <v>7.2999999999999995E-2</v>
      </c>
      <c r="I53" s="43">
        <f t="shared" ref="I53:I60" si="8">AVERAGE(G53:H53)</f>
        <v>7.2999999999999995E-2</v>
      </c>
      <c r="J53" s="43">
        <f t="shared" si="6"/>
        <v>0.64935064935064812</v>
      </c>
      <c r="K53" s="43">
        <f t="shared" si="7"/>
        <v>0.12987012987013002</v>
      </c>
    </row>
    <row r="54" spans="1:11" x14ac:dyDescent="0.2">
      <c r="A54" s="44">
        <v>6</v>
      </c>
      <c r="B54">
        <v>0.06</v>
      </c>
      <c r="C54">
        <v>5.8999999999999997E-2</v>
      </c>
      <c r="D54" s="43">
        <f t="shared" si="2"/>
        <v>5.9499999999999997E-2</v>
      </c>
      <c r="E54" s="43">
        <f t="shared" si="3"/>
        <v>0.92537313432835777</v>
      </c>
      <c r="F54" s="43">
        <f t="shared" si="4"/>
        <v>0.52238805970149194</v>
      </c>
      <c r="G54">
        <v>7.3999999999999996E-2</v>
      </c>
      <c r="H54">
        <v>7.3999999999999996E-2</v>
      </c>
      <c r="I54" s="43">
        <f t="shared" si="8"/>
        <v>7.3999999999999996E-2</v>
      </c>
      <c r="J54" s="43">
        <f t="shared" si="6"/>
        <v>0.77922077922077804</v>
      </c>
      <c r="K54" s="43">
        <f t="shared" si="7"/>
        <v>0.25974025974025994</v>
      </c>
    </row>
    <row r="55" spans="1:11" x14ac:dyDescent="0.2">
      <c r="A55" s="44">
        <v>7</v>
      </c>
      <c r="B55">
        <v>5.8999999999999997E-2</v>
      </c>
      <c r="C55">
        <v>5.8999999999999997E-2</v>
      </c>
      <c r="D55" s="43">
        <f t="shared" si="2"/>
        <v>5.8999999999999997E-2</v>
      </c>
      <c r="E55" s="43">
        <f t="shared" si="3"/>
        <v>0.85074626865671588</v>
      </c>
      <c r="F55" s="43">
        <f>E55-$E$49</f>
        <v>0.44776119402985004</v>
      </c>
      <c r="G55">
        <v>7.4999999999999997E-2</v>
      </c>
      <c r="H55">
        <v>7.3999999999999996E-2</v>
      </c>
      <c r="I55" s="43">
        <f t="shared" si="8"/>
        <v>7.4499999999999997E-2</v>
      </c>
      <c r="J55" s="43">
        <f t="shared" si="6"/>
        <v>0.8441558441558431</v>
      </c>
      <c r="K55" s="43">
        <f t="shared" si="7"/>
        <v>0.32467532467532501</v>
      </c>
    </row>
    <row r="56" spans="1:11" x14ac:dyDescent="0.2">
      <c r="A56" s="44">
        <v>8</v>
      </c>
      <c r="B56">
        <v>5.8000000000000003E-2</v>
      </c>
      <c r="C56">
        <v>5.8000000000000003E-2</v>
      </c>
      <c r="D56" s="43">
        <f t="shared" si="2"/>
        <v>5.8000000000000003E-2</v>
      </c>
      <c r="E56" s="43">
        <f t="shared" si="3"/>
        <v>0.7014925373134332</v>
      </c>
      <c r="F56" s="43">
        <f t="shared" si="4"/>
        <v>0.29850746268656736</v>
      </c>
      <c r="H56">
        <v>7.3999999999999996E-2</v>
      </c>
      <c r="I56" s="43">
        <f t="shared" si="8"/>
        <v>7.3999999999999996E-2</v>
      </c>
      <c r="J56" s="43">
        <f t="shared" si="6"/>
        <v>0.77922077922077804</v>
      </c>
      <c r="K56" s="43">
        <f t="shared" si="7"/>
        <v>0.25974025974025994</v>
      </c>
    </row>
    <row r="57" spans="1:11" x14ac:dyDescent="0.2">
      <c r="A57" s="44">
        <v>9</v>
      </c>
      <c r="B57">
        <v>5.8000000000000003E-2</v>
      </c>
      <c r="C57">
        <v>5.7000000000000002E-2</v>
      </c>
      <c r="D57" s="43">
        <f t="shared" si="2"/>
        <v>5.7500000000000002E-2</v>
      </c>
      <c r="E57" s="43">
        <f t="shared" si="3"/>
        <v>0.62686567164179141</v>
      </c>
      <c r="F57" s="43">
        <f t="shared" si="4"/>
        <v>0.22388059701492558</v>
      </c>
      <c r="G57">
        <v>7.3999999999999996E-2</v>
      </c>
      <c r="H57">
        <v>7.1999999999999995E-2</v>
      </c>
      <c r="I57" s="43">
        <f t="shared" si="8"/>
        <v>7.2999999999999995E-2</v>
      </c>
      <c r="J57" s="43">
        <f t="shared" si="6"/>
        <v>0.64935064935064812</v>
      </c>
      <c r="K57" s="43">
        <f t="shared" si="7"/>
        <v>0.12987012987013002</v>
      </c>
    </row>
    <row r="58" spans="1:11" x14ac:dyDescent="0.2">
      <c r="A58" s="44">
        <v>10</v>
      </c>
      <c r="B58">
        <v>0.06</v>
      </c>
      <c r="C58">
        <v>5.8999999999999997E-2</v>
      </c>
      <c r="D58" s="43">
        <f t="shared" si="2"/>
        <v>5.9499999999999997E-2</v>
      </c>
      <c r="E58" s="43">
        <f t="shared" si="3"/>
        <v>0.92537313432835777</v>
      </c>
      <c r="F58" s="43">
        <f t="shared" si="4"/>
        <v>0.52238805970149194</v>
      </c>
      <c r="G58">
        <v>7.3999999999999996E-2</v>
      </c>
      <c r="H58">
        <v>7.2999999999999995E-2</v>
      </c>
      <c r="I58" s="43">
        <f t="shared" si="8"/>
        <v>7.3499999999999996E-2</v>
      </c>
      <c r="J58" s="43">
        <f t="shared" si="6"/>
        <v>0.71428571428571308</v>
      </c>
      <c r="K58" s="43">
        <f t="shared" si="7"/>
        <v>0.19480519480519498</v>
      </c>
    </row>
    <row r="59" spans="1:11" x14ac:dyDescent="0.2">
      <c r="A59" s="44">
        <v>11</v>
      </c>
      <c r="B59">
        <v>6.0999999999999999E-2</v>
      </c>
      <c r="C59">
        <v>0.06</v>
      </c>
      <c r="D59" s="43">
        <f t="shared" si="2"/>
        <v>6.0499999999999998E-2</v>
      </c>
      <c r="E59" s="43">
        <f t="shared" si="3"/>
        <v>1.0746268656716416</v>
      </c>
      <c r="F59" s="43">
        <f t="shared" si="4"/>
        <v>0.67164179104477573</v>
      </c>
      <c r="G59">
        <v>7.6999999999999999E-2</v>
      </c>
      <c r="H59">
        <v>7.4999999999999997E-2</v>
      </c>
      <c r="I59" s="43">
        <f t="shared" si="8"/>
        <v>7.5999999999999998E-2</v>
      </c>
      <c r="J59" s="43">
        <f t="shared" si="6"/>
        <v>1.038961038961038</v>
      </c>
      <c r="K59" s="43">
        <f t="shared" si="7"/>
        <v>0.51948051948051988</v>
      </c>
    </row>
    <row r="60" spans="1:11" x14ac:dyDescent="0.2">
      <c r="A60" s="44">
        <v>12</v>
      </c>
      <c r="B60">
        <v>6.2E-2</v>
      </c>
      <c r="C60">
        <v>0.06</v>
      </c>
      <c r="D60" s="43">
        <f t="shared" si="2"/>
        <v>6.0999999999999999E-2</v>
      </c>
      <c r="E60" s="43">
        <f t="shared" si="3"/>
        <v>1.1492537313432833</v>
      </c>
      <c r="F60" s="43">
        <f t="shared" si="4"/>
        <v>0.74626865671641751</v>
      </c>
      <c r="H60">
        <v>7.3999999999999996E-2</v>
      </c>
      <c r="I60" s="43">
        <f t="shared" si="8"/>
        <v>7.3999999999999996E-2</v>
      </c>
      <c r="J60" s="43">
        <f t="shared" si="6"/>
        <v>0.77922077922077804</v>
      </c>
      <c r="K60" s="43">
        <f t="shared" si="7"/>
        <v>0.25974025974025994</v>
      </c>
    </row>
    <row r="61" spans="1:11" x14ac:dyDescent="0.2">
      <c r="A61" s="44">
        <v>13</v>
      </c>
      <c r="B61">
        <v>5.7000000000000002E-2</v>
      </c>
      <c r="C61">
        <v>0.06</v>
      </c>
      <c r="D61" s="43">
        <f t="shared" si="2"/>
        <v>5.8499999999999996E-2</v>
      </c>
      <c r="E61" s="43">
        <f t="shared" si="3"/>
        <v>0.77611940298507409</v>
      </c>
      <c r="F61" s="43">
        <f t="shared" si="4"/>
        <v>0.37313432835820826</v>
      </c>
      <c r="G61">
        <v>7.3999999999999996E-2</v>
      </c>
      <c r="H61">
        <v>7.5999999999999998E-2</v>
      </c>
      <c r="I61" s="43">
        <f t="shared" si="5"/>
        <v>7.4999999999999997E-2</v>
      </c>
      <c r="J61" s="43">
        <f t="shared" si="6"/>
        <v>0.90909090909090806</v>
      </c>
      <c r="K61" s="43">
        <f t="shared" si="7"/>
        <v>0.38961038961038996</v>
      </c>
    </row>
    <row r="62" spans="1:11" x14ac:dyDescent="0.2">
      <c r="A62" s="44">
        <v>14</v>
      </c>
      <c r="B62">
        <v>5.8000000000000003E-2</v>
      </c>
      <c r="C62">
        <v>5.8000000000000003E-2</v>
      </c>
      <c r="D62" s="43">
        <f t="shared" si="2"/>
        <v>5.8000000000000003E-2</v>
      </c>
      <c r="E62" s="43">
        <f t="shared" si="3"/>
        <v>0.7014925373134332</v>
      </c>
      <c r="F62" s="43">
        <f t="shared" si="4"/>
        <v>0.29850746268656736</v>
      </c>
      <c r="G62">
        <v>7.5999999999999998E-2</v>
      </c>
      <c r="H62">
        <v>7.6999999999999999E-2</v>
      </c>
      <c r="I62" s="43">
        <f t="shared" si="5"/>
        <v>7.6499999999999999E-2</v>
      </c>
      <c r="J62" s="43">
        <f t="shared" si="6"/>
        <v>1.103896103896103</v>
      </c>
      <c r="K62" s="43">
        <f t="shared" si="7"/>
        <v>0.58441558441558494</v>
      </c>
    </row>
    <row r="63" spans="1:11" x14ac:dyDescent="0.2">
      <c r="A63" s="44">
        <v>15</v>
      </c>
      <c r="B63">
        <v>5.8000000000000003E-2</v>
      </c>
      <c r="C63">
        <v>5.7000000000000002E-2</v>
      </c>
      <c r="D63" s="43">
        <f t="shared" si="2"/>
        <v>5.7500000000000002E-2</v>
      </c>
      <c r="E63" s="43">
        <f t="shared" si="3"/>
        <v>0.62686567164179141</v>
      </c>
      <c r="F63" s="43">
        <f t="shared" si="4"/>
        <v>0.22388059701492558</v>
      </c>
      <c r="G63">
        <v>7.3999999999999996E-2</v>
      </c>
      <c r="H63">
        <v>7.6999999999999999E-2</v>
      </c>
      <c r="I63" s="43">
        <f t="shared" si="5"/>
        <v>7.5499999999999998E-2</v>
      </c>
      <c r="J63" s="43">
        <f t="shared" si="6"/>
        <v>0.97402597402597302</v>
      </c>
      <c r="K63" s="43">
        <f t="shared" si="7"/>
        <v>0.45454545454545492</v>
      </c>
    </row>
    <row r="64" spans="1:11" x14ac:dyDescent="0.2">
      <c r="A64" s="44">
        <v>16</v>
      </c>
      <c r="B64">
        <v>5.8000000000000003E-2</v>
      </c>
      <c r="C64">
        <v>5.7000000000000002E-2</v>
      </c>
      <c r="D64" s="43">
        <f t="shared" si="2"/>
        <v>5.7500000000000002E-2</v>
      </c>
      <c r="E64" s="43">
        <f t="shared" si="3"/>
        <v>0.62686567164179141</v>
      </c>
      <c r="F64" s="43">
        <f t="shared" si="4"/>
        <v>0.22388059701492558</v>
      </c>
      <c r="G64">
        <v>8.2000000000000003E-2</v>
      </c>
      <c r="H64">
        <v>8.2000000000000003E-2</v>
      </c>
      <c r="I64" s="43">
        <f t="shared" si="5"/>
        <v>8.2000000000000003E-2</v>
      </c>
      <c r="J64" s="43">
        <f t="shared" si="6"/>
        <v>1.8181818181818179</v>
      </c>
      <c r="K64" s="43">
        <f t="shared" si="7"/>
        <v>1.2987012987012998</v>
      </c>
    </row>
    <row r="65" spans="1:11" x14ac:dyDescent="0.2">
      <c r="A65" s="44">
        <v>17</v>
      </c>
      <c r="B65">
        <v>5.8000000000000003E-2</v>
      </c>
      <c r="C65">
        <v>5.7000000000000002E-2</v>
      </c>
      <c r="D65" s="43">
        <f t="shared" si="2"/>
        <v>5.7500000000000002E-2</v>
      </c>
      <c r="E65" s="43">
        <f t="shared" si="3"/>
        <v>0.62686567164179141</v>
      </c>
      <c r="F65" s="43">
        <f t="shared" si="4"/>
        <v>0.22388059701492558</v>
      </c>
      <c r="G65">
        <v>9.9000000000000005E-2</v>
      </c>
      <c r="H65">
        <v>0.10100000000000001</v>
      </c>
      <c r="I65" s="43">
        <f t="shared" si="5"/>
        <v>0.1</v>
      </c>
      <c r="J65" s="43">
        <f t="shared" si="6"/>
        <v>4.1558441558441555</v>
      </c>
      <c r="K65" s="43">
        <f t="shared" si="7"/>
        <v>3.6363636363636376</v>
      </c>
    </row>
    <row r="66" spans="1:11" x14ac:dyDescent="0.2">
      <c r="A66" s="44">
        <v>18</v>
      </c>
      <c r="B66">
        <v>5.8999999999999997E-2</v>
      </c>
      <c r="C66">
        <v>5.8000000000000003E-2</v>
      </c>
      <c r="D66" s="43">
        <f t="shared" si="2"/>
        <v>5.8499999999999996E-2</v>
      </c>
      <c r="E66" s="43">
        <f t="shared" si="3"/>
        <v>0.77611940298507409</v>
      </c>
      <c r="F66" s="43">
        <f t="shared" si="4"/>
        <v>0.37313432835820826</v>
      </c>
      <c r="G66">
        <v>0.114</v>
      </c>
      <c r="H66">
        <v>0.11600000000000001</v>
      </c>
      <c r="I66" s="43">
        <f t="shared" si="5"/>
        <v>0.115</v>
      </c>
      <c r="J66" s="43">
        <f t="shared" si="6"/>
        <v>6.1038961038961039</v>
      </c>
      <c r="K66" s="43">
        <f t="shared" si="7"/>
        <v>5.5844155844155861</v>
      </c>
    </row>
    <row r="67" spans="1:11" x14ac:dyDescent="0.2">
      <c r="A67" s="44">
        <v>19</v>
      </c>
      <c r="B67">
        <v>5.8999999999999997E-2</v>
      </c>
      <c r="C67">
        <v>5.7000000000000002E-2</v>
      </c>
      <c r="D67" s="43">
        <f t="shared" si="2"/>
        <v>5.7999999999999996E-2</v>
      </c>
      <c r="E67" s="43">
        <f t="shared" si="3"/>
        <v>0.7014925373134322</v>
      </c>
      <c r="F67" s="43">
        <f t="shared" si="4"/>
        <v>0.29850746268656636</v>
      </c>
      <c r="G67">
        <v>9.8000000000000004E-2</v>
      </c>
      <c r="H67">
        <v>9.8000000000000004E-2</v>
      </c>
      <c r="I67" s="43">
        <f t="shared" si="5"/>
        <v>9.8000000000000004E-2</v>
      </c>
      <c r="J67" s="43">
        <f t="shared" si="6"/>
        <v>3.8961038961038956</v>
      </c>
      <c r="K67" s="43">
        <f t="shared" si="7"/>
        <v>3.3766233766233773</v>
      </c>
    </row>
    <row r="68" spans="1:11" x14ac:dyDescent="0.2">
      <c r="A68" s="44">
        <v>20</v>
      </c>
      <c r="B68">
        <v>5.8000000000000003E-2</v>
      </c>
      <c r="D68" s="43">
        <f t="shared" si="2"/>
        <v>5.8000000000000003E-2</v>
      </c>
      <c r="E68" s="43">
        <f t="shared" si="3"/>
        <v>0.7014925373134332</v>
      </c>
      <c r="F68" s="43">
        <f t="shared" si="4"/>
        <v>0.29850746268656736</v>
      </c>
      <c r="G68">
        <v>8.1000000000000003E-2</v>
      </c>
      <c r="H68">
        <v>8.3000000000000004E-2</v>
      </c>
      <c r="I68" s="43">
        <f t="shared" si="5"/>
        <v>8.2000000000000003E-2</v>
      </c>
      <c r="J68" s="43">
        <f t="shared" si="6"/>
        <v>1.8181818181818179</v>
      </c>
      <c r="K68" s="43">
        <f t="shared" si="7"/>
        <v>1.2987012987012998</v>
      </c>
    </row>
    <row r="69" spans="1:11" x14ac:dyDescent="0.2">
      <c r="A69" s="44">
        <v>21</v>
      </c>
      <c r="B69">
        <v>5.8000000000000003E-2</v>
      </c>
      <c r="C69">
        <v>5.7000000000000002E-2</v>
      </c>
      <c r="D69" s="43">
        <f t="shared" si="2"/>
        <v>5.7500000000000002E-2</v>
      </c>
      <c r="E69" s="43">
        <f t="shared" si="3"/>
        <v>0.62686567164179141</v>
      </c>
      <c r="F69" s="43">
        <f t="shared" si="4"/>
        <v>0.22388059701492558</v>
      </c>
      <c r="G69">
        <v>7.5999999999999998E-2</v>
      </c>
      <c r="H69">
        <v>7.5999999999999998E-2</v>
      </c>
      <c r="I69" s="43">
        <f t="shared" si="5"/>
        <v>7.5999999999999998E-2</v>
      </c>
      <c r="J69" s="43">
        <f t="shared" si="6"/>
        <v>1.038961038961038</v>
      </c>
      <c r="K69" s="43">
        <f t="shared" si="7"/>
        <v>0.51948051948051988</v>
      </c>
    </row>
    <row r="70" spans="1:11" x14ac:dyDescent="0.2">
      <c r="A70" s="44">
        <v>22</v>
      </c>
      <c r="B70">
        <v>5.8000000000000003E-2</v>
      </c>
      <c r="C70">
        <v>5.8000000000000003E-2</v>
      </c>
      <c r="D70" s="43">
        <f t="shared" si="2"/>
        <v>5.8000000000000003E-2</v>
      </c>
      <c r="E70" s="43">
        <f t="shared" si="3"/>
        <v>0.7014925373134332</v>
      </c>
      <c r="F70" s="43">
        <f t="shared" si="4"/>
        <v>0.29850746268656736</v>
      </c>
      <c r="G70">
        <v>7.2999999999999995E-2</v>
      </c>
      <c r="H70">
        <v>7.2999999999999995E-2</v>
      </c>
      <c r="I70" s="43">
        <f t="shared" si="5"/>
        <v>7.2999999999999995E-2</v>
      </c>
      <c r="J70" s="43">
        <f t="shared" si="6"/>
        <v>0.64935064935064812</v>
      </c>
      <c r="K70" s="43">
        <f t="shared" si="7"/>
        <v>0.12987012987013002</v>
      </c>
    </row>
    <row r="71" spans="1:11" x14ac:dyDescent="0.2">
      <c r="A71" s="44">
        <v>23</v>
      </c>
      <c r="B71">
        <v>5.8000000000000003E-2</v>
      </c>
      <c r="C71">
        <v>5.7000000000000002E-2</v>
      </c>
      <c r="D71" s="43">
        <f t="shared" si="2"/>
        <v>5.7500000000000002E-2</v>
      </c>
      <c r="E71" s="43">
        <f t="shared" si="3"/>
        <v>0.62686567164179141</v>
      </c>
      <c r="F71" s="43">
        <f t="shared" si="4"/>
        <v>0.22388059701492558</v>
      </c>
      <c r="G71">
        <v>7.2999999999999995E-2</v>
      </c>
      <c r="H71">
        <v>7.2999999999999995E-2</v>
      </c>
      <c r="I71" s="43">
        <f t="shared" si="5"/>
        <v>7.2999999999999995E-2</v>
      </c>
      <c r="J71" s="43">
        <f t="shared" si="6"/>
        <v>0.64935064935064812</v>
      </c>
      <c r="K71" s="43">
        <f t="shared" si="7"/>
        <v>0.12987012987013002</v>
      </c>
    </row>
    <row r="72" spans="1:11" x14ac:dyDescent="0.2">
      <c r="A72" s="44">
        <v>24</v>
      </c>
      <c r="B72">
        <v>5.8000000000000003E-2</v>
      </c>
      <c r="C72">
        <v>5.6000000000000001E-2</v>
      </c>
      <c r="D72" s="43">
        <f t="shared" si="2"/>
        <v>5.7000000000000002E-2</v>
      </c>
      <c r="E72" s="43">
        <f t="shared" si="3"/>
        <v>0.55223880597014952</v>
      </c>
      <c r="F72" s="43">
        <f t="shared" si="4"/>
        <v>0.14925373134328368</v>
      </c>
      <c r="G72">
        <v>7.2999999999999995E-2</v>
      </c>
      <c r="H72">
        <v>7.0000000000000007E-2</v>
      </c>
      <c r="I72" s="43">
        <f t="shared" si="5"/>
        <v>7.1500000000000008E-2</v>
      </c>
      <c r="J72" s="43">
        <f t="shared" si="6"/>
        <v>0.45454545454545492</v>
      </c>
      <c r="K72" s="43">
        <f t="shared" si="7"/>
        <v>-6.493506493506318E-2</v>
      </c>
    </row>
    <row r="73" spans="1:11" x14ac:dyDescent="0.2">
      <c r="A73" s="44">
        <v>25</v>
      </c>
      <c r="B73">
        <v>5.7000000000000002E-2</v>
      </c>
      <c r="C73">
        <v>5.8999999999999997E-2</v>
      </c>
      <c r="D73" s="43">
        <f t="shared" si="2"/>
        <v>5.7999999999999996E-2</v>
      </c>
      <c r="E73" s="43">
        <f t="shared" si="3"/>
        <v>0.7014925373134322</v>
      </c>
      <c r="F73" s="43">
        <f t="shared" si="4"/>
        <v>0.29850746268656636</v>
      </c>
      <c r="G73">
        <v>7.0999999999999994E-2</v>
      </c>
      <c r="H73">
        <v>7.3999999999999996E-2</v>
      </c>
      <c r="I73" s="43">
        <f t="shared" si="5"/>
        <v>7.2499999999999995E-2</v>
      </c>
      <c r="J73" s="43">
        <f t="shared" si="6"/>
        <v>0.58441558441558317</v>
      </c>
      <c r="K73" s="43">
        <f t="shared" si="7"/>
        <v>6.4935064935065068E-2</v>
      </c>
    </row>
    <row r="74" spans="1:11" x14ac:dyDescent="0.2">
      <c r="A74" s="44">
        <v>26</v>
      </c>
      <c r="B74">
        <v>0.06</v>
      </c>
      <c r="C74">
        <v>5.8999999999999997E-2</v>
      </c>
      <c r="D74" s="43">
        <f t="shared" si="2"/>
        <v>5.9499999999999997E-2</v>
      </c>
      <c r="E74" s="43">
        <f t="shared" si="3"/>
        <v>0.92537313432835777</v>
      </c>
      <c r="F74" s="43">
        <f t="shared" si="4"/>
        <v>0.52238805970149194</v>
      </c>
      <c r="G74">
        <v>7.2999999999999995E-2</v>
      </c>
      <c r="H74">
        <v>7.3999999999999996E-2</v>
      </c>
      <c r="I74" s="43">
        <f t="shared" si="5"/>
        <v>7.3499999999999996E-2</v>
      </c>
      <c r="J74" s="43">
        <f t="shared" si="6"/>
        <v>0.71428571428571308</v>
      </c>
      <c r="K74" s="43">
        <f t="shared" si="7"/>
        <v>0.19480519480519498</v>
      </c>
    </row>
    <row r="75" spans="1:11" x14ac:dyDescent="0.2">
      <c r="A75" s="44">
        <v>27</v>
      </c>
      <c r="B75">
        <v>6.9000000000000006E-2</v>
      </c>
      <c r="C75">
        <v>6.9000000000000006E-2</v>
      </c>
      <c r="D75" s="43">
        <f t="shared" si="2"/>
        <v>6.9000000000000006E-2</v>
      </c>
      <c r="E75" s="43">
        <f t="shared" si="3"/>
        <v>2.343283582089553</v>
      </c>
      <c r="F75" s="43">
        <f t="shared" si="4"/>
        <v>1.9402985074626873</v>
      </c>
      <c r="G75">
        <v>7.0999999999999994E-2</v>
      </c>
      <c r="H75">
        <v>7.3999999999999996E-2</v>
      </c>
      <c r="I75" s="43">
        <f t="shared" si="5"/>
        <v>7.2499999999999995E-2</v>
      </c>
      <c r="J75" s="43">
        <f t="shared" si="6"/>
        <v>0.58441558441558317</v>
      </c>
      <c r="K75" s="43">
        <f t="shared" si="7"/>
        <v>6.4935064935065068E-2</v>
      </c>
    </row>
    <row r="76" spans="1:11" x14ac:dyDescent="0.2">
      <c r="A76" s="44">
        <v>28</v>
      </c>
      <c r="B76">
        <v>8.5000000000000006E-2</v>
      </c>
      <c r="C76">
        <v>8.5000000000000006E-2</v>
      </c>
      <c r="D76" s="43">
        <f t="shared" si="2"/>
        <v>8.5000000000000006E-2</v>
      </c>
      <c r="E76" s="43">
        <f t="shared" si="3"/>
        <v>4.7313432835820901</v>
      </c>
      <c r="F76" s="43">
        <f t="shared" si="4"/>
        <v>4.3283582089552244</v>
      </c>
      <c r="G76">
        <v>7.1999999999999995E-2</v>
      </c>
      <c r="H76">
        <v>7.1999999999999995E-2</v>
      </c>
      <c r="I76" s="43">
        <f t="shared" si="5"/>
        <v>7.1999999999999995E-2</v>
      </c>
      <c r="J76" s="43">
        <f t="shared" si="6"/>
        <v>0.5194805194805181</v>
      </c>
      <c r="K76" s="43">
        <f t="shared" si="7"/>
        <v>0</v>
      </c>
    </row>
    <row r="77" spans="1:11" x14ac:dyDescent="0.2">
      <c r="A77" s="44">
        <v>29</v>
      </c>
      <c r="B77">
        <v>7.1999999999999995E-2</v>
      </c>
      <c r="C77">
        <v>7.1999999999999995E-2</v>
      </c>
      <c r="D77" s="43">
        <f t="shared" si="2"/>
        <v>7.1999999999999995E-2</v>
      </c>
      <c r="E77" s="43">
        <f t="shared" si="3"/>
        <v>2.7910447761194019</v>
      </c>
      <c r="F77" s="43">
        <f t="shared" si="4"/>
        <v>2.3880597014925362</v>
      </c>
      <c r="G77">
        <v>7.1999999999999995E-2</v>
      </c>
      <c r="H77">
        <v>7.2999999999999995E-2</v>
      </c>
      <c r="I77" s="43">
        <f t="shared" si="5"/>
        <v>7.2499999999999995E-2</v>
      </c>
      <c r="J77" s="43">
        <f t="shared" si="6"/>
        <v>0.58441558441558317</v>
      </c>
      <c r="K77" s="43">
        <f t="shared" si="7"/>
        <v>6.4935064935065068E-2</v>
      </c>
    </row>
    <row r="78" spans="1:11" x14ac:dyDescent="0.2">
      <c r="A78" s="44">
        <v>30</v>
      </c>
      <c r="B78">
        <v>6.2E-2</v>
      </c>
      <c r="C78">
        <v>6.7000000000000004E-2</v>
      </c>
      <c r="D78" s="43">
        <f t="shared" si="2"/>
        <v>6.4500000000000002E-2</v>
      </c>
      <c r="E78" s="43">
        <f t="shared" si="3"/>
        <v>1.6716417910447763</v>
      </c>
      <c r="F78" s="43">
        <f t="shared" si="4"/>
        <v>1.2686567164179103</v>
      </c>
      <c r="G78">
        <v>7.1999999999999995E-2</v>
      </c>
      <c r="H78">
        <v>7.2999999999999995E-2</v>
      </c>
      <c r="I78" s="43">
        <f t="shared" si="5"/>
        <v>7.2499999999999995E-2</v>
      </c>
      <c r="J78" s="43">
        <f t="shared" si="6"/>
        <v>0.58441558441558317</v>
      </c>
      <c r="K78" s="43">
        <f t="shared" si="7"/>
        <v>6.4935064935065068E-2</v>
      </c>
    </row>
  </sheetData>
  <mergeCells count="1">
    <mergeCell ref="A4:K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T85"/>
  <sheetViews>
    <sheetView topLeftCell="A45" workbookViewId="0">
      <selection activeCell="G66" sqref="G66"/>
    </sheetView>
  </sheetViews>
  <sheetFormatPr baseColWidth="10" defaultColWidth="9.1640625" defaultRowHeight="15" x14ac:dyDescent="0.2"/>
  <sheetData>
    <row r="4" spans="2:20" ht="19" x14ac:dyDescent="0.25">
      <c r="B4" s="52" t="s">
        <v>20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45"/>
      <c r="N4" s="45"/>
      <c r="O4" s="45"/>
      <c r="P4" s="45"/>
    </row>
    <row r="6" spans="2:20" x14ac:dyDescent="0.2">
      <c r="B6" s="1" t="s">
        <v>2</v>
      </c>
      <c r="C6" s="1"/>
      <c r="D6" s="1"/>
      <c r="P6" s="1" t="s">
        <v>3</v>
      </c>
      <c r="Q6" s="1"/>
    </row>
    <row r="7" spans="2:20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P7" s="3"/>
      <c r="Q7" s="4" t="s">
        <v>4</v>
      </c>
      <c r="R7" s="4" t="s">
        <v>5</v>
      </c>
      <c r="S7" s="4" t="s">
        <v>6</v>
      </c>
      <c r="T7" s="4" t="s">
        <v>7</v>
      </c>
    </row>
    <row r="8" spans="2:20" x14ac:dyDescent="0.2">
      <c r="B8">
        <v>5.7000000000000002E-2</v>
      </c>
      <c r="C8">
        <v>5.7000000000000002E-2</v>
      </c>
      <c r="D8">
        <v>6.2E-2</v>
      </c>
      <c r="E8">
        <v>6.9000000000000006E-2</v>
      </c>
      <c r="F8">
        <v>8.3000000000000004E-2</v>
      </c>
      <c r="G8">
        <v>0.113</v>
      </c>
      <c r="H8">
        <v>0.14399999999999999</v>
      </c>
      <c r="I8">
        <v>9.7000000000000003E-2</v>
      </c>
      <c r="J8">
        <v>9.9000000000000005E-2</v>
      </c>
      <c r="K8">
        <v>9.4E-2</v>
      </c>
      <c r="L8">
        <v>8.8999999999999996E-2</v>
      </c>
      <c r="M8">
        <v>0.09</v>
      </c>
      <c r="N8" s="14" t="s">
        <v>8</v>
      </c>
      <c r="P8" s="3" t="s">
        <v>9</v>
      </c>
      <c r="Q8" s="3">
        <f>B8</f>
        <v>5.7000000000000002E-2</v>
      </c>
      <c r="R8" s="3">
        <f>B9</f>
        <v>5.6000000000000001E-2</v>
      </c>
      <c r="S8" s="3">
        <f>AVERAGE(Q8:R8)</f>
        <v>5.6500000000000002E-2</v>
      </c>
      <c r="T8" s="3">
        <v>0</v>
      </c>
    </row>
    <row r="9" spans="2:20" x14ac:dyDescent="0.2">
      <c r="B9">
        <v>5.6000000000000001E-2</v>
      </c>
      <c r="C9">
        <v>5.6000000000000001E-2</v>
      </c>
      <c r="D9">
        <v>6.0999999999999999E-2</v>
      </c>
      <c r="E9">
        <v>7.0000000000000007E-2</v>
      </c>
      <c r="F9">
        <v>8.5999999999999993E-2</v>
      </c>
      <c r="G9">
        <v>0.11700000000000001</v>
      </c>
      <c r="H9">
        <v>0.151</v>
      </c>
      <c r="I9">
        <v>9.6000000000000002E-2</v>
      </c>
      <c r="J9">
        <v>9.8000000000000004E-2</v>
      </c>
      <c r="K9">
        <v>9.2999999999999999E-2</v>
      </c>
      <c r="L9">
        <v>8.8999999999999996E-2</v>
      </c>
      <c r="M9">
        <v>8.8999999999999996E-2</v>
      </c>
      <c r="N9" s="14"/>
      <c r="P9" s="3" t="s">
        <v>10</v>
      </c>
      <c r="Q9" s="3">
        <f>C8</f>
        <v>5.7000000000000002E-2</v>
      </c>
      <c r="R9" s="3">
        <f>C9</f>
        <v>5.6000000000000001E-2</v>
      </c>
      <c r="S9" s="3">
        <f t="shared" ref="S9:S14" si="0">AVERAGE(Q9:R9)</f>
        <v>5.6500000000000002E-2</v>
      </c>
      <c r="T9" s="3">
        <v>0.6</v>
      </c>
    </row>
    <row r="10" spans="2:20" x14ac:dyDescent="0.2">
      <c r="B10">
        <v>9.1999999999999998E-2</v>
      </c>
      <c r="C10">
        <v>9.7000000000000003E-2</v>
      </c>
      <c r="D10">
        <v>9.4E-2</v>
      </c>
      <c r="E10">
        <v>9.2999999999999999E-2</v>
      </c>
      <c r="F10">
        <v>8.4000000000000005E-2</v>
      </c>
      <c r="G10">
        <v>8.5000000000000006E-2</v>
      </c>
      <c r="H10">
        <v>8.7999999999999995E-2</v>
      </c>
      <c r="I10">
        <v>9.6000000000000002E-2</v>
      </c>
      <c r="J10">
        <v>0.09</v>
      </c>
      <c r="K10">
        <v>0.124</v>
      </c>
      <c r="L10">
        <v>9.6000000000000002E-2</v>
      </c>
      <c r="M10">
        <v>0.105</v>
      </c>
      <c r="N10" s="14"/>
      <c r="P10" s="3" t="s">
        <v>11</v>
      </c>
      <c r="Q10" s="3">
        <f>D8</f>
        <v>6.2E-2</v>
      </c>
      <c r="R10" s="3">
        <f>D9</f>
        <v>6.0999999999999999E-2</v>
      </c>
      <c r="S10" s="3">
        <f t="shared" si="0"/>
        <v>6.1499999999999999E-2</v>
      </c>
      <c r="T10" s="3">
        <v>1.5</v>
      </c>
    </row>
    <row r="11" spans="2:20" x14ac:dyDescent="0.2">
      <c r="B11">
        <v>9.0999999999999998E-2</v>
      </c>
      <c r="C11">
        <v>9.6000000000000002E-2</v>
      </c>
      <c r="D11">
        <v>9.2999999999999999E-2</v>
      </c>
      <c r="E11">
        <v>9.2999999999999999E-2</v>
      </c>
      <c r="F11">
        <v>8.4000000000000005E-2</v>
      </c>
      <c r="G11">
        <v>8.5999999999999993E-2</v>
      </c>
      <c r="H11">
        <v>8.7999999999999995E-2</v>
      </c>
      <c r="I11">
        <v>9.5000000000000001E-2</v>
      </c>
      <c r="J11">
        <v>9.0999999999999998E-2</v>
      </c>
      <c r="K11">
        <v>0.125</v>
      </c>
      <c r="L11">
        <v>9.5000000000000001E-2</v>
      </c>
      <c r="M11">
        <v>0.104</v>
      </c>
      <c r="N11" s="14"/>
      <c r="P11" s="3" t="s">
        <v>12</v>
      </c>
      <c r="Q11" s="3">
        <f>E8</f>
        <v>6.9000000000000006E-2</v>
      </c>
      <c r="R11" s="3">
        <f>E9</f>
        <v>7.0000000000000007E-2</v>
      </c>
      <c r="S11" s="3">
        <f t="shared" si="0"/>
        <v>6.9500000000000006E-2</v>
      </c>
      <c r="T11" s="3">
        <v>3</v>
      </c>
    </row>
    <row r="12" spans="2:20" x14ac:dyDescent="0.2">
      <c r="B12">
        <v>9.9000000000000005E-2</v>
      </c>
      <c r="C12">
        <v>7.0999999999999994E-2</v>
      </c>
      <c r="D12">
        <v>0.08</v>
      </c>
      <c r="E12">
        <v>8.5000000000000006E-2</v>
      </c>
      <c r="F12">
        <v>7.4999999999999997E-2</v>
      </c>
      <c r="G12">
        <v>9.0999999999999998E-2</v>
      </c>
      <c r="H12">
        <v>8.8999999999999996E-2</v>
      </c>
      <c r="I12">
        <v>8.1000000000000003E-2</v>
      </c>
      <c r="J12">
        <v>8.6999999999999994E-2</v>
      </c>
      <c r="K12">
        <v>7.1999999999999995E-2</v>
      </c>
      <c r="L12">
        <v>8.6999999999999994E-2</v>
      </c>
      <c r="M12">
        <v>0.08</v>
      </c>
      <c r="N12" s="14"/>
      <c r="P12" s="3" t="s">
        <v>13</v>
      </c>
      <c r="Q12" s="3">
        <f>F8</f>
        <v>8.3000000000000004E-2</v>
      </c>
      <c r="R12" s="3">
        <f>F9</f>
        <v>8.5999999999999993E-2</v>
      </c>
      <c r="S12" s="3">
        <f t="shared" si="0"/>
        <v>8.4499999999999992E-2</v>
      </c>
      <c r="T12" s="3">
        <v>4.5999999999999996</v>
      </c>
    </row>
    <row r="13" spans="2:20" x14ac:dyDescent="0.2">
      <c r="B13">
        <v>9.8000000000000004E-2</v>
      </c>
      <c r="C13">
        <v>7.2999999999999995E-2</v>
      </c>
      <c r="D13">
        <v>0.08</v>
      </c>
      <c r="E13">
        <v>8.5000000000000006E-2</v>
      </c>
      <c r="F13">
        <v>7.4999999999999997E-2</v>
      </c>
      <c r="G13">
        <v>0.09</v>
      </c>
      <c r="H13">
        <v>8.6999999999999994E-2</v>
      </c>
      <c r="I13">
        <v>0.08</v>
      </c>
      <c r="J13">
        <v>8.5999999999999993E-2</v>
      </c>
      <c r="K13">
        <v>7.1999999999999995E-2</v>
      </c>
      <c r="L13">
        <v>8.5999999999999993E-2</v>
      </c>
      <c r="M13">
        <v>7.6999999999999999E-2</v>
      </c>
      <c r="N13" s="14"/>
      <c r="P13" s="3" t="s">
        <v>14</v>
      </c>
      <c r="Q13" s="3"/>
      <c r="R13" s="3"/>
      <c r="S13" s="3"/>
      <c r="T13" s="3"/>
    </row>
    <row r="14" spans="2:20" x14ac:dyDescent="0.2">
      <c r="B14">
        <v>8.1000000000000003E-2</v>
      </c>
      <c r="C14">
        <v>7.4999999999999997E-2</v>
      </c>
      <c r="D14">
        <v>8.4000000000000005E-2</v>
      </c>
      <c r="E14">
        <v>8.5000000000000006E-2</v>
      </c>
      <c r="F14">
        <v>8.1000000000000003E-2</v>
      </c>
      <c r="G14">
        <v>9.4E-2</v>
      </c>
      <c r="H14">
        <v>7.8E-2</v>
      </c>
      <c r="I14">
        <v>7.6999999999999999E-2</v>
      </c>
      <c r="N14" s="14"/>
      <c r="P14" s="3" t="s">
        <v>15</v>
      </c>
      <c r="Q14" s="3">
        <f>H8</f>
        <v>0.14399999999999999</v>
      </c>
      <c r="R14" s="3">
        <f>H9</f>
        <v>0.151</v>
      </c>
      <c r="S14" s="3">
        <f t="shared" si="0"/>
        <v>0.14749999999999999</v>
      </c>
      <c r="T14" s="3">
        <v>18.600000000000001</v>
      </c>
    </row>
    <row r="15" spans="2:20" x14ac:dyDescent="0.2">
      <c r="B15">
        <v>8.3000000000000004E-2</v>
      </c>
      <c r="C15">
        <v>7.5999999999999998E-2</v>
      </c>
      <c r="D15">
        <v>8.4000000000000005E-2</v>
      </c>
      <c r="E15">
        <v>8.5000000000000006E-2</v>
      </c>
      <c r="F15">
        <v>8.1000000000000003E-2</v>
      </c>
      <c r="G15">
        <v>9.4E-2</v>
      </c>
      <c r="H15">
        <v>7.8E-2</v>
      </c>
      <c r="I15">
        <v>7.5999999999999998E-2</v>
      </c>
      <c r="N15" s="14"/>
    </row>
    <row r="16" spans="2:20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20" x14ac:dyDescent="0.2">
      <c r="B17" s="6"/>
      <c r="C17" s="6"/>
      <c r="D17" s="6"/>
      <c r="E17" s="6"/>
      <c r="F17" s="6"/>
      <c r="G17" s="6"/>
      <c r="H17" s="6"/>
      <c r="I17" s="15"/>
      <c r="J17" s="15"/>
      <c r="K17" s="15"/>
      <c r="L17" s="15"/>
      <c r="M17" s="15"/>
      <c r="N17" s="16" t="s">
        <v>0</v>
      </c>
    </row>
    <row r="18" spans="2:20" x14ac:dyDescent="0.2">
      <c r="B18" s="6"/>
      <c r="C18" s="6"/>
      <c r="D18" s="6"/>
      <c r="E18" s="6"/>
      <c r="F18" s="6"/>
      <c r="G18" s="6"/>
      <c r="H18" s="6"/>
      <c r="I18" s="15"/>
      <c r="J18" s="15"/>
      <c r="K18" s="15"/>
      <c r="L18" s="15"/>
      <c r="M18" s="15"/>
      <c r="N18" s="17"/>
    </row>
    <row r="19" spans="2:20" x14ac:dyDescent="0.2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7"/>
    </row>
    <row r="20" spans="2:20" x14ac:dyDescent="0.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/>
    </row>
    <row r="21" spans="2:20" x14ac:dyDescent="0.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18"/>
      <c r="N21" s="17"/>
    </row>
    <row r="22" spans="2:20" x14ac:dyDescent="0.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19"/>
      <c r="N22" s="17"/>
    </row>
    <row r="23" spans="2:20" x14ac:dyDescent="0.2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17"/>
    </row>
    <row r="24" spans="2:20" x14ac:dyDescent="0.2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6"/>
    </row>
    <row r="25" spans="2:20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20" x14ac:dyDescent="0.2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</row>
    <row r="27" spans="2:20" x14ac:dyDescent="0.2">
      <c r="B27">
        <v>7.0999999999999994E-2</v>
      </c>
      <c r="C27">
        <v>7.2999999999999995E-2</v>
      </c>
      <c r="D27">
        <v>7.5999999999999998E-2</v>
      </c>
      <c r="E27">
        <v>8.4000000000000005E-2</v>
      </c>
      <c r="F27">
        <v>9.5000000000000001E-2</v>
      </c>
      <c r="G27">
        <v>0.12</v>
      </c>
      <c r="H27">
        <v>0.158</v>
      </c>
      <c r="I27">
        <v>0.111</v>
      </c>
      <c r="J27">
        <v>0.11</v>
      </c>
      <c r="K27">
        <v>0.112</v>
      </c>
      <c r="L27">
        <v>0.111</v>
      </c>
      <c r="M27">
        <v>0.114</v>
      </c>
      <c r="N27" s="27" t="s">
        <v>16</v>
      </c>
    </row>
    <row r="28" spans="2:20" x14ac:dyDescent="0.2">
      <c r="B28">
        <v>7.1999999999999995E-2</v>
      </c>
      <c r="C28">
        <v>7.3999999999999996E-2</v>
      </c>
      <c r="D28">
        <v>7.6999999999999999E-2</v>
      </c>
      <c r="E28">
        <v>8.4000000000000005E-2</v>
      </c>
      <c r="F28">
        <v>9.7000000000000003E-2</v>
      </c>
      <c r="G28">
        <v>0.125</v>
      </c>
      <c r="H28">
        <v>0.161</v>
      </c>
      <c r="I28">
        <v>0.112</v>
      </c>
      <c r="J28">
        <v>0.11</v>
      </c>
      <c r="K28">
        <v>0.115</v>
      </c>
      <c r="L28">
        <v>0.112</v>
      </c>
      <c r="M28">
        <v>0.114</v>
      </c>
      <c r="N28" s="27"/>
      <c r="P28" s="1" t="s">
        <v>17</v>
      </c>
      <c r="Q28" s="1"/>
    </row>
    <row r="29" spans="2:20" x14ac:dyDescent="0.2">
      <c r="B29">
        <v>0.108</v>
      </c>
      <c r="C29">
        <v>0.10299999999999999</v>
      </c>
      <c r="D29">
        <v>0.11</v>
      </c>
      <c r="E29">
        <v>0.111</v>
      </c>
      <c r="F29">
        <v>0.10299999999999999</v>
      </c>
      <c r="G29">
        <v>0.108</v>
      </c>
      <c r="H29">
        <v>0.107</v>
      </c>
      <c r="I29">
        <v>0.111</v>
      </c>
      <c r="J29">
        <v>0.107</v>
      </c>
      <c r="K29">
        <v>0.114</v>
      </c>
      <c r="L29">
        <v>0.115</v>
      </c>
      <c r="M29">
        <v>0.106</v>
      </c>
      <c r="N29" s="27"/>
      <c r="P29" s="3"/>
      <c r="Q29" s="8" t="s">
        <v>4</v>
      </c>
      <c r="R29" s="8" t="s">
        <v>5</v>
      </c>
      <c r="S29" s="8" t="s">
        <v>6</v>
      </c>
      <c r="T29" s="8" t="s">
        <v>18</v>
      </c>
    </row>
    <row r="30" spans="2:20" x14ac:dyDescent="0.2">
      <c r="B30">
        <v>0.108</v>
      </c>
      <c r="C30">
        <v>0.104</v>
      </c>
      <c r="D30">
        <v>0.113</v>
      </c>
      <c r="E30">
        <v>0.112</v>
      </c>
      <c r="F30">
        <v>0.107</v>
      </c>
      <c r="G30">
        <v>0.11</v>
      </c>
      <c r="H30">
        <v>0.109</v>
      </c>
      <c r="I30">
        <v>0.114</v>
      </c>
      <c r="J30">
        <v>0.108</v>
      </c>
      <c r="K30">
        <v>0.11700000000000001</v>
      </c>
      <c r="L30">
        <v>0.115</v>
      </c>
      <c r="M30">
        <v>0.106</v>
      </c>
      <c r="N30" s="27"/>
      <c r="P30" s="3" t="s">
        <v>9</v>
      </c>
      <c r="Q30" s="3">
        <f>B27</f>
        <v>7.0999999999999994E-2</v>
      </c>
      <c r="R30" s="3">
        <f>B28</f>
        <v>7.1999999999999995E-2</v>
      </c>
      <c r="S30" s="3">
        <f>AVERAGE(Q30:R30)</f>
        <v>7.1499999999999994E-2</v>
      </c>
      <c r="T30" s="9">
        <v>0</v>
      </c>
    </row>
    <row r="31" spans="2:20" x14ac:dyDescent="0.2">
      <c r="B31">
        <v>0.112</v>
      </c>
      <c r="C31">
        <v>0.10100000000000001</v>
      </c>
      <c r="D31">
        <v>0.106</v>
      </c>
      <c r="E31">
        <v>0.106</v>
      </c>
      <c r="F31">
        <v>0.107</v>
      </c>
      <c r="G31">
        <v>0.114</v>
      </c>
      <c r="H31">
        <v>0.11</v>
      </c>
      <c r="I31">
        <v>0.113</v>
      </c>
      <c r="J31">
        <v>0.11899999999999999</v>
      </c>
      <c r="K31">
        <v>0.113</v>
      </c>
      <c r="L31">
        <v>0.107</v>
      </c>
      <c r="M31">
        <v>9.5000000000000001E-2</v>
      </c>
      <c r="N31" s="27"/>
      <c r="P31" s="3" t="s">
        <v>10</v>
      </c>
      <c r="Q31" s="3">
        <f>C27</f>
        <v>7.2999999999999995E-2</v>
      </c>
      <c r="R31" s="3">
        <f>C28</f>
        <v>7.3999999999999996E-2</v>
      </c>
      <c r="S31" s="3">
        <f>AVERAGE(Q31:R31)</f>
        <v>7.3499999999999996E-2</v>
      </c>
      <c r="T31" s="9">
        <v>0.5</v>
      </c>
    </row>
    <row r="32" spans="2:20" x14ac:dyDescent="0.2">
      <c r="B32">
        <v>0.113</v>
      </c>
      <c r="C32">
        <v>0.104</v>
      </c>
      <c r="D32">
        <v>0.112</v>
      </c>
      <c r="E32">
        <v>0.107</v>
      </c>
      <c r="F32">
        <v>0.11</v>
      </c>
      <c r="G32">
        <v>0.114</v>
      </c>
      <c r="H32">
        <v>0.11</v>
      </c>
      <c r="I32">
        <v>0.115</v>
      </c>
      <c r="J32">
        <v>0.121</v>
      </c>
      <c r="K32">
        <v>0.113</v>
      </c>
      <c r="L32">
        <v>0.107</v>
      </c>
      <c r="M32">
        <v>9.2999999999999999E-2</v>
      </c>
      <c r="N32" s="27"/>
      <c r="P32" s="3" t="s">
        <v>11</v>
      </c>
      <c r="Q32" s="3">
        <f>D27</f>
        <v>7.5999999999999998E-2</v>
      </c>
      <c r="R32" s="3">
        <f>D28</f>
        <v>7.6999999999999999E-2</v>
      </c>
      <c r="S32" s="3">
        <f t="shared" ref="S32:S36" si="1">AVERAGE(Q32:R32)</f>
        <v>7.6499999999999999E-2</v>
      </c>
      <c r="T32" s="9">
        <v>1.25</v>
      </c>
    </row>
    <row r="33" spans="2:20" x14ac:dyDescent="0.2">
      <c r="B33">
        <v>0.11</v>
      </c>
      <c r="C33">
        <v>0.105</v>
      </c>
      <c r="D33">
        <v>0.111</v>
      </c>
      <c r="E33">
        <v>0.10100000000000001</v>
      </c>
      <c r="F33">
        <v>9.8000000000000004E-2</v>
      </c>
      <c r="G33">
        <v>0.109</v>
      </c>
      <c r="H33">
        <v>0.10199999999999999</v>
      </c>
      <c r="I33">
        <v>0.10199999999999999</v>
      </c>
      <c r="N33" s="27"/>
      <c r="P33" s="3" t="s">
        <v>12</v>
      </c>
      <c r="Q33" s="3">
        <f>E27</f>
        <v>8.4000000000000005E-2</v>
      </c>
      <c r="R33" s="3">
        <f>E28</f>
        <v>8.4000000000000005E-2</v>
      </c>
      <c r="S33" s="3">
        <f>AVERAGE(Q33:R33)</f>
        <v>8.4000000000000005E-2</v>
      </c>
      <c r="T33" s="9">
        <v>2.5</v>
      </c>
    </row>
    <row r="34" spans="2:20" x14ac:dyDescent="0.2">
      <c r="B34">
        <v>0.112</v>
      </c>
      <c r="C34">
        <v>0.106</v>
      </c>
      <c r="D34">
        <v>0.115</v>
      </c>
      <c r="E34">
        <v>0.10100000000000001</v>
      </c>
      <c r="F34">
        <v>0.10199999999999999</v>
      </c>
      <c r="G34">
        <v>0.111</v>
      </c>
      <c r="H34">
        <v>0.10299999999999999</v>
      </c>
      <c r="I34">
        <v>0.10299999999999999</v>
      </c>
      <c r="N34" s="27"/>
      <c r="P34" s="3" t="s">
        <v>13</v>
      </c>
      <c r="Q34" s="3">
        <f>F27</f>
        <v>9.5000000000000001E-2</v>
      </c>
      <c r="R34" s="3">
        <f>F28</f>
        <v>9.7000000000000003E-2</v>
      </c>
      <c r="S34" s="3">
        <f t="shared" si="1"/>
        <v>9.6000000000000002E-2</v>
      </c>
      <c r="T34" s="9">
        <v>3.75</v>
      </c>
    </row>
    <row r="35" spans="2:20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P35" s="3" t="s">
        <v>14</v>
      </c>
      <c r="Q35" s="3"/>
      <c r="R35" s="3"/>
      <c r="S35" s="3"/>
      <c r="T35" s="9"/>
    </row>
    <row r="36" spans="2:20" x14ac:dyDescent="0.2">
      <c r="B36" s="6"/>
      <c r="C36" s="6"/>
      <c r="D36" s="6"/>
      <c r="E36" s="6"/>
      <c r="F36" s="6"/>
      <c r="G36" s="6"/>
      <c r="H36" s="6"/>
      <c r="I36" s="15"/>
      <c r="J36" s="15"/>
      <c r="K36" s="15"/>
      <c r="L36" s="15"/>
      <c r="M36" s="15"/>
      <c r="N36" s="28" t="s">
        <v>1</v>
      </c>
      <c r="P36" s="3" t="s">
        <v>15</v>
      </c>
      <c r="Q36" s="3">
        <f>H27</f>
        <v>0.158</v>
      </c>
      <c r="R36" s="3">
        <f>H28</f>
        <v>0.161</v>
      </c>
      <c r="S36" s="3">
        <f t="shared" si="1"/>
        <v>0.1595</v>
      </c>
      <c r="T36" s="9">
        <v>15</v>
      </c>
    </row>
    <row r="37" spans="2:20" x14ac:dyDescent="0.2">
      <c r="B37" s="6"/>
      <c r="C37" s="6"/>
      <c r="D37" s="6"/>
      <c r="E37" s="6"/>
      <c r="F37" s="6"/>
      <c r="G37" s="6"/>
      <c r="H37" s="6"/>
      <c r="I37" s="15"/>
      <c r="J37" s="15"/>
      <c r="K37" s="15"/>
      <c r="L37" s="15"/>
      <c r="M37" s="15"/>
      <c r="N37" s="29"/>
    </row>
    <row r="38" spans="2:20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9"/>
      <c r="O38" s="10"/>
      <c r="P38" s="10"/>
      <c r="Q38" s="10"/>
    </row>
    <row r="39" spans="2:20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9"/>
      <c r="O39" s="10"/>
      <c r="P39" s="10"/>
      <c r="Q39" s="10"/>
    </row>
    <row r="40" spans="2:20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18"/>
      <c r="N40" s="29"/>
      <c r="O40" s="10"/>
      <c r="P40" s="10"/>
      <c r="Q40" s="10"/>
    </row>
    <row r="41" spans="2:20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9"/>
      <c r="N41" s="29"/>
      <c r="O41" s="10"/>
      <c r="P41" s="10"/>
      <c r="Q41" s="10"/>
    </row>
    <row r="42" spans="2:20" x14ac:dyDescent="0.2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2"/>
      <c r="N42" s="29"/>
      <c r="O42" s="10"/>
      <c r="P42" s="10"/>
      <c r="Q42" s="10"/>
    </row>
    <row r="43" spans="2:20" x14ac:dyDescent="0.2"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36"/>
      <c r="O43" s="10"/>
      <c r="P43" s="10"/>
      <c r="Q43" s="10"/>
    </row>
    <row r="44" spans="2:20" x14ac:dyDescent="0.2">
      <c r="O44" s="10"/>
      <c r="P44" s="10"/>
      <c r="Q44" s="10"/>
    </row>
    <row r="45" spans="2:20" x14ac:dyDescent="0.2">
      <c r="B45" s="1" t="s">
        <v>19</v>
      </c>
      <c r="C45" s="1"/>
      <c r="D45" s="1"/>
      <c r="E45" s="1"/>
      <c r="F45" s="1"/>
      <c r="L45" s="11"/>
      <c r="M45" s="12"/>
      <c r="N45" s="12"/>
    </row>
    <row r="47" spans="2:20" x14ac:dyDescent="0.2">
      <c r="B47" s="37"/>
      <c r="C47" s="38" t="s">
        <v>0</v>
      </c>
      <c r="D47" s="38" t="s">
        <v>0</v>
      </c>
      <c r="E47" s="38" t="s">
        <v>0</v>
      </c>
      <c r="F47" s="38" t="s">
        <v>0</v>
      </c>
      <c r="G47" s="38" t="s">
        <v>0</v>
      </c>
      <c r="H47" s="39" t="s">
        <v>1</v>
      </c>
      <c r="I47" s="39" t="s">
        <v>1</v>
      </c>
      <c r="J47" s="39" t="s">
        <v>1</v>
      </c>
      <c r="K47" s="40" t="s">
        <v>1</v>
      </c>
      <c r="L47" s="40" t="s">
        <v>1</v>
      </c>
    </row>
    <row r="48" spans="2:20" x14ac:dyDescent="0.2">
      <c r="B48" s="37" t="s">
        <v>23</v>
      </c>
      <c r="C48" s="48" t="s">
        <v>4</v>
      </c>
      <c r="D48" s="48" t="s">
        <v>5</v>
      </c>
      <c r="E48" s="48" t="s">
        <v>6</v>
      </c>
      <c r="F48" s="48" t="s">
        <v>22</v>
      </c>
      <c r="G48" s="48" t="s">
        <v>67</v>
      </c>
      <c r="H48" s="48" t="s">
        <v>4</v>
      </c>
      <c r="I48" s="48" t="s">
        <v>5</v>
      </c>
      <c r="J48" s="48" t="s">
        <v>6</v>
      </c>
      <c r="K48" s="49" t="s">
        <v>22</v>
      </c>
      <c r="L48" s="48" t="s">
        <v>67</v>
      </c>
      <c r="N48" s="51" t="s">
        <v>0</v>
      </c>
      <c r="O48" s="51" t="s">
        <v>1</v>
      </c>
    </row>
    <row r="49" spans="1:15" x14ac:dyDescent="0.2">
      <c r="A49" s="53" t="s">
        <v>25</v>
      </c>
      <c r="B49" s="44" t="s">
        <v>34</v>
      </c>
      <c r="C49">
        <v>9.7000000000000003E-2</v>
      </c>
      <c r="D49">
        <v>9.6000000000000002E-2</v>
      </c>
      <c r="E49" s="43">
        <f>AVERAGE(C49:D49)</f>
        <v>9.6500000000000002E-2</v>
      </c>
      <c r="F49" s="43">
        <f>(E49-0.0558)/0.005</f>
        <v>8.14</v>
      </c>
      <c r="G49" s="43">
        <f>F49*25</f>
        <v>203.5</v>
      </c>
      <c r="H49">
        <v>0.111</v>
      </c>
      <c r="I49">
        <v>0.112</v>
      </c>
      <c r="J49" s="43">
        <f>AVERAGE(H49:I49)</f>
        <v>0.1115</v>
      </c>
      <c r="K49" s="43">
        <f>(J49-0.0707)/0.0059</f>
        <v>6.9152542372881358</v>
      </c>
      <c r="L49" s="43">
        <f>K49*25</f>
        <v>172.88135593220341</v>
      </c>
      <c r="N49" s="47">
        <f>AVERAGE(G49:G57)</f>
        <v>188.5</v>
      </c>
      <c r="O49" s="47">
        <f>AVERAGE(L49:L57)</f>
        <v>168.87947269303203</v>
      </c>
    </row>
    <row r="50" spans="1:15" x14ac:dyDescent="0.2">
      <c r="A50" s="53"/>
      <c r="B50" s="44" t="s">
        <v>35</v>
      </c>
      <c r="C50">
        <v>9.9000000000000005E-2</v>
      </c>
      <c r="D50">
        <v>9.8000000000000004E-2</v>
      </c>
      <c r="E50" s="43">
        <f t="shared" ref="E50:E85" si="2">AVERAGE(C50:D50)</f>
        <v>9.8500000000000004E-2</v>
      </c>
      <c r="F50" s="43">
        <f t="shared" ref="F50:F85" si="3">(E50-0.0558)/0.005</f>
        <v>8.5400000000000009</v>
      </c>
      <c r="G50" s="43">
        <f t="shared" ref="G50:G83" si="4">F50*25</f>
        <v>213.50000000000003</v>
      </c>
      <c r="H50">
        <v>0.11</v>
      </c>
      <c r="I50">
        <v>0.11</v>
      </c>
      <c r="J50" s="43">
        <f t="shared" ref="J50:J78" si="5">AVERAGE(H50:I50)</f>
        <v>0.11</v>
      </c>
      <c r="K50" s="43">
        <f t="shared" ref="K50:K85" si="6">(J50-0.0707)/0.0059</f>
        <v>6.6610169491525424</v>
      </c>
      <c r="L50" s="43">
        <f t="shared" ref="L50:L83" si="7">K50*25</f>
        <v>166.52542372881356</v>
      </c>
    </row>
    <row r="51" spans="1:15" x14ac:dyDescent="0.2">
      <c r="A51" s="53"/>
      <c r="B51" s="44" t="s">
        <v>36</v>
      </c>
      <c r="C51">
        <v>9.4E-2</v>
      </c>
      <c r="D51">
        <v>9.2999999999999999E-2</v>
      </c>
      <c r="E51" s="43">
        <f t="shared" si="2"/>
        <v>9.35E-2</v>
      </c>
      <c r="F51" s="43">
        <f t="shared" si="3"/>
        <v>7.5399999999999991</v>
      </c>
      <c r="G51" s="43">
        <f t="shared" si="4"/>
        <v>188.49999999999997</v>
      </c>
      <c r="H51">
        <v>0.112</v>
      </c>
      <c r="I51">
        <v>0.115</v>
      </c>
      <c r="J51" s="43">
        <f t="shared" si="5"/>
        <v>0.1135</v>
      </c>
      <c r="K51" s="43">
        <f t="shared" si="6"/>
        <v>7.2542372881355943</v>
      </c>
      <c r="L51" s="43">
        <f t="shared" si="7"/>
        <v>181.35593220338987</v>
      </c>
    </row>
    <row r="52" spans="1:15" x14ac:dyDescent="0.2">
      <c r="A52" s="53"/>
      <c r="B52" s="44" t="s">
        <v>37</v>
      </c>
      <c r="C52">
        <v>8.8999999999999996E-2</v>
      </c>
      <c r="D52">
        <v>8.8999999999999996E-2</v>
      </c>
      <c r="E52" s="43">
        <f t="shared" si="2"/>
        <v>8.8999999999999996E-2</v>
      </c>
      <c r="F52" s="43">
        <f t="shared" si="3"/>
        <v>6.6399999999999988</v>
      </c>
      <c r="G52" s="43">
        <f t="shared" si="4"/>
        <v>165.99999999999997</v>
      </c>
      <c r="H52">
        <v>0.111</v>
      </c>
      <c r="I52">
        <v>0.112</v>
      </c>
      <c r="J52" s="43">
        <f>AVERAGE(H52:I52)</f>
        <v>0.1115</v>
      </c>
      <c r="K52" s="43">
        <f t="shared" si="6"/>
        <v>6.9152542372881358</v>
      </c>
      <c r="L52" s="43">
        <f t="shared" si="7"/>
        <v>172.88135593220341</v>
      </c>
    </row>
    <row r="53" spans="1:15" x14ac:dyDescent="0.2">
      <c r="A53" s="53"/>
      <c r="B53" s="44" t="s">
        <v>38</v>
      </c>
      <c r="C53">
        <v>0.09</v>
      </c>
      <c r="D53">
        <v>8.8999999999999996E-2</v>
      </c>
      <c r="E53" s="43">
        <f t="shared" si="2"/>
        <v>8.9499999999999996E-2</v>
      </c>
      <c r="F53" s="43">
        <f t="shared" si="3"/>
        <v>6.7399999999999984</v>
      </c>
      <c r="G53" s="43">
        <f t="shared" si="4"/>
        <v>168.49999999999997</v>
      </c>
      <c r="H53">
        <v>0.114</v>
      </c>
      <c r="I53">
        <v>0.114</v>
      </c>
      <c r="J53" s="43">
        <f t="shared" ref="J53:J60" si="8">AVERAGE(H53:I53)</f>
        <v>0.114</v>
      </c>
      <c r="K53" s="43">
        <f t="shared" si="6"/>
        <v>7.3389830508474585</v>
      </c>
      <c r="L53" s="43">
        <f t="shared" si="7"/>
        <v>183.47457627118646</v>
      </c>
    </row>
    <row r="54" spans="1:15" x14ac:dyDescent="0.2">
      <c r="A54" s="53"/>
      <c r="B54" s="44" t="s">
        <v>39</v>
      </c>
      <c r="C54">
        <v>9.1999999999999998E-2</v>
      </c>
      <c r="D54">
        <v>9.0999999999999998E-2</v>
      </c>
      <c r="E54" s="43">
        <f t="shared" si="2"/>
        <v>9.1499999999999998E-2</v>
      </c>
      <c r="F54" s="43">
        <f t="shared" si="3"/>
        <v>7.1399999999999988</v>
      </c>
      <c r="G54" s="43">
        <f t="shared" si="4"/>
        <v>178.49999999999997</v>
      </c>
      <c r="H54">
        <v>0.108</v>
      </c>
      <c r="I54">
        <v>0.108</v>
      </c>
      <c r="J54" s="43">
        <f t="shared" si="8"/>
        <v>0.108</v>
      </c>
      <c r="K54" s="43">
        <f t="shared" si="6"/>
        <v>6.3220338983050848</v>
      </c>
      <c r="L54" s="43">
        <f t="shared" si="7"/>
        <v>158.05084745762713</v>
      </c>
    </row>
    <row r="55" spans="1:15" x14ac:dyDescent="0.2">
      <c r="A55" s="53"/>
      <c r="B55" s="44" t="s">
        <v>40</v>
      </c>
      <c r="C55">
        <v>9.7000000000000003E-2</v>
      </c>
      <c r="D55">
        <v>9.6000000000000002E-2</v>
      </c>
      <c r="E55" s="43">
        <f t="shared" si="2"/>
        <v>9.6500000000000002E-2</v>
      </c>
      <c r="F55" s="43">
        <f t="shared" si="3"/>
        <v>8.14</v>
      </c>
      <c r="G55" s="43">
        <f t="shared" si="4"/>
        <v>203.5</v>
      </c>
      <c r="H55">
        <v>0.10299999999999999</v>
      </c>
      <c r="I55">
        <v>0.104</v>
      </c>
      <c r="J55" s="43">
        <f t="shared" si="8"/>
        <v>0.10349999999999999</v>
      </c>
      <c r="K55" s="43">
        <f t="shared" si="6"/>
        <v>5.5593220338983045</v>
      </c>
      <c r="L55" s="43">
        <f t="shared" si="7"/>
        <v>138.9830508474576</v>
      </c>
    </row>
    <row r="56" spans="1:15" x14ac:dyDescent="0.2">
      <c r="A56" s="53"/>
      <c r="B56" s="44" t="s">
        <v>41</v>
      </c>
      <c r="C56">
        <v>9.4E-2</v>
      </c>
      <c r="D56">
        <v>9.2999999999999999E-2</v>
      </c>
      <c r="E56" s="43">
        <f t="shared" si="2"/>
        <v>9.35E-2</v>
      </c>
      <c r="F56" s="43">
        <f t="shared" si="3"/>
        <v>7.5399999999999991</v>
      </c>
      <c r="G56" s="43">
        <f t="shared" si="4"/>
        <v>188.49999999999997</v>
      </c>
      <c r="H56">
        <v>0.11</v>
      </c>
      <c r="I56">
        <v>0.113</v>
      </c>
      <c r="J56" s="43">
        <f t="shared" si="8"/>
        <v>0.1115</v>
      </c>
      <c r="K56" s="43">
        <f t="shared" si="6"/>
        <v>6.9152542372881358</v>
      </c>
      <c r="L56" s="43">
        <f t="shared" si="7"/>
        <v>172.88135593220341</v>
      </c>
    </row>
    <row r="57" spans="1:15" x14ac:dyDescent="0.2">
      <c r="A57" s="53"/>
      <c r="B57" s="44" t="s">
        <v>42</v>
      </c>
      <c r="C57">
        <v>9.2999999999999999E-2</v>
      </c>
      <c r="D57">
        <v>9.2999999999999999E-2</v>
      </c>
      <c r="E57" s="43">
        <f t="shared" si="2"/>
        <v>9.2999999999999999E-2</v>
      </c>
      <c r="F57" s="43">
        <f t="shared" si="3"/>
        <v>7.4399999999999995</v>
      </c>
      <c r="G57" s="43">
        <f t="shared" si="4"/>
        <v>186</v>
      </c>
      <c r="H57">
        <v>0.111</v>
      </c>
      <c r="I57">
        <v>0.112</v>
      </c>
      <c r="J57" s="43">
        <f t="shared" si="8"/>
        <v>0.1115</v>
      </c>
      <c r="K57" s="43">
        <f t="shared" si="6"/>
        <v>6.9152542372881358</v>
      </c>
      <c r="L57" s="43">
        <f t="shared" si="7"/>
        <v>172.88135593220341</v>
      </c>
      <c r="N57" s="47">
        <f>AVERAGE(G58:G66)</f>
        <v>202.38888888888886</v>
      </c>
      <c r="O57" s="47">
        <f>AVERAGE(L58:L66)</f>
        <v>166.99623352165725</v>
      </c>
    </row>
    <row r="58" spans="1:15" x14ac:dyDescent="0.2">
      <c r="A58" s="53" t="s">
        <v>26</v>
      </c>
      <c r="B58" s="44" t="s">
        <v>43</v>
      </c>
      <c r="C58">
        <v>8.4000000000000005E-2</v>
      </c>
      <c r="D58">
        <v>8.4000000000000005E-2</v>
      </c>
      <c r="E58" s="43">
        <f t="shared" si="2"/>
        <v>8.4000000000000005E-2</v>
      </c>
      <c r="F58" s="43">
        <f t="shared" si="3"/>
        <v>5.6400000000000006</v>
      </c>
      <c r="G58" s="43">
        <f t="shared" si="4"/>
        <v>141</v>
      </c>
      <c r="H58">
        <v>0.10299999999999999</v>
      </c>
      <c r="I58">
        <v>0.107</v>
      </c>
      <c r="J58" s="43">
        <f t="shared" si="8"/>
        <v>0.105</v>
      </c>
      <c r="K58" s="43">
        <f t="shared" si="6"/>
        <v>5.8135593220338979</v>
      </c>
      <c r="L58" s="43">
        <f t="shared" si="7"/>
        <v>145.33898305084745</v>
      </c>
    </row>
    <row r="59" spans="1:15" x14ac:dyDescent="0.2">
      <c r="A59" s="53"/>
      <c r="B59" s="44" t="s">
        <v>44</v>
      </c>
      <c r="C59">
        <v>8.5000000000000006E-2</v>
      </c>
      <c r="D59">
        <v>8.5999999999999993E-2</v>
      </c>
      <c r="E59" s="43">
        <f t="shared" si="2"/>
        <v>8.5499999999999993E-2</v>
      </c>
      <c r="F59" s="43">
        <f t="shared" si="3"/>
        <v>5.9399999999999977</v>
      </c>
      <c r="G59" s="43">
        <f t="shared" si="4"/>
        <v>148.49999999999994</v>
      </c>
      <c r="H59">
        <v>0.108</v>
      </c>
      <c r="I59">
        <v>0.11</v>
      </c>
      <c r="J59" s="43">
        <f t="shared" si="8"/>
        <v>0.109</v>
      </c>
      <c r="K59" s="43">
        <f t="shared" si="6"/>
        <v>6.491525423728814</v>
      </c>
      <c r="L59" s="43">
        <f t="shared" si="7"/>
        <v>162.28813559322035</v>
      </c>
    </row>
    <row r="60" spans="1:15" x14ac:dyDescent="0.2">
      <c r="A60" s="53"/>
      <c r="B60" s="44" t="s">
        <v>45</v>
      </c>
      <c r="C60">
        <v>8.7999999999999995E-2</v>
      </c>
      <c r="D60">
        <v>8.7999999999999995E-2</v>
      </c>
      <c r="E60" s="43">
        <f t="shared" si="2"/>
        <v>8.7999999999999995E-2</v>
      </c>
      <c r="F60" s="43">
        <f t="shared" si="3"/>
        <v>6.4399999999999986</v>
      </c>
      <c r="G60" s="43">
        <f t="shared" si="4"/>
        <v>160.99999999999997</v>
      </c>
      <c r="H60">
        <v>0.107</v>
      </c>
      <c r="I60">
        <v>0.109</v>
      </c>
      <c r="J60" s="43">
        <f t="shared" si="8"/>
        <v>0.108</v>
      </c>
      <c r="K60" s="43">
        <f t="shared" si="6"/>
        <v>6.3220338983050848</v>
      </c>
      <c r="L60" s="43">
        <f t="shared" si="7"/>
        <v>158.05084745762713</v>
      </c>
    </row>
    <row r="61" spans="1:15" x14ac:dyDescent="0.2">
      <c r="A61" s="53"/>
      <c r="B61" s="44" t="s">
        <v>46</v>
      </c>
      <c r="C61">
        <v>9.6000000000000002E-2</v>
      </c>
      <c r="D61">
        <v>9.5000000000000001E-2</v>
      </c>
      <c r="E61" s="43">
        <f t="shared" si="2"/>
        <v>9.5500000000000002E-2</v>
      </c>
      <c r="F61" s="43">
        <f t="shared" si="3"/>
        <v>7.9399999999999995</v>
      </c>
      <c r="G61" s="43">
        <f t="shared" si="4"/>
        <v>198.5</v>
      </c>
      <c r="H61">
        <v>0.111</v>
      </c>
      <c r="I61">
        <v>0.114</v>
      </c>
      <c r="J61" s="43">
        <f t="shared" si="5"/>
        <v>0.1125</v>
      </c>
      <c r="K61" s="43">
        <f t="shared" si="6"/>
        <v>7.0847457627118651</v>
      </c>
      <c r="L61" s="43">
        <f t="shared" si="7"/>
        <v>177.11864406779662</v>
      </c>
    </row>
    <row r="62" spans="1:15" x14ac:dyDescent="0.2">
      <c r="A62" s="53"/>
      <c r="B62" s="44" t="s">
        <v>47</v>
      </c>
      <c r="C62">
        <v>0.09</v>
      </c>
      <c r="D62">
        <v>9.0999999999999998E-2</v>
      </c>
      <c r="E62" s="43">
        <f t="shared" si="2"/>
        <v>9.0499999999999997E-2</v>
      </c>
      <c r="F62" s="43">
        <f t="shared" si="3"/>
        <v>6.9399999999999986</v>
      </c>
      <c r="G62" s="43">
        <f t="shared" si="4"/>
        <v>173.49999999999997</v>
      </c>
      <c r="H62">
        <v>0.107</v>
      </c>
      <c r="I62">
        <v>0.108</v>
      </c>
      <c r="J62" s="43">
        <f t="shared" si="5"/>
        <v>0.1075</v>
      </c>
      <c r="K62" s="43">
        <f t="shared" si="6"/>
        <v>6.2372881355932206</v>
      </c>
      <c r="L62" s="43">
        <f t="shared" si="7"/>
        <v>155.93220338983051</v>
      </c>
    </row>
    <row r="63" spans="1:15" x14ac:dyDescent="0.2">
      <c r="A63" s="53"/>
      <c r="B63" s="44" t="s">
        <v>48</v>
      </c>
      <c r="C63">
        <v>0.124</v>
      </c>
      <c r="D63">
        <v>0.125</v>
      </c>
      <c r="E63" s="43">
        <f t="shared" si="2"/>
        <v>0.1245</v>
      </c>
      <c r="F63" s="43">
        <f t="shared" si="3"/>
        <v>13.739999999999998</v>
      </c>
      <c r="G63" s="43">
        <f t="shared" si="4"/>
        <v>343.49999999999994</v>
      </c>
      <c r="H63">
        <v>0.114</v>
      </c>
      <c r="I63">
        <v>0.11700000000000001</v>
      </c>
      <c r="J63" s="43">
        <f t="shared" si="5"/>
        <v>0.11550000000000001</v>
      </c>
      <c r="K63" s="43">
        <f t="shared" si="6"/>
        <v>7.5932203389830519</v>
      </c>
      <c r="L63" s="43">
        <f t="shared" si="7"/>
        <v>189.83050847457631</v>
      </c>
    </row>
    <row r="64" spans="1:15" x14ac:dyDescent="0.2">
      <c r="A64" s="53"/>
      <c r="B64" s="44" t="s">
        <v>49</v>
      </c>
      <c r="C64">
        <v>9.6000000000000002E-2</v>
      </c>
      <c r="D64">
        <v>9.5000000000000001E-2</v>
      </c>
      <c r="E64" s="43">
        <f t="shared" si="2"/>
        <v>9.5500000000000002E-2</v>
      </c>
      <c r="F64" s="43">
        <f t="shared" si="3"/>
        <v>7.9399999999999995</v>
      </c>
      <c r="G64" s="43">
        <f t="shared" si="4"/>
        <v>198.5</v>
      </c>
      <c r="H64">
        <v>0.115</v>
      </c>
      <c r="I64">
        <v>0.115</v>
      </c>
      <c r="J64" s="43">
        <f t="shared" si="5"/>
        <v>0.115</v>
      </c>
      <c r="K64" s="43">
        <f t="shared" si="6"/>
        <v>7.5084745762711878</v>
      </c>
      <c r="L64" s="43">
        <f t="shared" si="7"/>
        <v>187.71186440677968</v>
      </c>
    </row>
    <row r="65" spans="1:15" x14ac:dyDescent="0.2">
      <c r="A65" s="53"/>
      <c r="B65" s="44" t="s">
        <v>50</v>
      </c>
      <c r="C65">
        <v>0.105</v>
      </c>
      <c r="D65">
        <v>0.104</v>
      </c>
      <c r="E65" s="43">
        <f t="shared" si="2"/>
        <v>0.1045</v>
      </c>
      <c r="F65" s="43">
        <f t="shared" si="3"/>
        <v>9.7399999999999984</v>
      </c>
      <c r="G65" s="43">
        <f t="shared" si="4"/>
        <v>243.49999999999997</v>
      </c>
      <c r="H65">
        <v>0.106</v>
      </c>
      <c r="I65">
        <v>0.106</v>
      </c>
      <c r="J65" s="43">
        <f t="shared" si="5"/>
        <v>0.106</v>
      </c>
      <c r="K65" s="43">
        <f t="shared" si="6"/>
        <v>5.9830508474576272</v>
      </c>
      <c r="L65" s="43">
        <f t="shared" si="7"/>
        <v>149.57627118644069</v>
      </c>
    </row>
    <row r="66" spans="1:15" x14ac:dyDescent="0.2">
      <c r="A66" s="53"/>
      <c r="B66" s="44" t="s">
        <v>51</v>
      </c>
      <c r="C66">
        <v>9.9000000000000005E-2</v>
      </c>
      <c r="D66">
        <v>9.8000000000000004E-2</v>
      </c>
      <c r="E66" s="43">
        <f t="shared" si="2"/>
        <v>9.8500000000000004E-2</v>
      </c>
      <c r="F66" s="43">
        <f t="shared" si="3"/>
        <v>8.5400000000000009</v>
      </c>
      <c r="G66" s="43">
        <f t="shared" si="4"/>
        <v>213.50000000000003</v>
      </c>
      <c r="H66">
        <v>0.112</v>
      </c>
      <c r="I66">
        <v>0.113</v>
      </c>
      <c r="J66" s="43">
        <f t="shared" si="5"/>
        <v>0.1125</v>
      </c>
      <c r="K66" s="43">
        <f t="shared" si="6"/>
        <v>7.0847457627118651</v>
      </c>
      <c r="L66" s="43">
        <f t="shared" si="7"/>
        <v>177.11864406779662</v>
      </c>
      <c r="N66" s="47">
        <f>AVERAGE(G67:G74)</f>
        <v>131.9375</v>
      </c>
      <c r="O66" s="47">
        <f>AVERAGE(L67:L74)</f>
        <v>168.90889830508473</v>
      </c>
    </row>
    <row r="67" spans="1:15" x14ac:dyDescent="0.2">
      <c r="A67" s="53" t="s">
        <v>27</v>
      </c>
      <c r="B67" s="44" t="s">
        <v>52</v>
      </c>
      <c r="C67">
        <v>7.0999999999999994E-2</v>
      </c>
      <c r="D67">
        <v>7.2999999999999995E-2</v>
      </c>
      <c r="E67" s="43">
        <f t="shared" si="2"/>
        <v>7.1999999999999995E-2</v>
      </c>
      <c r="F67" s="43">
        <f t="shared" si="3"/>
        <v>3.2399999999999984</v>
      </c>
      <c r="G67" s="43">
        <f t="shared" si="4"/>
        <v>80.999999999999957</v>
      </c>
      <c r="H67">
        <v>0.10100000000000001</v>
      </c>
      <c r="I67">
        <v>0.104</v>
      </c>
      <c r="J67" s="43">
        <f t="shared" si="5"/>
        <v>0.10250000000000001</v>
      </c>
      <c r="K67" s="43">
        <f t="shared" si="6"/>
        <v>5.3898305084745779</v>
      </c>
      <c r="L67" s="43">
        <f t="shared" si="7"/>
        <v>134.74576271186444</v>
      </c>
    </row>
    <row r="68" spans="1:15" x14ac:dyDescent="0.2">
      <c r="A68" s="53"/>
      <c r="B68" s="44" t="s">
        <v>53</v>
      </c>
      <c r="C68">
        <v>0.08</v>
      </c>
      <c r="D68">
        <v>0.08</v>
      </c>
      <c r="E68" s="43">
        <f t="shared" si="2"/>
        <v>0.08</v>
      </c>
      <c r="F68" s="43">
        <f t="shared" si="3"/>
        <v>4.84</v>
      </c>
      <c r="G68" s="43">
        <f t="shared" si="4"/>
        <v>121</v>
      </c>
      <c r="H68">
        <v>0.106</v>
      </c>
      <c r="I68">
        <v>0.112</v>
      </c>
      <c r="J68" s="43">
        <f t="shared" si="5"/>
        <v>0.109</v>
      </c>
      <c r="K68" s="43">
        <f t="shared" si="6"/>
        <v>6.491525423728814</v>
      </c>
      <c r="L68" s="43">
        <f t="shared" si="7"/>
        <v>162.28813559322035</v>
      </c>
    </row>
    <row r="69" spans="1:15" x14ac:dyDescent="0.2">
      <c r="A69" s="53"/>
      <c r="B69" s="44" t="s">
        <v>54</v>
      </c>
      <c r="C69">
        <v>8.5000000000000006E-2</v>
      </c>
      <c r="D69">
        <v>8.5000000000000006E-2</v>
      </c>
      <c r="E69" s="43">
        <f t="shared" si="2"/>
        <v>8.5000000000000006E-2</v>
      </c>
      <c r="F69" s="43">
        <f t="shared" si="3"/>
        <v>5.8400000000000007</v>
      </c>
      <c r="G69" s="43">
        <f t="shared" si="4"/>
        <v>146.00000000000003</v>
      </c>
      <c r="H69">
        <v>0.106</v>
      </c>
      <c r="I69">
        <v>0.107</v>
      </c>
      <c r="J69" s="43">
        <f t="shared" si="5"/>
        <v>0.1065</v>
      </c>
      <c r="K69" s="43">
        <f t="shared" si="6"/>
        <v>6.0677966101694913</v>
      </c>
      <c r="L69" s="43">
        <f t="shared" si="7"/>
        <v>151.69491525423729</v>
      </c>
    </row>
    <row r="70" spans="1:15" x14ac:dyDescent="0.2">
      <c r="A70" s="53"/>
      <c r="B70" s="44" t="s">
        <v>59</v>
      </c>
      <c r="C70">
        <v>7.4999999999999997E-2</v>
      </c>
      <c r="D70">
        <v>7.4999999999999997E-2</v>
      </c>
      <c r="E70" s="43">
        <f t="shared" si="2"/>
        <v>7.4999999999999997E-2</v>
      </c>
      <c r="F70" s="43">
        <f t="shared" si="3"/>
        <v>3.839999999999999</v>
      </c>
      <c r="G70" s="43">
        <f t="shared" si="4"/>
        <v>95.999999999999972</v>
      </c>
      <c r="H70">
        <v>0.107</v>
      </c>
      <c r="I70">
        <v>0.11</v>
      </c>
      <c r="J70" s="43">
        <f t="shared" si="5"/>
        <v>0.1085</v>
      </c>
      <c r="K70" s="43">
        <f t="shared" si="6"/>
        <v>6.406779661016949</v>
      </c>
      <c r="L70" s="43">
        <f t="shared" si="7"/>
        <v>160.16949152542372</v>
      </c>
    </row>
    <row r="71" spans="1:15" x14ac:dyDescent="0.2">
      <c r="A71" s="53"/>
      <c r="B71" s="44" t="s">
        <v>60</v>
      </c>
      <c r="C71">
        <v>9.0999999999999998E-2</v>
      </c>
      <c r="D71">
        <v>0.09</v>
      </c>
      <c r="E71" s="43">
        <f t="shared" si="2"/>
        <v>9.0499999999999997E-2</v>
      </c>
      <c r="F71" s="43">
        <f t="shared" si="3"/>
        <v>6.9399999999999986</v>
      </c>
      <c r="G71" s="43">
        <f t="shared" si="4"/>
        <v>173.49999999999997</v>
      </c>
      <c r="H71">
        <v>0.114</v>
      </c>
      <c r="I71">
        <v>0.114</v>
      </c>
      <c r="J71" s="43">
        <f t="shared" si="5"/>
        <v>0.114</v>
      </c>
      <c r="K71" s="43">
        <f t="shared" si="6"/>
        <v>7.3389830508474585</v>
      </c>
      <c r="L71" s="43">
        <f t="shared" si="7"/>
        <v>183.47457627118646</v>
      </c>
    </row>
    <row r="72" spans="1:15" x14ac:dyDescent="0.2">
      <c r="A72" s="53"/>
      <c r="B72" s="44" t="s">
        <v>61</v>
      </c>
      <c r="C72">
        <v>8.8999999999999996E-2</v>
      </c>
      <c r="D72">
        <v>8.6999999999999994E-2</v>
      </c>
      <c r="E72" s="43">
        <f t="shared" si="2"/>
        <v>8.7999999999999995E-2</v>
      </c>
      <c r="F72" s="43">
        <f t="shared" si="3"/>
        <v>6.4399999999999986</v>
      </c>
      <c r="G72" s="43">
        <f t="shared" si="4"/>
        <v>160.99999999999997</v>
      </c>
      <c r="H72">
        <v>0.11</v>
      </c>
      <c r="I72">
        <v>0.11</v>
      </c>
      <c r="J72" s="43">
        <f t="shared" si="5"/>
        <v>0.11</v>
      </c>
      <c r="K72" s="43">
        <f t="shared" si="6"/>
        <v>6.6610169491525424</v>
      </c>
      <c r="L72" s="43">
        <f t="shared" si="7"/>
        <v>166.52542372881356</v>
      </c>
    </row>
    <row r="73" spans="1:15" x14ac:dyDescent="0.2">
      <c r="A73" s="53"/>
      <c r="B73" s="44" t="s">
        <v>62</v>
      </c>
      <c r="C73">
        <v>8.1000000000000003E-2</v>
      </c>
      <c r="D73">
        <v>0.08</v>
      </c>
      <c r="E73" s="43">
        <f t="shared" si="2"/>
        <v>8.0500000000000002E-2</v>
      </c>
      <c r="F73" s="43">
        <f t="shared" si="3"/>
        <v>4.9399999999999995</v>
      </c>
      <c r="G73" s="43">
        <f t="shared" si="4"/>
        <v>123.49999999999999</v>
      </c>
      <c r="H73">
        <v>0.113</v>
      </c>
      <c r="I73">
        <v>0.115</v>
      </c>
      <c r="J73" s="43">
        <f t="shared" si="5"/>
        <v>0.114</v>
      </c>
      <c r="K73" s="43">
        <f t="shared" si="6"/>
        <v>7.3389830508474585</v>
      </c>
      <c r="L73" s="43">
        <f t="shared" si="7"/>
        <v>183.47457627118646</v>
      </c>
    </row>
    <row r="74" spans="1:15" x14ac:dyDescent="0.2">
      <c r="A74" s="53"/>
      <c r="B74" s="44" t="s">
        <v>63</v>
      </c>
      <c r="C74">
        <v>8.6999999999999994E-2</v>
      </c>
      <c r="D74">
        <v>8.5999999999999993E-2</v>
      </c>
      <c r="E74" s="43">
        <f t="shared" si="2"/>
        <v>8.6499999999999994E-2</v>
      </c>
      <c r="F74" s="43">
        <f t="shared" si="3"/>
        <v>6.1399999999999979</v>
      </c>
      <c r="G74" s="43">
        <f t="shared" si="4"/>
        <v>153.49999999999994</v>
      </c>
      <c r="H74">
        <v>0.11899999999999999</v>
      </c>
      <c r="I74">
        <v>0.121</v>
      </c>
      <c r="J74" s="43">
        <f t="shared" si="5"/>
        <v>0.12</v>
      </c>
      <c r="K74" s="43">
        <f t="shared" si="6"/>
        <v>8.3559322033898304</v>
      </c>
      <c r="L74" s="43">
        <f t="shared" si="7"/>
        <v>208.89830508474577</v>
      </c>
      <c r="N74" s="47">
        <f>AVERAGE(G75:G81)</f>
        <v>123.49999999999999</v>
      </c>
      <c r="O74" s="47">
        <f>AVERAGE(L75:L81)</f>
        <v>151.08958837772397</v>
      </c>
    </row>
    <row r="75" spans="1:15" x14ac:dyDescent="0.2">
      <c r="A75" s="53" t="s">
        <v>28</v>
      </c>
      <c r="B75" s="44" t="s">
        <v>55</v>
      </c>
      <c r="C75">
        <v>7.1999999999999995E-2</v>
      </c>
      <c r="D75">
        <v>7.1999999999999995E-2</v>
      </c>
      <c r="E75" s="43">
        <f t="shared" si="2"/>
        <v>7.1999999999999995E-2</v>
      </c>
      <c r="F75" s="43">
        <f t="shared" si="3"/>
        <v>3.2399999999999984</v>
      </c>
      <c r="G75" s="43">
        <f t="shared" si="4"/>
        <v>80.999999999999957</v>
      </c>
      <c r="H75">
        <v>0.113</v>
      </c>
      <c r="I75">
        <v>0.113</v>
      </c>
      <c r="J75" s="43">
        <f t="shared" si="5"/>
        <v>0.113</v>
      </c>
      <c r="K75" s="43">
        <f t="shared" si="6"/>
        <v>7.1694915254237301</v>
      </c>
      <c r="L75" s="43">
        <f t="shared" si="7"/>
        <v>179.23728813559325</v>
      </c>
    </row>
    <row r="76" spans="1:15" x14ac:dyDescent="0.2">
      <c r="A76" s="53"/>
      <c r="B76" s="44" t="s">
        <v>56</v>
      </c>
      <c r="C76">
        <v>8.6999999999999994E-2</v>
      </c>
      <c r="D76">
        <v>8.5999999999999993E-2</v>
      </c>
      <c r="E76" s="43">
        <f t="shared" si="2"/>
        <v>8.6499999999999994E-2</v>
      </c>
      <c r="F76" s="43">
        <f t="shared" si="3"/>
        <v>6.1399999999999979</v>
      </c>
      <c r="G76" s="43">
        <f t="shared" si="4"/>
        <v>153.49999999999994</v>
      </c>
      <c r="H76">
        <v>0.107</v>
      </c>
      <c r="I76">
        <v>0.107</v>
      </c>
      <c r="J76" s="43">
        <f t="shared" si="5"/>
        <v>0.107</v>
      </c>
      <c r="K76" s="43">
        <f t="shared" si="6"/>
        <v>6.1525423728813555</v>
      </c>
      <c r="L76" s="43">
        <f t="shared" si="7"/>
        <v>153.81355932203388</v>
      </c>
    </row>
    <row r="77" spans="1:15" x14ac:dyDescent="0.2">
      <c r="A77" s="53"/>
      <c r="B77" s="44" t="s">
        <v>57</v>
      </c>
      <c r="C77">
        <v>0.08</v>
      </c>
      <c r="D77">
        <v>7.6999999999999999E-2</v>
      </c>
      <c r="E77" s="43">
        <f t="shared" si="2"/>
        <v>7.85E-2</v>
      </c>
      <c r="F77" s="43">
        <f t="shared" si="3"/>
        <v>4.5399999999999991</v>
      </c>
      <c r="G77" s="43">
        <f t="shared" si="4"/>
        <v>113.49999999999997</v>
      </c>
      <c r="H77">
        <v>9.5000000000000001E-2</v>
      </c>
      <c r="I77">
        <v>9.2999999999999999E-2</v>
      </c>
      <c r="J77" s="43">
        <f t="shared" si="5"/>
        <v>9.4E-2</v>
      </c>
      <c r="K77" s="43">
        <f t="shared" si="6"/>
        <v>3.9491525423728815</v>
      </c>
      <c r="L77" s="43">
        <f t="shared" si="7"/>
        <v>98.728813559322035</v>
      </c>
    </row>
    <row r="78" spans="1:15" x14ac:dyDescent="0.2">
      <c r="A78" s="53"/>
      <c r="B78" s="44" t="s">
        <v>58</v>
      </c>
      <c r="C78">
        <v>8.1000000000000003E-2</v>
      </c>
      <c r="D78">
        <v>8.3000000000000004E-2</v>
      </c>
      <c r="E78" s="43">
        <f t="shared" si="2"/>
        <v>8.2000000000000003E-2</v>
      </c>
      <c r="F78" s="43">
        <f t="shared" si="3"/>
        <v>5.24</v>
      </c>
      <c r="G78" s="43">
        <f t="shared" si="4"/>
        <v>131</v>
      </c>
      <c r="H78">
        <v>0.11</v>
      </c>
      <c r="I78">
        <v>0.112</v>
      </c>
      <c r="J78" s="43">
        <f t="shared" si="5"/>
        <v>0.111</v>
      </c>
      <c r="K78" s="43">
        <f t="shared" si="6"/>
        <v>6.8305084745762716</v>
      </c>
      <c r="L78" s="43">
        <f t="shared" si="7"/>
        <v>170.76271186440678</v>
      </c>
    </row>
    <row r="79" spans="1:15" x14ac:dyDescent="0.2">
      <c r="A79" s="53"/>
      <c r="B79" s="44" t="s">
        <v>64</v>
      </c>
      <c r="C79">
        <v>7.4999999999999997E-2</v>
      </c>
      <c r="D79">
        <v>7.5999999999999998E-2</v>
      </c>
      <c r="E79" s="43">
        <f t="shared" si="2"/>
        <v>7.5499999999999998E-2</v>
      </c>
      <c r="F79" s="43">
        <f t="shared" si="3"/>
        <v>3.9399999999999991</v>
      </c>
      <c r="G79" s="43">
        <f t="shared" si="4"/>
        <v>98.499999999999972</v>
      </c>
      <c r="H79">
        <v>0.105</v>
      </c>
      <c r="I79">
        <v>0.106</v>
      </c>
      <c r="J79" s="43">
        <f t="shared" ref="J79:J85" si="9">AVERAGE(H79:I79)</f>
        <v>0.1055</v>
      </c>
      <c r="K79" s="43">
        <f t="shared" si="6"/>
        <v>5.8983050847457621</v>
      </c>
      <c r="L79" s="43">
        <f t="shared" si="7"/>
        <v>147.45762711864404</v>
      </c>
    </row>
    <row r="80" spans="1:15" x14ac:dyDescent="0.2">
      <c r="A80" s="53"/>
      <c r="B80" s="44" t="s">
        <v>65</v>
      </c>
      <c r="C80">
        <v>8.4000000000000005E-2</v>
      </c>
      <c r="D80">
        <v>8.4000000000000005E-2</v>
      </c>
      <c r="E80" s="43">
        <f t="shared" si="2"/>
        <v>8.4000000000000005E-2</v>
      </c>
      <c r="F80" s="43">
        <f t="shared" si="3"/>
        <v>5.6400000000000006</v>
      </c>
      <c r="G80" s="43">
        <f t="shared" si="4"/>
        <v>141</v>
      </c>
      <c r="H80">
        <v>0.111</v>
      </c>
      <c r="I80">
        <v>0.115</v>
      </c>
      <c r="J80" s="43">
        <f t="shared" si="9"/>
        <v>0.113</v>
      </c>
      <c r="K80" s="43">
        <f t="shared" si="6"/>
        <v>7.1694915254237301</v>
      </c>
      <c r="L80" s="43">
        <f t="shared" si="7"/>
        <v>179.23728813559325</v>
      </c>
    </row>
    <row r="81" spans="1:12" x14ac:dyDescent="0.2">
      <c r="A81" s="53"/>
      <c r="B81" s="44" t="s">
        <v>66</v>
      </c>
      <c r="C81">
        <v>8.5000000000000006E-2</v>
      </c>
      <c r="D81">
        <v>8.5000000000000006E-2</v>
      </c>
      <c r="E81" s="43">
        <f t="shared" si="2"/>
        <v>8.5000000000000006E-2</v>
      </c>
      <c r="F81" s="43">
        <f t="shared" si="3"/>
        <v>5.8400000000000007</v>
      </c>
      <c r="G81" s="43">
        <f t="shared" si="4"/>
        <v>146.00000000000003</v>
      </c>
      <c r="H81">
        <v>0.10100000000000001</v>
      </c>
      <c r="I81">
        <v>0.10100000000000001</v>
      </c>
      <c r="J81" s="43">
        <f t="shared" si="9"/>
        <v>0.10100000000000001</v>
      </c>
      <c r="K81" s="43">
        <f t="shared" si="6"/>
        <v>5.1355932203389845</v>
      </c>
      <c r="L81" s="43">
        <f t="shared" si="7"/>
        <v>128.3898305084746</v>
      </c>
    </row>
    <row r="82" spans="1:12" x14ac:dyDescent="0.2">
      <c r="A82" s="53" t="s">
        <v>29</v>
      </c>
      <c r="B82" s="50" t="s">
        <v>30</v>
      </c>
      <c r="C82">
        <v>8.1000000000000003E-2</v>
      </c>
      <c r="D82">
        <v>8.1000000000000003E-2</v>
      </c>
      <c r="E82" s="43">
        <f t="shared" si="2"/>
        <v>8.1000000000000003E-2</v>
      </c>
      <c r="F82" s="43">
        <f t="shared" si="3"/>
        <v>5.04</v>
      </c>
      <c r="G82" s="43">
        <f>F82*38.46</f>
        <v>193.83840000000001</v>
      </c>
      <c r="H82">
        <v>9.8000000000000004E-2</v>
      </c>
      <c r="I82">
        <v>0.10199999999999999</v>
      </c>
      <c r="J82" s="43">
        <f t="shared" si="9"/>
        <v>0.1</v>
      </c>
      <c r="K82" s="43">
        <f t="shared" si="6"/>
        <v>4.9661016949152552</v>
      </c>
      <c r="L82" s="43">
        <f>K82*38.46</f>
        <v>190.99627118644071</v>
      </c>
    </row>
    <row r="83" spans="1:12" x14ac:dyDescent="0.2">
      <c r="A83" s="53"/>
      <c r="B83" s="50" t="s">
        <v>31</v>
      </c>
      <c r="C83">
        <v>9.4E-2</v>
      </c>
      <c r="D83">
        <v>9.4E-2</v>
      </c>
      <c r="E83" s="43">
        <f t="shared" si="2"/>
        <v>9.4E-2</v>
      </c>
      <c r="F83" s="43">
        <f t="shared" si="3"/>
        <v>7.64</v>
      </c>
      <c r="G83" s="43">
        <f t="shared" si="4"/>
        <v>191</v>
      </c>
      <c r="H83">
        <v>0.109</v>
      </c>
      <c r="I83">
        <v>0.111</v>
      </c>
      <c r="J83" s="43">
        <f t="shared" si="9"/>
        <v>0.11</v>
      </c>
      <c r="K83" s="43">
        <f t="shared" si="6"/>
        <v>6.6610169491525424</v>
      </c>
      <c r="L83" s="43">
        <f t="shared" si="7"/>
        <v>166.52542372881356</v>
      </c>
    </row>
    <row r="84" spans="1:12" x14ac:dyDescent="0.2">
      <c r="A84" s="53"/>
      <c r="B84" s="50" t="s">
        <v>32</v>
      </c>
      <c r="C84">
        <v>7.8E-2</v>
      </c>
      <c r="D84">
        <v>7.8E-2</v>
      </c>
      <c r="E84" s="43">
        <f t="shared" si="2"/>
        <v>7.8E-2</v>
      </c>
      <c r="F84" s="43">
        <f t="shared" si="3"/>
        <v>4.4399999999999995</v>
      </c>
      <c r="G84" s="43">
        <f>F84*35.7</f>
        <v>158.50799999999998</v>
      </c>
      <c r="H84">
        <v>0.10199999999999999</v>
      </c>
      <c r="I84">
        <v>0.10299999999999999</v>
      </c>
      <c r="J84" s="43">
        <f t="shared" si="9"/>
        <v>0.10249999999999999</v>
      </c>
      <c r="K84" s="43">
        <f t="shared" si="6"/>
        <v>5.3898305084745752</v>
      </c>
      <c r="L84" s="43">
        <f>K84*35.7</f>
        <v>192.41694915254234</v>
      </c>
    </row>
    <row r="85" spans="1:12" x14ac:dyDescent="0.2">
      <c r="A85" s="53"/>
      <c r="B85" s="50" t="s">
        <v>33</v>
      </c>
      <c r="C85">
        <v>7.6999999999999999E-2</v>
      </c>
      <c r="D85">
        <v>7.5999999999999998E-2</v>
      </c>
      <c r="E85" s="43">
        <f t="shared" si="2"/>
        <v>7.6499999999999999E-2</v>
      </c>
      <c r="F85" s="43">
        <f t="shared" si="3"/>
        <v>4.1399999999999988</v>
      </c>
      <c r="G85" s="43">
        <f>F85*31.25</f>
        <v>129.37499999999997</v>
      </c>
      <c r="H85">
        <v>0.10199999999999999</v>
      </c>
      <c r="I85">
        <v>0.10299999999999999</v>
      </c>
      <c r="J85" s="43">
        <f t="shared" si="9"/>
        <v>0.10249999999999999</v>
      </c>
      <c r="K85" s="43">
        <f t="shared" si="6"/>
        <v>5.3898305084745752</v>
      </c>
      <c r="L85" s="43">
        <f>K85*31.25</f>
        <v>168.43220338983048</v>
      </c>
    </row>
  </sheetData>
  <mergeCells count="6">
    <mergeCell ref="A75:A81"/>
    <mergeCell ref="A82:A85"/>
    <mergeCell ref="B4:L4"/>
    <mergeCell ref="A49:A57"/>
    <mergeCell ref="A58:A66"/>
    <mergeCell ref="A67:A74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T67"/>
  <sheetViews>
    <sheetView tabSelected="1" topLeftCell="A33" workbookViewId="0">
      <selection activeCell="S65" sqref="S65"/>
    </sheetView>
  </sheetViews>
  <sheetFormatPr baseColWidth="10" defaultColWidth="9.1640625" defaultRowHeight="15" x14ac:dyDescent="0.2"/>
  <sheetData>
    <row r="4" spans="2:20" ht="19" x14ac:dyDescent="0.25">
      <c r="B4" s="52" t="s">
        <v>20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46"/>
      <c r="N4" s="46"/>
      <c r="O4" s="46"/>
      <c r="P4" s="46"/>
    </row>
    <row r="6" spans="2:20" x14ac:dyDescent="0.2">
      <c r="B6" s="1" t="s">
        <v>2</v>
      </c>
      <c r="C6" s="1"/>
      <c r="D6" s="1"/>
      <c r="P6" s="1" t="s">
        <v>3</v>
      </c>
      <c r="Q6" s="1"/>
    </row>
    <row r="7" spans="2:20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P7" s="3"/>
      <c r="Q7" s="4" t="s">
        <v>4</v>
      </c>
      <c r="R7" s="4" t="s">
        <v>5</v>
      </c>
      <c r="S7" s="4" t="s">
        <v>6</v>
      </c>
      <c r="T7" s="4" t="s">
        <v>7</v>
      </c>
    </row>
    <row r="8" spans="2:20" x14ac:dyDescent="0.2">
      <c r="B8">
        <v>5.7000000000000002E-2</v>
      </c>
      <c r="C8">
        <v>6.2E-2</v>
      </c>
      <c r="D8">
        <v>6.2E-2</v>
      </c>
      <c r="E8">
        <v>7.0000000000000007E-2</v>
      </c>
      <c r="F8">
        <v>8.5000000000000006E-2</v>
      </c>
      <c r="G8">
        <v>0.11799999999999999</v>
      </c>
      <c r="H8">
        <v>0.152</v>
      </c>
      <c r="I8">
        <v>5.6000000000000001E-2</v>
      </c>
      <c r="J8">
        <v>5.7000000000000002E-2</v>
      </c>
      <c r="K8">
        <v>5.7000000000000002E-2</v>
      </c>
      <c r="L8">
        <v>5.7000000000000002E-2</v>
      </c>
      <c r="M8">
        <v>0.06</v>
      </c>
      <c r="N8" s="14" t="s">
        <v>8</v>
      </c>
      <c r="P8" s="3" t="s">
        <v>9</v>
      </c>
      <c r="Q8" s="3">
        <f>B8</f>
        <v>5.7000000000000002E-2</v>
      </c>
      <c r="R8" s="3">
        <f>B9</f>
        <v>5.7000000000000002E-2</v>
      </c>
      <c r="S8" s="3">
        <f>AVERAGE(Q8:R8)</f>
        <v>5.7000000000000002E-2</v>
      </c>
      <c r="T8" s="3">
        <v>0</v>
      </c>
    </row>
    <row r="9" spans="2:20" x14ac:dyDescent="0.2">
      <c r="B9">
        <v>5.7000000000000002E-2</v>
      </c>
      <c r="C9">
        <v>5.8000000000000003E-2</v>
      </c>
      <c r="D9">
        <v>6.2E-2</v>
      </c>
      <c r="E9">
        <v>7.0000000000000007E-2</v>
      </c>
      <c r="F9">
        <v>0.09</v>
      </c>
      <c r="G9">
        <v>0.124</v>
      </c>
      <c r="H9">
        <v>0.154</v>
      </c>
      <c r="I9">
        <v>5.5E-2</v>
      </c>
      <c r="J9">
        <v>5.5E-2</v>
      </c>
      <c r="K9">
        <v>5.5E-2</v>
      </c>
      <c r="L9">
        <v>5.5E-2</v>
      </c>
      <c r="M9">
        <v>5.3999999999999999E-2</v>
      </c>
      <c r="N9" s="14"/>
      <c r="P9" s="3" t="s">
        <v>10</v>
      </c>
      <c r="Q9" s="3">
        <f>C8</f>
        <v>6.2E-2</v>
      </c>
      <c r="R9" s="3">
        <f>C9</f>
        <v>5.8000000000000003E-2</v>
      </c>
      <c r="S9" s="3">
        <f t="shared" ref="S9:S14" si="0">AVERAGE(Q9:R9)</f>
        <v>0.06</v>
      </c>
      <c r="T9" s="3">
        <v>0.6</v>
      </c>
    </row>
    <row r="10" spans="2:20" x14ac:dyDescent="0.2">
      <c r="B10">
        <v>6.4000000000000001E-2</v>
      </c>
      <c r="C10">
        <v>7.0000000000000007E-2</v>
      </c>
      <c r="D10">
        <v>6.4000000000000001E-2</v>
      </c>
      <c r="E10">
        <v>6.6000000000000003E-2</v>
      </c>
      <c r="F10">
        <v>6.4000000000000001E-2</v>
      </c>
      <c r="G10">
        <v>6.6000000000000003E-2</v>
      </c>
      <c r="H10">
        <v>6.4000000000000001E-2</v>
      </c>
      <c r="I10">
        <v>6.8000000000000005E-2</v>
      </c>
      <c r="J10">
        <v>6.6000000000000003E-2</v>
      </c>
      <c r="K10">
        <v>6.5000000000000002E-2</v>
      </c>
      <c r="L10">
        <v>7.9000000000000001E-2</v>
      </c>
      <c r="M10">
        <v>7.2999999999999995E-2</v>
      </c>
      <c r="N10" s="14"/>
      <c r="P10" s="3" t="s">
        <v>11</v>
      </c>
      <c r="Q10" s="3">
        <f>D8</f>
        <v>6.2E-2</v>
      </c>
      <c r="R10" s="3">
        <f>D9</f>
        <v>6.2E-2</v>
      </c>
      <c r="S10" s="3">
        <f t="shared" si="0"/>
        <v>6.2E-2</v>
      </c>
      <c r="T10" s="3">
        <v>1.5</v>
      </c>
    </row>
    <row r="11" spans="2:20" x14ac:dyDescent="0.2">
      <c r="B11">
        <v>6.2E-2</v>
      </c>
      <c r="C11">
        <v>6.8000000000000005E-2</v>
      </c>
      <c r="D11">
        <v>6.3E-2</v>
      </c>
      <c r="E11">
        <v>6.5000000000000002E-2</v>
      </c>
      <c r="F11">
        <v>6.3E-2</v>
      </c>
      <c r="G11">
        <v>6.5000000000000002E-2</v>
      </c>
      <c r="H11">
        <v>6.4000000000000001E-2</v>
      </c>
      <c r="I11">
        <v>6.6000000000000003E-2</v>
      </c>
      <c r="J11">
        <v>6.4000000000000001E-2</v>
      </c>
      <c r="K11">
        <v>6.4000000000000001E-2</v>
      </c>
      <c r="L11">
        <v>7.6999999999999999E-2</v>
      </c>
      <c r="M11">
        <v>7.0999999999999994E-2</v>
      </c>
      <c r="N11" s="14"/>
      <c r="P11" s="3" t="s">
        <v>12</v>
      </c>
      <c r="Q11" s="3">
        <f>E8</f>
        <v>7.0000000000000007E-2</v>
      </c>
      <c r="R11" s="3">
        <f>E9</f>
        <v>7.0000000000000007E-2</v>
      </c>
      <c r="S11" s="3">
        <f t="shared" si="0"/>
        <v>7.0000000000000007E-2</v>
      </c>
      <c r="T11" s="3">
        <v>3</v>
      </c>
    </row>
    <row r="12" spans="2:20" x14ac:dyDescent="0.2">
      <c r="B12">
        <v>7.0000000000000007E-2</v>
      </c>
      <c r="C12">
        <v>7.8E-2</v>
      </c>
      <c r="D12">
        <v>6.7000000000000004E-2</v>
      </c>
      <c r="E12">
        <v>7.6999999999999999E-2</v>
      </c>
      <c r="F12">
        <v>8.4000000000000005E-2</v>
      </c>
      <c r="G12">
        <v>7.4999999999999997E-2</v>
      </c>
      <c r="H12">
        <v>7.3999999999999996E-2</v>
      </c>
      <c r="N12" s="14"/>
      <c r="P12" s="3" t="s">
        <v>13</v>
      </c>
      <c r="Q12" s="3">
        <f>F8</f>
        <v>8.5000000000000006E-2</v>
      </c>
      <c r="R12" s="3">
        <f>F9</f>
        <v>0.09</v>
      </c>
      <c r="S12" s="3">
        <f t="shared" si="0"/>
        <v>8.7499999999999994E-2</v>
      </c>
      <c r="T12" s="3">
        <v>4.5999999999999996</v>
      </c>
    </row>
    <row r="13" spans="2:20" x14ac:dyDescent="0.2">
      <c r="B13">
        <v>7.0999999999999994E-2</v>
      </c>
      <c r="C13">
        <v>7.8E-2</v>
      </c>
      <c r="D13">
        <v>6.7000000000000004E-2</v>
      </c>
      <c r="E13">
        <v>7.4999999999999997E-2</v>
      </c>
      <c r="F13">
        <v>8.3000000000000004E-2</v>
      </c>
      <c r="G13">
        <v>7.2999999999999995E-2</v>
      </c>
      <c r="H13">
        <v>7.2999999999999995E-2</v>
      </c>
      <c r="N13" s="14"/>
      <c r="P13" s="3" t="s">
        <v>14</v>
      </c>
      <c r="Q13" s="3"/>
      <c r="R13" s="3"/>
      <c r="S13" s="3"/>
      <c r="T13" s="3"/>
    </row>
    <row r="14" spans="2:20" x14ac:dyDescent="0.2">
      <c r="N14" s="14"/>
      <c r="P14" s="3" t="s">
        <v>15</v>
      </c>
      <c r="Q14" s="3">
        <f>H8</f>
        <v>0.152</v>
      </c>
      <c r="R14" s="3">
        <f>H9</f>
        <v>0.154</v>
      </c>
      <c r="S14" s="3">
        <f t="shared" si="0"/>
        <v>0.153</v>
      </c>
      <c r="T14" s="3">
        <v>18.600000000000001</v>
      </c>
    </row>
    <row r="15" spans="2:20" x14ac:dyDescent="0.2">
      <c r="N15" s="14"/>
    </row>
    <row r="16" spans="2:20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2:20" x14ac:dyDescent="0.2">
      <c r="B17" s="6"/>
      <c r="C17" s="6"/>
      <c r="D17" s="6"/>
      <c r="E17" s="6"/>
      <c r="F17" s="6"/>
      <c r="G17" s="6"/>
      <c r="H17" s="6"/>
      <c r="I17" s="15"/>
      <c r="J17" s="15"/>
      <c r="K17" s="15"/>
      <c r="L17" s="15"/>
      <c r="M17" s="15"/>
      <c r="N17" s="16" t="s">
        <v>0</v>
      </c>
    </row>
    <row r="18" spans="2:20" x14ac:dyDescent="0.2">
      <c r="B18" s="6"/>
      <c r="C18" s="6"/>
      <c r="D18" s="6"/>
      <c r="E18" s="6"/>
      <c r="F18" s="6"/>
      <c r="G18" s="6"/>
      <c r="H18" s="6"/>
      <c r="I18" s="15"/>
      <c r="J18" s="15"/>
      <c r="K18" s="15"/>
      <c r="L18" s="15"/>
      <c r="M18" s="15"/>
      <c r="N18" s="17"/>
    </row>
    <row r="19" spans="2:20" x14ac:dyDescent="0.2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7"/>
    </row>
    <row r="20" spans="2:20" x14ac:dyDescent="0.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17"/>
    </row>
    <row r="21" spans="2:20" x14ac:dyDescent="0.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18"/>
      <c r="N21" s="17"/>
    </row>
    <row r="22" spans="2:20" x14ac:dyDescent="0.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19"/>
      <c r="N22" s="17"/>
    </row>
    <row r="23" spans="2:20" x14ac:dyDescent="0.2"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17"/>
    </row>
    <row r="24" spans="2:20" x14ac:dyDescent="0.2"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5"/>
      <c r="N24" s="26"/>
    </row>
    <row r="25" spans="2:20" x14ac:dyDescent="0.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2:20" x14ac:dyDescent="0.2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</row>
    <row r="27" spans="2:20" x14ac:dyDescent="0.2">
      <c r="B27">
        <v>7.0999999999999994E-2</v>
      </c>
      <c r="C27">
        <v>7.4999999999999997E-2</v>
      </c>
      <c r="D27">
        <v>7.8E-2</v>
      </c>
      <c r="E27">
        <v>8.5999999999999993E-2</v>
      </c>
      <c r="F27">
        <v>9.7000000000000003E-2</v>
      </c>
      <c r="G27">
        <v>0.123</v>
      </c>
      <c r="H27">
        <v>0.16500000000000001</v>
      </c>
      <c r="I27">
        <v>7.0000000000000007E-2</v>
      </c>
      <c r="J27">
        <v>7.1999999999999995E-2</v>
      </c>
      <c r="K27">
        <v>7.0999999999999994E-2</v>
      </c>
      <c r="L27">
        <v>7.0999999999999994E-2</v>
      </c>
      <c r="M27">
        <v>7.1999999999999995E-2</v>
      </c>
      <c r="N27" s="27" t="s">
        <v>16</v>
      </c>
    </row>
    <row r="28" spans="2:20" x14ac:dyDescent="0.2">
      <c r="B28">
        <v>7.1999999999999995E-2</v>
      </c>
      <c r="C28">
        <v>7.3999999999999996E-2</v>
      </c>
      <c r="D28">
        <v>7.6999999999999999E-2</v>
      </c>
      <c r="E28">
        <v>8.5000000000000006E-2</v>
      </c>
      <c r="F28">
        <v>0.10199999999999999</v>
      </c>
      <c r="G28">
        <v>0.13500000000000001</v>
      </c>
      <c r="H28">
        <v>0.17299999999999999</v>
      </c>
      <c r="I28">
        <v>7.0000000000000007E-2</v>
      </c>
      <c r="J28">
        <v>7.0000000000000007E-2</v>
      </c>
      <c r="K28">
        <v>7.0999999999999994E-2</v>
      </c>
      <c r="L28">
        <v>7.0000000000000007E-2</v>
      </c>
      <c r="M28">
        <v>6.9000000000000006E-2</v>
      </c>
      <c r="N28" s="27"/>
      <c r="P28" s="1" t="s">
        <v>17</v>
      </c>
      <c r="Q28" s="1"/>
    </row>
    <row r="29" spans="2:20" x14ac:dyDescent="0.2">
      <c r="B29">
        <v>0.109</v>
      </c>
      <c r="C29">
        <v>0.115</v>
      </c>
      <c r="D29">
        <v>0.107</v>
      </c>
      <c r="E29">
        <v>0.1</v>
      </c>
      <c r="F29">
        <v>9.5000000000000001E-2</v>
      </c>
      <c r="G29">
        <v>0.105</v>
      </c>
      <c r="H29">
        <v>9.6000000000000002E-2</v>
      </c>
      <c r="I29">
        <v>9.9000000000000005E-2</v>
      </c>
      <c r="J29">
        <v>0.106</v>
      </c>
      <c r="K29">
        <v>9.5000000000000001E-2</v>
      </c>
      <c r="L29">
        <v>0.12</v>
      </c>
      <c r="M29">
        <v>0.111</v>
      </c>
      <c r="N29" s="27"/>
      <c r="P29" s="3"/>
      <c r="Q29" s="8" t="s">
        <v>4</v>
      </c>
      <c r="R29" s="8" t="s">
        <v>5</v>
      </c>
      <c r="S29" s="8" t="s">
        <v>6</v>
      </c>
      <c r="T29" s="8" t="s">
        <v>18</v>
      </c>
    </row>
    <row r="30" spans="2:20" x14ac:dyDescent="0.2">
      <c r="B30">
        <v>0.11</v>
      </c>
      <c r="C30">
        <v>0.11799999999999999</v>
      </c>
      <c r="D30">
        <v>0.111</v>
      </c>
      <c r="E30">
        <v>0.10199999999999999</v>
      </c>
      <c r="F30">
        <v>9.7000000000000003E-2</v>
      </c>
      <c r="G30">
        <v>0.108</v>
      </c>
      <c r="H30">
        <v>9.7000000000000003E-2</v>
      </c>
      <c r="I30">
        <v>0.10299999999999999</v>
      </c>
      <c r="J30">
        <v>0.107</v>
      </c>
      <c r="K30">
        <v>9.6000000000000002E-2</v>
      </c>
      <c r="L30">
        <v>0.11899999999999999</v>
      </c>
      <c r="M30">
        <v>0.11</v>
      </c>
      <c r="N30" s="27"/>
      <c r="P30" s="3" t="s">
        <v>9</v>
      </c>
      <c r="Q30" s="3">
        <f>B27</f>
        <v>7.0999999999999994E-2</v>
      </c>
      <c r="R30" s="3">
        <f>B28</f>
        <v>7.1999999999999995E-2</v>
      </c>
      <c r="S30" s="3">
        <f>AVERAGE(Q30:R30)</f>
        <v>7.1499999999999994E-2</v>
      </c>
      <c r="T30" s="9">
        <v>0</v>
      </c>
    </row>
    <row r="31" spans="2:20" x14ac:dyDescent="0.2">
      <c r="B31">
        <v>0.12</v>
      </c>
      <c r="C31">
        <v>0.114</v>
      </c>
      <c r="D31">
        <v>0.108</v>
      </c>
      <c r="E31">
        <v>0.14199999999999999</v>
      </c>
      <c r="F31">
        <v>0.125</v>
      </c>
      <c r="G31">
        <v>0.11799999999999999</v>
      </c>
      <c r="H31">
        <v>0.129</v>
      </c>
      <c r="N31" s="27"/>
      <c r="P31" s="3" t="s">
        <v>10</v>
      </c>
      <c r="Q31" s="3">
        <f>C27</f>
        <v>7.4999999999999997E-2</v>
      </c>
      <c r="R31" s="3">
        <f>C28</f>
        <v>7.3999999999999996E-2</v>
      </c>
      <c r="S31" s="3">
        <f>AVERAGE(Q31:R31)</f>
        <v>7.4499999999999997E-2</v>
      </c>
      <c r="T31" s="9">
        <v>0.5</v>
      </c>
    </row>
    <row r="32" spans="2:20" x14ac:dyDescent="0.2">
      <c r="B32">
        <v>0.121</v>
      </c>
      <c r="C32">
        <v>0.12</v>
      </c>
      <c r="D32">
        <v>0.113</v>
      </c>
      <c r="E32">
        <v>0.14899999999999999</v>
      </c>
      <c r="F32">
        <v>0.13300000000000001</v>
      </c>
      <c r="G32">
        <v>0.123</v>
      </c>
      <c r="H32">
        <v>0.13500000000000001</v>
      </c>
      <c r="N32" s="27"/>
      <c r="P32" s="3" t="s">
        <v>11</v>
      </c>
      <c r="Q32" s="3">
        <f>D27</f>
        <v>7.8E-2</v>
      </c>
      <c r="R32" s="3">
        <f>D28</f>
        <v>7.6999999999999999E-2</v>
      </c>
      <c r="S32" s="3">
        <f t="shared" ref="S32:S36" si="1">AVERAGE(Q32:R32)</f>
        <v>7.7499999999999999E-2</v>
      </c>
      <c r="T32" s="9">
        <v>1.25</v>
      </c>
    </row>
    <row r="33" spans="2:20" x14ac:dyDescent="0.2">
      <c r="N33" s="27"/>
      <c r="P33" s="3" t="s">
        <v>12</v>
      </c>
      <c r="Q33" s="3">
        <f>E27</f>
        <v>8.5999999999999993E-2</v>
      </c>
      <c r="R33" s="3">
        <f>E28</f>
        <v>8.5000000000000006E-2</v>
      </c>
      <c r="S33" s="3">
        <f>AVERAGE(Q33:R33)</f>
        <v>8.5499999999999993E-2</v>
      </c>
      <c r="T33" s="9">
        <v>2.5</v>
      </c>
    </row>
    <row r="34" spans="2:20" x14ac:dyDescent="0.2">
      <c r="N34" s="27"/>
      <c r="P34" s="3" t="s">
        <v>13</v>
      </c>
      <c r="Q34" s="3">
        <f>F27</f>
        <v>9.7000000000000003E-2</v>
      </c>
      <c r="R34" s="3">
        <f>F28</f>
        <v>0.10199999999999999</v>
      </c>
      <c r="S34" s="3">
        <f t="shared" si="1"/>
        <v>9.9500000000000005E-2</v>
      </c>
      <c r="T34" s="9">
        <v>3.75</v>
      </c>
    </row>
    <row r="35" spans="2:20" x14ac:dyDescent="0.2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P35" s="3" t="s">
        <v>14</v>
      </c>
      <c r="Q35" s="3"/>
      <c r="R35" s="3"/>
      <c r="S35" s="3"/>
      <c r="T35" s="9"/>
    </row>
    <row r="36" spans="2:20" x14ac:dyDescent="0.2">
      <c r="B36" s="6"/>
      <c r="C36" s="6"/>
      <c r="D36" s="6"/>
      <c r="E36" s="6"/>
      <c r="F36" s="6"/>
      <c r="G36" s="6"/>
      <c r="H36" s="6"/>
      <c r="I36" s="15"/>
      <c r="J36" s="15"/>
      <c r="K36" s="15"/>
      <c r="L36" s="15"/>
      <c r="M36" s="15"/>
      <c r="N36" s="28" t="s">
        <v>1</v>
      </c>
      <c r="P36" s="3" t="s">
        <v>15</v>
      </c>
      <c r="Q36" s="3">
        <f>H27</f>
        <v>0.16500000000000001</v>
      </c>
      <c r="R36" s="3">
        <f>H28</f>
        <v>0.17299999999999999</v>
      </c>
      <c r="S36" s="3">
        <f t="shared" si="1"/>
        <v>0.16899999999999998</v>
      </c>
      <c r="T36" s="9">
        <v>15</v>
      </c>
    </row>
    <row r="37" spans="2:20" x14ac:dyDescent="0.2">
      <c r="B37" s="6"/>
      <c r="C37" s="6"/>
      <c r="D37" s="6"/>
      <c r="E37" s="6"/>
      <c r="F37" s="6"/>
      <c r="G37" s="6"/>
      <c r="H37" s="6"/>
      <c r="I37" s="15"/>
      <c r="J37" s="15"/>
      <c r="K37" s="15"/>
      <c r="L37" s="15"/>
      <c r="M37" s="15"/>
      <c r="N37" s="29"/>
    </row>
    <row r="38" spans="2:20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29"/>
      <c r="O38" s="10"/>
      <c r="P38" s="10"/>
      <c r="Q38" s="10"/>
    </row>
    <row r="39" spans="2:20" x14ac:dyDescent="0.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9"/>
      <c r="O39" s="10"/>
      <c r="P39" s="10"/>
      <c r="Q39" s="10"/>
    </row>
    <row r="40" spans="2:20" x14ac:dyDescent="0.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18"/>
      <c r="N40" s="29"/>
      <c r="O40" s="10"/>
      <c r="P40" s="10"/>
      <c r="Q40" s="10"/>
    </row>
    <row r="41" spans="2:20" x14ac:dyDescent="0.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9"/>
      <c r="N41" s="29"/>
      <c r="O41" s="10"/>
      <c r="P41" s="10"/>
      <c r="Q41" s="10"/>
    </row>
    <row r="42" spans="2:20" x14ac:dyDescent="0.2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2"/>
      <c r="N42" s="29"/>
      <c r="O42" s="10"/>
      <c r="P42" s="10"/>
      <c r="Q42" s="10"/>
    </row>
    <row r="43" spans="2:20" x14ac:dyDescent="0.2"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5"/>
      <c r="N43" s="36"/>
      <c r="O43" s="10"/>
      <c r="P43" s="10"/>
      <c r="Q43" s="10"/>
    </row>
    <row r="44" spans="2:20" x14ac:dyDescent="0.2">
      <c r="O44" s="10"/>
      <c r="P44" s="10"/>
      <c r="Q44" s="10"/>
    </row>
    <row r="45" spans="2:20" x14ac:dyDescent="0.2">
      <c r="B45" s="1" t="s">
        <v>19</v>
      </c>
      <c r="C45" s="1"/>
      <c r="D45" s="1"/>
      <c r="E45" s="1"/>
      <c r="F45" s="1"/>
      <c r="L45" s="11"/>
      <c r="M45" s="12"/>
      <c r="N45" s="12"/>
    </row>
    <row r="47" spans="2:20" x14ac:dyDescent="0.2">
      <c r="B47" s="37"/>
      <c r="C47" s="38" t="s">
        <v>0</v>
      </c>
      <c r="D47" s="38" t="s">
        <v>0</v>
      </c>
      <c r="E47" s="38" t="s">
        <v>0</v>
      </c>
      <c r="F47" s="38" t="s">
        <v>0</v>
      </c>
      <c r="G47" s="38" t="s">
        <v>0</v>
      </c>
      <c r="H47" s="39" t="s">
        <v>1</v>
      </c>
      <c r="I47" s="39" t="s">
        <v>1</v>
      </c>
      <c r="J47" s="39" t="s">
        <v>1</v>
      </c>
      <c r="K47" s="40" t="s">
        <v>1</v>
      </c>
      <c r="L47" s="40" t="s">
        <v>1</v>
      </c>
    </row>
    <row r="48" spans="2:20" x14ac:dyDescent="0.2">
      <c r="B48" s="37" t="s">
        <v>23</v>
      </c>
      <c r="C48" s="48" t="s">
        <v>4</v>
      </c>
      <c r="D48" s="48" t="s">
        <v>5</v>
      </c>
      <c r="E48" s="48" t="s">
        <v>6</v>
      </c>
      <c r="F48" s="48" t="s">
        <v>22</v>
      </c>
      <c r="G48" s="48" t="s">
        <v>67</v>
      </c>
      <c r="H48" s="48" t="s">
        <v>4</v>
      </c>
      <c r="I48" s="48" t="s">
        <v>5</v>
      </c>
      <c r="J48" s="48" t="s">
        <v>6</v>
      </c>
      <c r="K48" s="49" t="s">
        <v>22</v>
      </c>
      <c r="L48" s="48" t="s">
        <v>67</v>
      </c>
      <c r="N48" s="51" t="s">
        <v>0</v>
      </c>
      <c r="O48" s="51" t="s">
        <v>1</v>
      </c>
    </row>
    <row r="49" spans="1:15" x14ac:dyDescent="0.2">
      <c r="A49" s="54" t="s">
        <v>68</v>
      </c>
      <c r="B49" s="44" t="s">
        <v>72</v>
      </c>
      <c r="C49">
        <v>6.4000000000000001E-2</v>
      </c>
      <c r="D49">
        <v>6.2E-2</v>
      </c>
      <c r="E49" s="43">
        <f>AVERAGE(C49:D49)</f>
        <v>6.3E-2</v>
      </c>
      <c r="F49" s="43">
        <f>(E49-0.057)/0.0052</f>
        <v>1.1538461538461535</v>
      </c>
      <c r="G49" s="43">
        <f>F49*100</f>
        <v>115.38461538461536</v>
      </c>
      <c r="H49">
        <v>0.109</v>
      </c>
      <c r="I49">
        <v>0.11</v>
      </c>
      <c r="J49" s="43">
        <f>AVERAGE(H49:I49)</f>
        <v>0.1095</v>
      </c>
      <c r="K49" s="43">
        <f>(J49-0.0711)/0.0066</f>
        <v>5.8181818181818183</v>
      </c>
      <c r="L49" s="43">
        <f>K49*200</f>
        <v>1163.6363636363637</v>
      </c>
      <c r="N49" s="47">
        <f>AVERAGE(G49:G54)</f>
        <v>153.84615384615384</v>
      </c>
      <c r="O49" s="47">
        <f>AVERAGE(L49:L54)</f>
        <v>1070.2020202020203</v>
      </c>
    </row>
    <row r="50" spans="1:15" x14ac:dyDescent="0.2">
      <c r="A50" s="55"/>
      <c r="B50" s="44" t="s">
        <v>73</v>
      </c>
      <c r="C50">
        <v>7.0000000000000007E-2</v>
      </c>
      <c r="D50">
        <v>6.8000000000000005E-2</v>
      </c>
      <c r="E50" s="43">
        <f t="shared" ref="E50:E67" si="2">AVERAGE(C50:D50)</f>
        <v>6.9000000000000006E-2</v>
      </c>
      <c r="F50" s="43">
        <f t="shared" ref="F50:F67" si="3">(E50-0.057)/0.0052</f>
        <v>2.3076923076923084</v>
      </c>
      <c r="G50" s="43">
        <f t="shared" ref="G50:G67" si="4">F50*100</f>
        <v>230.76923076923083</v>
      </c>
      <c r="H50">
        <v>0.115</v>
      </c>
      <c r="I50">
        <v>0.11799999999999999</v>
      </c>
      <c r="J50" s="43">
        <f t="shared" ref="J50:J67" si="5">AVERAGE(H50:I50)</f>
        <v>0.11649999999999999</v>
      </c>
      <c r="K50" s="43">
        <f t="shared" ref="K50:K67" si="6">(J50-0.0711)/0.0066</f>
        <v>6.878787878787878</v>
      </c>
      <c r="L50" s="43">
        <f t="shared" ref="L50:L67" si="7">K50*200</f>
        <v>1375.7575757575755</v>
      </c>
    </row>
    <row r="51" spans="1:15" x14ac:dyDescent="0.2">
      <c r="A51" s="55"/>
      <c r="B51" s="44" t="s">
        <v>74</v>
      </c>
      <c r="C51">
        <v>6.4000000000000001E-2</v>
      </c>
      <c r="D51">
        <v>6.3E-2</v>
      </c>
      <c r="E51" s="43">
        <f t="shared" si="2"/>
        <v>6.3500000000000001E-2</v>
      </c>
      <c r="F51" s="43">
        <f t="shared" si="3"/>
        <v>1.2499999999999998</v>
      </c>
      <c r="G51" s="43">
        <f t="shared" si="4"/>
        <v>124.99999999999997</v>
      </c>
      <c r="H51">
        <v>0.107</v>
      </c>
      <c r="I51">
        <v>0.111</v>
      </c>
      <c r="J51" s="43">
        <f t="shared" si="5"/>
        <v>0.109</v>
      </c>
      <c r="K51" s="43">
        <f t="shared" si="6"/>
        <v>5.7424242424242431</v>
      </c>
      <c r="L51" s="43">
        <f t="shared" si="7"/>
        <v>1148.4848484848487</v>
      </c>
    </row>
    <row r="52" spans="1:15" x14ac:dyDescent="0.2">
      <c r="A52" s="55"/>
      <c r="B52" s="44" t="s">
        <v>75</v>
      </c>
      <c r="C52">
        <v>6.6000000000000003E-2</v>
      </c>
      <c r="D52">
        <v>6.5000000000000002E-2</v>
      </c>
      <c r="E52" s="43">
        <f t="shared" si="2"/>
        <v>6.5500000000000003E-2</v>
      </c>
      <c r="F52" s="43">
        <f t="shared" si="3"/>
        <v>1.6346153846153848</v>
      </c>
      <c r="G52" s="43">
        <f t="shared" si="4"/>
        <v>163.46153846153848</v>
      </c>
      <c r="H52">
        <v>0.1</v>
      </c>
      <c r="I52">
        <v>0.10199999999999999</v>
      </c>
      <c r="J52" s="43">
        <f>AVERAGE(H52:I52)</f>
        <v>0.10100000000000001</v>
      </c>
      <c r="K52" s="43">
        <f t="shared" si="6"/>
        <v>4.5303030303030321</v>
      </c>
      <c r="L52" s="43">
        <f t="shared" si="7"/>
        <v>906.06060606060646</v>
      </c>
    </row>
    <row r="53" spans="1:15" x14ac:dyDescent="0.2">
      <c r="A53" s="55"/>
      <c r="B53" s="44" t="s">
        <v>76</v>
      </c>
      <c r="C53">
        <v>6.4000000000000001E-2</v>
      </c>
      <c r="D53">
        <v>6.3E-2</v>
      </c>
      <c r="E53" s="43">
        <f t="shared" si="2"/>
        <v>6.3500000000000001E-2</v>
      </c>
      <c r="F53" s="43">
        <f t="shared" si="3"/>
        <v>1.2499999999999998</v>
      </c>
      <c r="G53" s="43">
        <f t="shared" si="4"/>
        <v>124.99999999999997</v>
      </c>
      <c r="H53">
        <v>9.5000000000000001E-2</v>
      </c>
      <c r="I53">
        <v>9.7000000000000003E-2</v>
      </c>
      <c r="J53" s="43">
        <f t="shared" ref="J53:J59" si="8">AVERAGE(H53:I53)</f>
        <v>9.6000000000000002E-2</v>
      </c>
      <c r="K53" s="43">
        <f t="shared" si="6"/>
        <v>3.7727272727272734</v>
      </c>
      <c r="L53" s="43">
        <f t="shared" si="7"/>
        <v>754.54545454545473</v>
      </c>
    </row>
    <row r="54" spans="1:15" x14ac:dyDescent="0.2">
      <c r="A54" s="56"/>
      <c r="B54" s="44" t="s">
        <v>77</v>
      </c>
      <c r="C54">
        <v>6.6000000000000003E-2</v>
      </c>
      <c r="D54">
        <v>6.5000000000000002E-2</v>
      </c>
      <c r="E54" s="43">
        <f t="shared" si="2"/>
        <v>6.5500000000000003E-2</v>
      </c>
      <c r="F54" s="43">
        <f t="shared" si="3"/>
        <v>1.6346153846153848</v>
      </c>
      <c r="G54" s="43">
        <f t="shared" si="4"/>
        <v>163.46153846153848</v>
      </c>
      <c r="H54">
        <v>0.105</v>
      </c>
      <c r="I54">
        <v>0.108</v>
      </c>
      <c r="J54" s="43">
        <f t="shared" si="8"/>
        <v>0.1065</v>
      </c>
      <c r="K54" s="43">
        <f t="shared" si="6"/>
        <v>5.3636363636363642</v>
      </c>
      <c r="L54" s="43">
        <f t="shared" si="7"/>
        <v>1072.7272727272727</v>
      </c>
    </row>
    <row r="55" spans="1:15" x14ac:dyDescent="0.2">
      <c r="A55" s="54" t="s">
        <v>69</v>
      </c>
      <c r="B55" s="44" t="s">
        <v>80</v>
      </c>
      <c r="C55">
        <v>6.4000000000000001E-2</v>
      </c>
      <c r="D55">
        <v>6.4000000000000001E-2</v>
      </c>
      <c r="E55" s="43">
        <f t="shared" si="2"/>
        <v>6.4000000000000001E-2</v>
      </c>
      <c r="F55" s="43">
        <f t="shared" si="3"/>
        <v>1.346153846153846</v>
      </c>
      <c r="G55" s="43">
        <f t="shared" si="4"/>
        <v>134.61538461538461</v>
      </c>
      <c r="H55">
        <v>9.6000000000000002E-2</v>
      </c>
      <c r="I55">
        <v>9.7000000000000003E-2</v>
      </c>
      <c r="J55" s="43">
        <f t="shared" si="8"/>
        <v>9.6500000000000002E-2</v>
      </c>
      <c r="K55" s="43">
        <f t="shared" si="6"/>
        <v>3.8484848484848495</v>
      </c>
      <c r="L55" s="43">
        <f>K55*200</f>
        <v>769.69696969696986</v>
      </c>
      <c r="N55" s="47">
        <f>AVERAGE(G55:G58)</f>
        <v>156.25</v>
      </c>
      <c r="O55" s="47">
        <f>AVERAGE(L55:L58)</f>
        <v>871.96969696969711</v>
      </c>
    </row>
    <row r="56" spans="1:15" x14ac:dyDescent="0.2">
      <c r="A56" s="55"/>
      <c r="B56" s="44" t="s">
        <v>78</v>
      </c>
      <c r="C56">
        <v>6.8000000000000005E-2</v>
      </c>
      <c r="D56">
        <v>6.6000000000000003E-2</v>
      </c>
      <c r="E56" s="43">
        <f t="shared" si="2"/>
        <v>6.7000000000000004E-2</v>
      </c>
      <c r="F56" s="43">
        <f t="shared" si="3"/>
        <v>1.9230769230769236</v>
      </c>
      <c r="G56" s="43">
        <f t="shared" si="4"/>
        <v>192.30769230769235</v>
      </c>
      <c r="H56">
        <v>9.9000000000000005E-2</v>
      </c>
      <c r="I56">
        <v>0.10299999999999999</v>
      </c>
      <c r="J56" s="43">
        <f t="shared" si="8"/>
        <v>0.10100000000000001</v>
      </c>
      <c r="K56" s="43">
        <f t="shared" si="6"/>
        <v>4.5303030303030321</v>
      </c>
      <c r="L56" s="43">
        <f t="shared" si="7"/>
        <v>906.06060606060646</v>
      </c>
    </row>
    <row r="57" spans="1:15" x14ac:dyDescent="0.2">
      <c r="A57" s="55"/>
      <c r="B57" s="44" t="s">
        <v>79</v>
      </c>
      <c r="C57">
        <v>6.6000000000000003E-2</v>
      </c>
      <c r="D57">
        <v>6.4000000000000001E-2</v>
      </c>
      <c r="E57" s="43">
        <f t="shared" si="2"/>
        <v>6.5000000000000002E-2</v>
      </c>
      <c r="F57" s="43">
        <f t="shared" si="3"/>
        <v>1.5384615384615385</v>
      </c>
      <c r="G57" s="43">
        <f t="shared" si="4"/>
        <v>153.84615384615387</v>
      </c>
      <c r="H57">
        <v>0.106</v>
      </c>
      <c r="I57">
        <v>0.107</v>
      </c>
      <c r="J57" s="43">
        <f t="shared" si="8"/>
        <v>0.1065</v>
      </c>
      <c r="K57" s="43">
        <f t="shared" si="6"/>
        <v>5.3636363636363642</v>
      </c>
      <c r="L57" s="43">
        <f t="shared" si="7"/>
        <v>1072.7272727272727</v>
      </c>
    </row>
    <row r="58" spans="1:15" x14ac:dyDescent="0.2">
      <c r="A58" s="55"/>
      <c r="B58" s="44" t="s">
        <v>81</v>
      </c>
      <c r="C58">
        <v>6.5000000000000002E-2</v>
      </c>
      <c r="D58">
        <v>6.4000000000000001E-2</v>
      </c>
      <c r="E58" s="43">
        <f t="shared" si="2"/>
        <v>6.4500000000000002E-2</v>
      </c>
      <c r="F58" s="43">
        <f t="shared" si="3"/>
        <v>1.4423076923076923</v>
      </c>
      <c r="G58" s="43">
        <f t="shared" si="4"/>
        <v>144.23076923076923</v>
      </c>
      <c r="H58">
        <v>9.5000000000000001E-2</v>
      </c>
      <c r="I58">
        <v>9.6000000000000002E-2</v>
      </c>
      <c r="J58" s="43">
        <f t="shared" si="8"/>
        <v>9.5500000000000002E-2</v>
      </c>
      <c r="K58" s="43">
        <f t="shared" si="6"/>
        <v>3.6969696969696977</v>
      </c>
      <c r="L58" s="43">
        <f t="shared" si="7"/>
        <v>739.39393939393949</v>
      </c>
    </row>
    <row r="59" spans="1:15" x14ac:dyDescent="0.2">
      <c r="A59" s="54" t="s">
        <v>70</v>
      </c>
      <c r="B59" s="44" t="s">
        <v>82</v>
      </c>
      <c r="C59">
        <v>7.9000000000000001E-2</v>
      </c>
      <c r="D59">
        <v>7.6999999999999999E-2</v>
      </c>
      <c r="E59" s="43">
        <f t="shared" si="2"/>
        <v>7.8E-2</v>
      </c>
      <c r="F59" s="43">
        <f t="shared" si="3"/>
        <v>4.0384615384615383</v>
      </c>
      <c r="G59" s="43">
        <f t="shared" si="4"/>
        <v>403.84615384615381</v>
      </c>
      <c r="H59">
        <v>0.12</v>
      </c>
      <c r="I59">
        <v>0.11899999999999999</v>
      </c>
      <c r="J59" s="43">
        <f t="shared" si="8"/>
        <v>0.1195</v>
      </c>
      <c r="K59" s="43">
        <f t="shared" si="6"/>
        <v>7.333333333333333</v>
      </c>
      <c r="L59" s="43">
        <f t="shared" si="7"/>
        <v>1466.6666666666665</v>
      </c>
      <c r="N59" s="47">
        <f>AVERAGE(G59:G62)</f>
        <v>338.94230769230768</v>
      </c>
      <c r="O59" s="47">
        <f>AVERAGE(L59:L63)</f>
        <v>1348.4848484848485</v>
      </c>
    </row>
    <row r="60" spans="1:15" x14ac:dyDescent="0.2">
      <c r="A60" s="55"/>
      <c r="B60" s="44" t="s">
        <v>83</v>
      </c>
      <c r="C60">
        <v>7.2999999999999995E-2</v>
      </c>
      <c r="D60">
        <v>7.0999999999999994E-2</v>
      </c>
      <c r="E60" s="43">
        <f t="shared" si="2"/>
        <v>7.1999999999999995E-2</v>
      </c>
      <c r="F60" s="43">
        <f t="shared" si="3"/>
        <v>2.8846153846153832</v>
      </c>
      <c r="G60" s="43">
        <f t="shared" si="4"/>
        <v>288.46153846153834</v>
      </c>
      <c r="H60">
        <v>0.111</v>
      </c>
      <c r="I60">
        <v>0.11</v>
      </c>
      <c r="J60" s="43">
        <f t="shared" si="5"/>
        <v>0.1105</v>
      </c>
      <c r="K60" s="43">
        <f t="shared" si="6"/>
        <v>5.9696969696969706</v>
      </c>
      <c r="L60" s="43">
        <f t="shared" si="7"/>
        <v>1193.9393939393942</v>
      </c>
    </row>
    <row r="61" spans="1:15" x14ac:dyDescent="0.2">
      <c r="A61" s="55"/>
      <c r="B61" s="44" t="s">
        <v>84</v>
      </c>
      <c r="C61">
        <v>7.0000000000000007E-2</v>
      </c>
      <c r="D61">
        <v>7.0999999999999994E-2</v>
      </c>
      <c r="E61" s="43">
        <f t="shared" si="2"/>
        <v>7.0500000000000007E-2</v>
      </c>
      <c r="F61" s="43">
        <f t="shared" si="3"/>
        <v>2.5961538461538471</v>
      </c>
      <c r="G61" s="43">
        <f t="shared" si="4"/>
        <v>259.6153846153847</v>
      </c>
      <c r="H61">
        <v>0.12</v>
      </c>
      <c r="I61">
        <v>0.121</v>
      </c>
      <c r="J61" s="43">
        <f t="shared" si="5"/>
        <v>0.1205</v>
      </c>
      <c r="K61" s="43">
        <f t="shared" si="6"/>
        <v>7.4848484848484844</v>
      </c>
      <c r="L61" s="43">
        <f t="shared" si="7"/>
        <v>1496.969696969697</v>
      </c>
    </row>
    <row r="62" spans="1:15" x14ac:dyDescent="0.2">
      <c r="A62" s="55"/>
      <c r="B62" s="44" t="s">
        <v>85</v>
      </c>
      <c r="C62">
        <v>7.8E-2</v>
      </c>
      <c r="D62">
        <v>7.8E-2</v>
      </c>
      <c r="E62" s="43">
        <f t="shared" si="2"/>
        <v>7.8E-2</v>
      </c>
      <c r="F62" s="43">
        <f t="shared" si="3"/>
        <v>4.0384615384615383</v>
      </c>
      <c r="G62" s="43">
        <f t="shared" si="4"/>
        <v>403.84615384615381</v>
      </c>
      <c r="H62">
        <v>0.114</v>
      </c>
      <c r="I62">
        <v>0.12</v>
      </c>
      <c r="J62" s="43">
        <f t="shared" si="5"/>
        <v>0.11699999999999999</v>
      </c>
      <c r="K62" s="43">
        <f t="shared" si="6"/>
        <v>6.9545454545454541</v>
      </c>
      <c r="L62" s="43">
        <f t="shared" si="7"/>
        <v>1390.9090909090908</v>
      </c>
    </row>
    <row r="63" spans="1:15" x14ac:dyDescent="0.2">
      <c r="A63" s="56"/>
      <c r="B63" s="44" t="s">
        <v>86</v>
      </c>
      <c r="C63">
        <v>6.7000000000000004E-2</v>
      </c>
      <c r="D63">
        <v>6.7000000000000004E-2</v>
      </c>
      <c r="E63" s="43">
        <f t="shared" si="2"/>
        <v>6.7000000000000004E-2</v>
      </c>
      <c r="F63" s="43">
        <f t="shared" si="3"/>
        <v>1.9230769230769236</v>
      </c>
      <c r="G63" s="43">
        <f t="shared" si="4"/>
        <v>192.30769230769235</v>
      </c>
      <c r="H63">
        <v>0.108</v>
      </c>
      <c r="I63">
        <v>0.113</v>
      </c>
      <c r="J63" s="43">
        <f t="shared" si="5"/>
        <v>0.1105</v>
      </c>
      <c r="K63" s="43">
        <f t="shared" si="6"/>
        <v>5.9696969696969706</v>
      </c>
      <c r="L63" s="43">
        <f t="shared" si="7"/>
        <v>1193.9393939393942</v>
      </c>
      <c r="N63" s="47">
        <f>AVERAGE(G64:G67)</f>
        <v>379.80769230769226</v>
      </c>
      <c r="O63" s="47">
        <f>AVERAGE(L64:L67)</f>
        <v>1837.878787878788</v>
      </c>
    </row>
    <row r="64" spans="1:15" x14ac:dyDescent="0.2">
      <c r="A64" s="54" t="s">
        <v>71</v>
      </c>
      <c r="B64" s="44" t="s">
        <v>87</v>
      </c>
      <c r="C64">
        <v>7.6999999999999999E-2</v>
      </c>
      <c r="D64">
        <v>7.4999999999999997E-2</v>
      </c>
      <c r="E64" s="43">
        <f t="shared" si="2"/>
        <v>7.5999999999999998E-2</v>
      </c>
      <c r="F64" s="43">
        <f t="shared" si="3"/>
        <v>3.6538461538461533</v>
      </c>
      <c r="G64" s="43">
        <f t="shared" si="4"/>
        <v>365.38461538461536</v>
      </c>
      <c r="H64">
        <v>0.14199999999999999</v>
      </c>
      <c r="I64">
        <v>0.14899999999999999</v>
      </c>
      <c r="J64" s="43">
        <f t="shared" si="5"/>
        <v>0.14549999999999999</v>
      </c>
      <c r="K64" s="43">
        <f t="shared" si="6"/>
        <v>11.272727272727272</v>
      </c>
      <c r="L64" s="43">
        <f t="shared" si="7"/>
        <v>2254.5454545454545</v>
      </c>
    </row>
    <row r="65" spans="1:12" x14ac:dyDescent="0.2">
      <c r="A65" s="55"/>
      <c r="B65" s="44" t="s">
        <v>88</v>
      </c>
      <c r="C65">
        <v>8.4000000000000005E-2</v>
      </c>
      <c r="D65">
        <v>8.3000000000000004E-2</v>
      </c>
      <c r="E65" s="43">
        <f t="shared" si="2"/>
        <v>8.3500000000000005E-2</v>
      </c>
      <c r="F65" s="43">
        <f t="shared" si="3"/>
        <v>5.0961538461538467</v>
      </c>
      <c r="G65" s="43">
        <f t="shared" si="4"/>
        <v>509.61538461538464</v>
      </c>
      <c r="H65">
        <v>0.125</v>
      </c>
      <c r="I65">
        <v>0.13300000000000001</v>
      </c>
      <c r="J65" s="43">
        <f t="shared" si="5"/>
        <v>0.129</v>
      </c>
      <c r="K65" s="43">
        <f t="shared" si="6"/>
        <v>8.7727272727272734</v>
      </c>
      <c r="L65" s="43">
        <f t="shared" si="7"/>
        <v>1754.5454545454547</v>
      </c>
    </row>
    <row r="66" spans="1:12" x14ac:dyDescent="0.2">
      <c r="A66" s="55"/>
      <c r="B66" s="44" t="s">
        <v>89</v>
      </c>
      <c r="C66">
        <v>7.4999999999999997E-2</v>
      </c>
      <c r="D66">
        <v>7.2999999999999995E-2</v>
      </c>
      <c r="E66" s="43">
        <f t="shared" si="2"/>
        <v>7.3999999999999996E-2</v>
      </c>
      <c r="F66" s="43">
        <f t="shared" si="3"/>
        <v>3.2692307692307683</v>
      </c>
      <c r="G66" s="43">
        <f t="shared" si="4"/>
        <v>326.92307692307685</v>
      </c>
      <c r="H66">
        <v>0.11799999999999999</v>
      </c>
      <c r="I66">
        <v>0.123</v>
      </c>
      <c r="J66" s="43">
        <f t="shared" si="5"/>
        <v>0.1205</v>
      </c>
      <c r="K66" s="43">
        <f t="shared" si="6"/>
        <v>7.4848484848484844</v>
      </c>
      <c r="L66" s="43">
        <f t="shared" si="7"/>
        <v>1496.969696969697</v>
      </c>
    </row>
    <row r="67" spans="1:12" x14ac:dyDescent="0.2">
      <c r="A67" s="56"/>
      <c r="B67" s="44" t="s">
        <v>90</v>
      </c>
      <c r="C67">
        <v>7.3999999999999996E-2</v>
      </c>
      <c r="D67">
        <v>7.2999999999999995E-2</v>
      </c>
      <c r="E67" s="43">
        <f t="shared" si="2"/>
        <v>7.3499999999999996E-2</v>
      </c>
      <c r="F67" s="43">
        <f t="shared" si="3"/>
        <v>3.173076923076922</v>
      </c>
      <c r="G67" s="43">
        <f t="shared" si="4"/>
        <v>317.30769230769221</v>
      </c>
      <c r="H67">
        <v>0.129</v>
      </c>
      <c r="I67">
        <v>0.13500000000000001</v>
      </c>
      <c r="J67" s="43">
        <f t="shared" si="5"/>
        <v>0.13200000000000001</v>
      </c>
      <c r="K67" s="43">
        <f t="shared" si="6"/>
        <v>9.2272727272727284</v>
      </c>
      <c r="L67" s="43">
        <f t="shared" si="7"/>
        <v>1845.4545454545457</v>
      </c>
    </row>
  </sheetData>
  <mergeCells count="5">
    <mergeCell ref="B4:L4"/>
    <mergeCell ref="A49:A54"/>
    <mergeCell ref="A55:A58"/>
    <mergeCell ref="A59:A63"/>
    <mergeCell ref="A64:A67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Y-Fasted</vt:lpstr>
      <vt:lpstr>Y-Fed</vt:lpstr>
      <vt:lpstr>A-Fasted</vt:lpstr>
      <vt:lpstr>A-Fed</vt:lpstr>
      <vt:lpstr>chow</vt:lpstr>
      <vt:lpstr>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EnSpire</dc:creator>
  <cp:lastModifiedBy>Amy Yu</cp:lastModifiedBy>
  <dcterms:created xsi:type="dcterms:W3CDTF">2017-08-17T00:31:01Z</dcterms:created>
  <dcterms:modified xsi:type="dcterms:W3CDTF">2019-05-06T21:22:45Z</dcterms:modified>
</cp:coreProperties>
</file>