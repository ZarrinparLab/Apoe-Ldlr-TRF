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yu/Desktop/Athro Docs:Files/"/>
    </mc:Choice>
  </mc:AlternateContent>
  <xr:revisionPtr revIDLastSave="0" documentId="13_ncr:1_{6C9D32A4-0EFC-FB4A-ADA6-BA7148149A96}" xr6:coauthVersionLast="43" xr6:coauthVersionMax="43" xr10:uidLastSave="{00000000-0000-0000-0000-000000000000}"/>
  <bookViews>
    <workbookView xWindow="0" yWindow="460" windowWidth="25600" windowHeight="14620" xr2:uid="{00000000-000D-0000-FFFF-FFFF00000000}"/>
  </bookViews>
  <sheets>
    <sheet name="Original Collection" sheetId="1" r:id="rId1"/>
    <sheet name="After TG and Cholesterol Assay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3" i="2" l="1"/>
  <c r="E22" i="2"/>
  <c r="E20" i="2"/>
  <c r="E19" i="2"/>
  <c r="E18" i="2"/>
  <c r="E17" i="2"/>
  <c r="E16" i="2"/>
  <c r="E15" i="2"/>
  <c r="E14" i="2"/>
  <c r="E13" i="2"/>
  <c r="E12" i="2"/>
  <c r="E11" i="2"/>
  <c r="E9" i="2"/>
  <c r="E7" i="2"/>
  <c r="E6" i="2"/>
  <c r="E5" i="2"/>
  <c r="E4" i="2"/>
  <c r="E3" i="2"/>
  <c r="E2" i="2"/>
  <c r="E23" i="1" l="1"/>
  <c r="E22" i="1"/>
  <c r="E20" i="1"/>
  <c r="E19" i="1"/>
  <c r="E18" i="1"/>
  <c r="E17" i="1"/>
  <c r="E16" i="1"/>
  <c r="E15" i="1"/>
  <c r="E14" i="1"/>
  <c r="E13" i="1"/>
  <c r="E12" i="1"/>
  <c r="E11" i="1"/>
  <c r="E9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<sst xmlns="http://schemas.openxmlformats.org/spreadsheetml/2006/main" count="111" uniqueCount="34">
  <si>
    <t>Condition</t>
  </si>
  <si>
    <t>Mouse ID</t>
  </si>
  <si>
    <t>Amount of 25uL aliquots</t>
  </si>
  <si>
    <t>Approx. volume of final tube (remainder)</t>
  </si>
  <si>
    <t>Approx total volume collected</t>
  </si>
  <si>
    <t>Apoe-/- TRF</t>
  </si>
  <si>
    <t>123N</t>
  </si>
  <si>
    <t>123L</t>
  </si>
  <si>
    <t>123R</t>
  </si>
  <si>
    <t xml:space="preserve">123B </t>
  </si>
  <si>
    <t>124N</t>
  </si>
  <si>
    <t>124L</t>
  </si>
  <si>
    <t>Apoe-/- ad lib</t>
  </si>
  <si>
    <t>125N</t>
  </si>
  <si>
    <t>none</t>
  </si>
  <si>
    <t>125L</t>
  </si>
  <si>
    <t>125R</t>
  </si>
  <si>
    <t>125B</t>
  </si>
  <si>
    <t>126N</t>
  </si>
  <si>
    <t>126L</t>
  </si>
  <si>
    <t>Ldlr-/- TRF</t>
  </si>
  <si>
    <t>130N</t>
  </si>
  <si>
    <t>130L</t>
  </si>
  <si>
    <t>130R</t>
  </si>
  <si>
    <t>131N</t>
  </si>
  <si>
    <t>131L</t>
  </si>
  <si>
    <t>Ldlr-/- ad lib</t>
  </si>
  <si>
    <t>132N</t>
  </si>
  <si>
    <t>132L</t>
  </si>
  <si>
    <t>132R</t>
  </si>
  <si>
    <t>133N</t>
  </si>
  <si>
    <t>133L</t>
  </si>
  <si>
    <t>133R</t>
  </si>
  <si>
    <t>Serum Amount Removed for FPLC/total cholesterol and TG 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</si>
</sst>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b/>
      <sz val="10"/>
      <name val="Arial"/>
      <family val="2"/>
    </font>
    <font>
      <sz val="10"/>
      <color rgb="FF4A86E8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FF9900"/>
      <name val="Arial"/>
      <family val="2"/>
    </font>
    <font>
      <sz val="10"/>
      <color rgb="FF6AA84F"/>
      <name val="Arial"/>
      <family val="2"/>
    </font>
    <font>
      <sz val="10"/>
      <color rgb="FFFF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/>
    <xf numFmtId="0" fontId="3" fillId="0" borderId="2" xfId="0" applyFont="1" applyBorder="1" applyAlignment="1"/>
    <xf numFmtId="0" fontId="4" fillId="0" borderId="2" xfId="0" applyFont="1" applyBorder="1" applyAlignment="1">
      <alignment horizontal="right"/>
    </xf>
    <xf numFmtId="0" fontId="4" fillId="0" borderId="2" xfId="0" applyFont="1" applyBorder="1" applyAlignment="1"/>
    <xf numFmtId="0" fontId="4" fillId="0" borderId="3" xfId="0" applyFont="1" applyBorder="1" applyAlignment="1">
      <alignment horizontal="right"/>
    </xf>
    <xf numFmtId="0" fontId="2" fillId="0" borderId="4" xfId="0" applyFont="1" applyBorder="1" applyAlignment="1"/>
    <xf numFmtId="0" fontId="3" fillId="0" borderId="0" xfId="0" applyFont="1" applyBorder="1" applyAlignment="1"/>
    <xf numFmtId="0" fontId="4" fillId="0" borderId="0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0" xfId="0" applyFont="1" applyBorder="1" applyAlignment="1"/>
    <xf numFmtId="0" fontId="2" fillId="0" borderId="6" xfId="0" applyFont="1" applyBorder="1" applyAlignment="1"/>
    <xf numFmtId="0" fontId="3" fillId="0" borderId="7" xfId="0" applyFont="1" applyBorder="1" applyAlignment="1"/>
    <xf numFmtId="0" fontId="4" fillId="0" borderId="7" xfId="0" applyFont="1" applyBorder="1" applyAlignment="1">
      <alignment horizontal="right"/>
    </xf>
    <xf numFmtId="0" fontId="4" fillId="0" borderId="7" xfId="0" applyFont="1" applyBorder="1" applyAlignment="1"/>
    <xf numFmtId="0" fontId="4" fillId="0" borderId="8" xfId="0" applyFont="1" applyBorder="1" applyAlignment="1">
      <alignment horizontal="right"/>
    </xf>
    <xf numFmtId="0" fontId="5" fillId="0" borderId="1" xfId="0" applyFont="1" applyBorder="1" applyAlignment="1"/>
    <xf numFmtId="0" fontId="4" fillId="2" borderId="2" xfId="0" applyFont="1" applyFill="1" applyBorder="1" applyAlignment="1"/>
    <xf numFmtId="0" fontId="4" fillId="2" borderId="3" xfId="0" applyFont="1" applyFill="1" applyBorder="1" applyAlignment="1">
      <alignment horizontal="right"/>
    </xf>
    <xf numFmtId="0" fontId="5" fillId="0" borderId="4" xfId="0" applyFont="1" applyBorder="1" applyAlignment="1"/>
    <xf numFmtId="0" fontId="4" fillId="2" borderId="0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6" fillId="0" borderId="6" xfId="0" applyFont="1" applyBorder="1" applyAlignment="1"/>
    <xf numFmtId="0" fontId="5" fillId="0" borderId="6" xfId="0" applyFont="1" applyBorder="1" applyAlignment="1"/>
    <xf numFmtId="0" fontId="6" fillId="0" borderId="1" xfId="0" applyFont="1" applyBorder="1" applyAlignment="1"/>
    <xf numFmtId="0" fontId="6" fillId="0" borderId="4" xfId="0" applyFont="1" applyBorder="1" applyAlignment="1"/>
    <xf numFmtId="0" fontId="7" fillId="0" borderId="1" xfId="0" applyFont="1" applyBorder="1" applyAlignment="1"/>
    <xf numFmtId="0" fontId="7" fillId="0" borderId="4" xfId="0" applyFont="1" applyBorder="1" applyAlignment="1"/>
    <xf numFmtId="0" fontId="7" fillId="0" borderId="6" xfId="0" applyFont="1" applyBorder="1" applyAlignment="1"/>
    <xf numFmtId="0" fontId="4" fillId="2" borderId="7" xfId="0" applyFont="1" applyFill="1" applyBorder="1" applyAlignment="1"/>
    <xf numFmtId="0" fontId="4" fillId="2" borderId="8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4"/>
  <sheetViews>
    <sheetView tabSelected="1" workbookViewId="0">
      <selection activeCell="C30" sqref="C30"/>
    </sheetView>
  </sheetViews>
  <sheetFormatPr baseColWidth="10" defaultColWidth="14.5" defaultRowHeight="15.75" customHeight="1" x14ac:dyDescent="0.15"/>
  <cols>
    <col min="3" max="3" width="24.33203125" customWidth="1"/>
    <col min="4" max="4" width="23.83203125" customWidth="1"/>
  </cols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/>
    </row>
    <row r="2" spans="1:7" ht="15.75" customHeight="1" x14ac:dyDescent="0.15">
      <c r="A2" s="2" t="s">
        <v>5</v>
      </c>
      <c r="B2" s="3" t="s">
        <v>6</v>
      </c>
      <c r="C2" s="4">
        <v>4</v>
      </c>
      <c r="D2" s="5"/>
      <c r="E2" s="6">
        <f t="shared" ref="E2:E7" si="0">(C2*25)+D2</f>
        <v>100</v>
      </c>
    </row>
    <row r="3" spans="1:7" ht="15.75" customHeight="1" x14ac:dyDescent="0.15">
      <c r="A3" s="7" t="s">
        <v>5</v>
      </c>
      <c r="B3" s="8" t="s">
        <v>7</v>
      </c>
      <c r="C3" s="9">
        <v>1</v>
      </c>
      <c r="D3" s="9">
        <v>10</v>
      </c>
      <c r="E3" s="10">
        <f t="shared" si="0"/>
        <v>35</v>
      </c>
    </row>
    <row r="4" spans="1:7" ht="15.75" customHeight="1" x14ac:dyDescent="0.15">
      <c r="A4" s="7" t="s">
        <v>5</v>
      </c>
      <c r="B4" s="8" t="s">
        <v>8</v>
      </c>
      <c r="C4" s="9">
        <v>4</v>
      </c>
      <c r="D4" s="11"/>
      <c r="E4" s="10">
        <f t="shared" si="0"/>
        <v>100</v>
      </c>
    </row>
    <row r="5" spans="1:7" ht="15.75" customHeight="1" x14ac:dyDescent="0.15">
      <c r="A5" s="7" t="s">
        <v>5</v>
      </c>
      <c r="B5" s="8" t="s">
        <v>9</v>
      </c>
      <c r="C5" s="9">
        <v>3</v>
      </c>
      <c r="D5" s="11"/>
      <c r="E5" s="10">
        <f t="shared" si="0"/>
        <v>75</v>
      </c>
    </row>
    <row r="6" spans="1:7" ht="15.75" customHeight="1" x14ac:dyDescent="0.15">
      <c r="A6" s="7" t="s">
        <v>5</v>
      </c>
      <c r="B6" s="8" t="s">
        <v>10</v>
      </c>
      <c r="C6" s="9">
        <v>3</v>
      </c>
      <c r="D6" s="9">
        <v>10</v>
      </c>
      <c r="E6" s="10">
        <f t="shared" si="0"/>
        <v>85</v>
      </c>
    </row>
    <row r="7" spans="1:7" ht="15.75" customHeight="1" x14ac:dyDescent="0.15">
      <c r="A7" s="12" t="s">
        <v>5</v>
      </c>
      <c r="B7" s="13" t="s">
        <v>11</v>
      </c>
      <c r="C7" s="14">
        <v>5</v>
      </c>
      <c r="D7" s="15"/>
      <c r="E7" s="16">
        <f t="shared" si="0"/>
        <v>125</v>
      </c>
    </row>
    <row r="8" spans="1:7" ht="15.75" customHeight="1" x14ac:dyDescent="0.15">
      <c r="A8" s="17" t="s">
        <v>12</v>
      </c>
      <c r="B8" s="3" t="s">
        <v>13</v>
      </c>
      <c r="C8" s="18" t="s">
        <v>14</v>
      </c>
      <c r="D8" s="18"/>
      <c r="E8" s="19"/>
    </row>
    <row r="9" spans="1:7" ht="15.75" customHeight="1" x14ac:dyDescent="0.15">
      <c r="A9" s="20" t="s">
        <v>12</v>
      </c>
      <c r="B9" s="8" t="s">
        <v>15</v>
      </c>
      <c r="C9" s="9">
        <v>1</v>
      </c>
      <c r="D9" s="9">
        <v>10</v>
      </c>
      <c r="E9" s="10">
        <f>(C9*25)+D9</f>
        <v>35</v>
      </c>
    </row>
    <row r="10" spans="1:7" ht="15.75" customHeight="1" x14ac:dyDescent="0.15">
      <c r="A10" s="20" t="s">
        <v>12</v>
      </c>
      <c r="B10" s="8" t="s">
        <v>16</v>
      </c>
      <c r="C10" s="21" t="s">
        <v>14</v>
      </c>
      <c r="D10" s="21"/>
      <c r="E10" s="22"/>
    </row>
    <row r="11" spans="1:7" ht="15.75" customHeight="1" x14ac:dyDescent="0.15">
      <c r="A11" s="20" t="s">
        <v>12</v>
      </c>
      <c r="B11" s="8" t="s">
        <v>17</v>
      </c>
      <c r="C11" s="9">
        <v>4</v>
      </c>
      <c r="D11" s="9">
        <v>10</v>
      </c>
      <c r="E11" s="10">
        <f t="shared" ref="E11:E20" si="1">(C11*25)+D11</f>
        <v>110</v>
      </c>
    </row>
    <row r="12" spans="1:7" ht="15.75" customHeight="1" x14ac:dyDescent="0.15">
      <c r="A12" s="20" t="s">
        <v>12</v>
      </c>
      <c r="B12" s="8" t="s">
        <v>18</v>
      </c>
      <c r="C12" s="9">
        <v>4</v>
      </c>
      <c r="D12" s="11"/>
      <c r="E12" s="10">
        <f t="shared" si="1"/>
        <v>100</v>
      </c>
    </row>
    <row r="13" spans="1:7" ht="15.75" customHeight="1" x14ac:dyDescent="0.15">
      <c r="A13" s="24" t="s">
        <v>12</v>
      </c>
      <c r="B13" s="13" t="s">
        <v>19</v>
      </c>
      <c r="C13" s="14">
        <v>4</v>
      </c>
      <c r="D13" s="15"/>
      <c r="E13" s="16">
        <f t="shared" si="1"/>
        <v>100</v>
      </c>
    </row>
    <row r="14" spans="1:7" ht="15.75" customHeight="1" x14ac:dyDescent="0.15">
      <c r="A14" s="25" t="s">
        <v>20</v>
      </c>
      <c r="B14" s="3" t="s">
        <v>21</v>
      </c>
      <c r="C14" s="4">
        <v>8</v>
      </c>
      <c r="D14" s="5"/>
      <c r="E14" s="6">
        <f t="shared" si="1"/>
        <v>200</v>
      </c>
    </row>
    <row r="15" spans="1:7" ht="15.75" customHeight="1" x14ac:dyDescent="0.15">
      <c r="A15" s="26" t="s">
        <v>20</v>
      </c>
      <c r="B15" s="8" t="s">
        <v>22</v>
      </c>
      <c r="C15" s="9">
        <v>9</v>
      </c>
      <c r="D15" s="11"/>
      <c r="E15" s="10">
        <f t="shared" si="1"/>
        <v>225</v>
      </c>
    </row>
    <row r="16" spans="1:7" ht="15.75" customHeight="1" x14ac:dyDescent="0.15">
      <c r="A16" s="26" t="s">
        <v>20</v>
      </c>
      <c r="B16" s="8" t="s">
        <v>23</v>
      </c>
      <c r="C16" s="9">
        <v>5</v>
      </c>
      <c r="D16" s="11"/>
      <c r="E16" s="10">
        <f t="shared" si="1"/>
        <v>125</v>
      </c>
    </row>
    <row r="17" spans="1:5" ht="15.75" customHeight="1" x14ac:dyDescent="0.15">
      <c r="A17" s="26" t="s">
        <v>20</v>
      </c>
      <c r="B17" s="8" t="s">
        <v>24</v>
      </c>
      <c r="C17" s="9">
        <v>3</v>
      </c>
      <c r="D17" s="9">
        <v>10</v>
      </c>
      <c r="E17" s="10">
        <f t="shared" si="1"/>
        <v>85</v>
      </c>
    </row>
    <row r="18" spans="1:5" ht="15.75" customHeight="1" x14ac:dyDescent="0.15">
      <c r="A18" s="23" t="s">
        <v>20</v>
      </c>
      <c r="B18" s="13" t="s">
        <v>25</v>
      </c>
      <c r="C18" s="14">
        <v>4</v>
      </c>
      <c r="D18" s="15"/>
      <c r="E18" s="16">
        <f t="shared" si="1"/>
        <v>100</v>
      </c>
    </row>
    <row r="19" spans="1:5" ht="15.75" customHeight="1" x14ac:dyDescent="0.15">
      <c r="A19" s="27" t="s">
        <v>26</v>
      </c>
      <c r="B19" s="3" t="s">
        <v>27</v>
      </c>
      <c r="C19" s="4">
        <v>4</v>
      </c>
      <c r="D19" s="5"/>
      <c r="E19" s="6">
        <f t="shared" si="1"/>
        <v>100</v>
      </c>
    </row>
    <row r="20" spans="1:5" ht="15.75" customHeight="1" x14ac:dyDescent="0.15">
      <c r="A20" s="28" t="s">
        <v>26</v>
      </c>
      <c r="B20" s="8" t="s">
        <v>28</v>
      </c>
      <c r="C20" s="9">
        <v>4</v>
      </c>
      <c r="D20" s="9">
        <v>15</v>
      </c>
      <c r="E20" s="10">
        <f t="shared" si="1"/>
        <v>115</v>
      </c>
    </row>
    <row r="21" spans="1:5" ht="15.75" customHeight="1" x14ac:dyDescent="0.15">
      <c r="A21" s="28" t="s">
        <v>26</v>
      </c>
      <c r="B21" s="8" t="s">
        <v>29</v>
      </c>
      <c r="C21" s="21" t="s">
        <v>14</v>
      </c>
      <c r="D21" s="21"/>
      <c r="E21" s="22">
        <v>0</v>
      </c>
    </row>
    <row r="22" spans="1:5" ht="15.75" customHeight="1" x14ac:dyDescent="0.15">
      <c r="A22" s="28" t="s">
        <v>26</v>
      </c>
      <c r="B22" s="8" t="s">
        <v>30</v>
      </c>
      <c r="C22" s="9">
        <v>4</v>
      </c>
      <c r="D22" s="11"/>
      <c r="E22" s="10">
        <f t="shared" ref="E22:E23" si="2">(C22*25)+D22</f>
        <v>100</v>
      </c>
    </row>
    <row r="23" spans="1:5" ht="15.75" customHeight="1" x14ac:dyDescent="0.15">
      <c r="A23" s="28" t="s">
        <v>26</v>
      </c>
      <c r="B23" s="8" t="s">
        <v>31</v>
      </c>
      <c r="C23" s="9">
        <v>2</v>
      </c>
      <c r="D23" s="11"/>
      <c r="E23" s="10">
        <f t="shared" si="2"/>
        <v>50</v>
      </c>
    </row>
    <row r="24" spans="1:5" ht="15.75" customHeight="1" x14ac:dyDescent="0.15">
      <c r="A24" s="29" t="s">
        <v>26</v>
      </c>
      <c r="B24" s="13" t="s">
        <v>32</v>
      </c>
      <c r="C24" s="30" t="s">
        <v>14</v>
      </c>
      <c r="D24" s="30"/>
      <c r="E24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1D3C1-88E6-9B40-83C1-FDA7185D2250}">
  <dimension ref="A1:H24"/>
  <sheetViews>
    <sheetView workbookViewId="0">
      <selection activeCell="F2" sqref="F2"/>
    </sheetView>
  </sheetViews>
  <sheetFormatPr baseColWidth="10" defaultRowHeight="13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</v>
      </c>
    </row>
    <row r="2" spans="1:7" x14ac:dyDescent="0.15">
      <c r="A2" s="2" t="s">
        <v>5</v>
      </c>
      <c r="B2" s="3" t="s">
        <v>6</v>
      </c>
      <c r="C2" s="4">
        <v>3</v>
      </c>
      <c r="D2" s="5"/>
      <c r="E2" s="6">
        <f t="shared" ref="E2:E7" si="0">(C2*25)+D2</f>
        <v>75</v>
      </c>
      <c r="F2">
        <v>25</v>
      </c>
    </row>
    <row r="3" spans="1:7" x14ac:dyDescent="0.15">
      <c r="A3" s="7" t="s">
        <v>5</v>
      </c>
      <c r="B3" s="8" t="s">
        <v>7</v>
      </c>
      <c r="C3" s="9">
        <v>0</v>
      </c>
      <c r="D3" s="9">
        <v>10</v>
      </c>
      <c r="E3" s="10">
        <f t="shared" si="0"/>
        <v>10</v>
      </c>
      <c r="F3">
        <v>25</v>
      </c>
      <c r="G3" s="32"/>
    </row>
    <row r="4" spans="1:7" x14ac:dyDescent="0.15">
      <c r="A4" s="7" t="s">
        <v>5</v>
      </c>
      <c r="B4" s="8" t="s">
        <v>8</v>
      </c>
      <c r="C4" s="9">
        <v>3</v>
      </c>
      <c r="D4" s="11"/>
      <c r="E4" s="10">
        <f t="shared" si="0"/>
        <v>75</v>
      </c>
      <c r="F4">
        <v>25</v>
      </c>
    </row>
    <row r="5" spans="1:7" x14ac:dyDescent="0.15">
      <c r="A5" s="7" t="s">
        <v>5</v>
      </c>
      <c r="B5" s="8" t="s">
        <v>9</v>
      </c>
      <c r="C5" s="9">
        <v>2</v>
      </c>
      <c r="D5" s="11"/>
      <c r="E5" s="10">
        <f t="shared" si="0"/>
        <v>50</v>
      </c>
      <c r="F5">
        <v>25</v>
      </c>
    </row>
    <row r="6" spans="1:7" x14ac:dyDescent="0.15">
      <c r="A6" s="7" t="s">
        <v>5</v>
      </c>
      <c r="B6" s="8" t="s">
        <v>10</v>
      </c>
      <c r="C6" s="9">
        <v>2</v>
      </c>
      <c r="D6" s="9">
        <v>10</v>
      </c>
      <c r="E6" s="10">
        <f t="shared" si="0"/>
        <v>60</v>
      </c>
      <c r="F6">
        <v>25</v>
      </c>
      <c r="G6" s="32"/>
    </row>
    <row r="7" spans="1:7" x14ac:dyDescent="0.15">
      <c r="A7" s="12" t="s">
        <v>5</v>
      </c>
      <c r="B7" s="13" t="s">
        <v>11</v>
      </c>
      <c r="C7" s="14">
        <v>4</v>
      </c>
      <c r="D7" s="15"/>
      <c r="E7" s="16">
        <f t="shared" si="0"/>
        <v>100</v>
      </c>
      <c r="F7">
        <v>25</v>
      </c>
    </row>
    <row r="8" spans="1:7" x14ac:dyDescent="0.15">
      <c r="A8" s="17" t="s">
        <v>12</v>
      </c>
      <c r="B8" s="3" t="s">
        <v>13</v>
      </c>
      <c r="C8" s="18" t="s">
        <v>14</v>
      </c>
      <c r="D8" s="18"/>
      <c r="E8" s="19"/>
    </row>
    <row r="9" spans="1:7" x14ac:dyDescent="0.15">
      <c r="A9" s="20" t="s">
        <v>12</v>
      </c>
      <c r="B9" s="8" t="s">
        <v>15</v>
      </c>
      <c r="C9" s="9">
        <v>0</v>
      </c>
      <c r="D9" s="9">
        <v>10</v>
      </c>
      <c r="E9" s="10">
        <f>(C9*25)+D9</f>
        <v>10</v>
      </c>
      <c r="F9">
        <v>25</v>
      </c>
      <c r="G9" s="32"/>
    </row>
    <row r="10" spans="1:7" x14ac:dyDescent="0.15">
      <c r="A10" s="20" t="s">
        <v>12</v>
      </c>
      <c r="B10" s="8" t="s">
        <v>16</v>
      </c>
      <c r="C10" s="21" t="s">
        <v>14</v>
      </c>
      <c r="D10" s="21"/>
      <c r="E10" s="22"/>
    </row>
    <row r="11" spans="1:7" x14ac:dyDescent="0.15">
      <c r="A11" s="20" t="s">
        <v>12</v>
      </c>
      <c r="B11" s="8" t="s">
        <v>17</v>
      </c>
      <c r="C11" s="9">
        <v>3</v>
      </c>
      <c r="D11" s="9">
        <v>10</v>
      </c>
      <c r="E11" s="10">
        <f t="shared" ref="E11:E20" si="1">(C11*25)+D11</f>
        <v>85</v>
      </c>
      <c r="F11">
        <v>25</v>
      </c>
      <c r="G11" s="32"/>
    </row>
    <row r="12" spans="1:7" x14ac:dyDescent="0.15">
      <c r="A12" s="20" t="s">
        <v>12</v>
      </c>
      <c r="B12" s="8" t="s">
        <v>18</v>
      </c>
      <c r="C12" s="9">
        <v>3</v>
      </c>
      <c r="D12" s="11"/>
      <c r="E12" s="10">
        <f t="shared" si="1"/>
        <v>75</v>
      </c>
      <c r="F12">
        <v>25</v>
      </c>
    </row>
    <row r="13" spans="1:7" x14ac:dyDescent="0.15">
      <c r="A13" s="24" t="s">
        <v>12</v>
      </c>
      <c r="B13" s="13" t="s">
        <v>19</v>
      </c>
      <c r="C13" s="14">
        <v>3</v>
      </c>
      <c r="D13" s="15"/>
      <c r="E13" s="16">
        <f t="shared" si="1"/>
        <v>75</v>
      </c>
      <c r="F13">
        <v>25</v>
      </c>
      <c r="G13" s="32"/>
    </row>
    <row r="14" spans="1:7" x14ac:dyDescent="0.15">
      <c r="A14" s="25" t="s">
        <v>20</v>
      </c>
      <c r="B14" s="3" t="s">
        <v>21</v>
      </c>
      <c r="C14" s="4">
        <v>7</v>
      </c>
      <c r="D14" s="5"/>
      <c r="E14" s="6">
        <f t="shared" si="1"/>
        <v>175</v>
      </c>
      <c r="F14">
        <v>25</v>
      </c>
    </row>
    <row r="15" spans="1:7" x14ac:dyDescent="0.15">
      <c r="A15" s="26" t="s">
        <v>20</v>
      </c>
      <c r="B15" s="8" t="s">
        <v>22</v>
      </c>
      <c r="C15" s="9">
        <v>8</v>
      </c>
      <c r="D15" s="11"/>
      <c r="E15" s="10">
        <f t="shared" si="1"/>
        <v>200</v>
      </c>
      <c r="F15">
        <v>25</v>
      </c>
      <c r="G15" s="32"/>
    </row>
    <row r="16" spans="1:7" x14ac:dyDescent="0.15">
      <c r="A16" s="26" t="s">
        <v>20</v>
      </c>
      <c r="B16" s="8" t="s">
        <v>23</v>
      </c>
      <c r="C16" s="9">
        <v>4</v>
      </c>
      <c r="D16" s="11"/>
      <c r="E16" s="10">
        <f t="shared" si="1"/>
        <v>100</v>
      </c>
      <c r="F16">
        <v>25</v>
      </c>
    </row>
    <row r="17" spans="1:8" x14ac:dyDescent="0.15">
      <c r="A17" s="26" t="s">
        <v>20</v>
      </c>
      <c r="B17" s="8" t="s">
        <v>24</v>
      </c>
      <c r="C17" s="9">
        <v>2</v>
      </c>
      <c r="D17" s="9">
        <v>10</v>
      </c>
      <c r="E17" s="10">
        <f t="shared" si="1"/>
        <v>60</v>
      </c>
      <c r="F17">
        <v>25</v>
      </c>
      <c r="G17" s="32"/>
    </row>
    <row r="18" spans="1:8" x14ac:dyDescent="0.15">
      <c r="A18" s="23" t="s">
        <v>20</v>
      </c>
      <c r="B18" s="13" t="s">
        <v>25</v>
      </c>
      <c r="C18" s="14">
        <v>3</v>
      </c>
      <c r="D18" s="15"/>
      <c r="E18" s="16">
        <f t="shared" si="1"/>
        <v>75</v>
      </c>
      <c r="F18">
        <v>25</v>
      </c>
    </row>
    <row r="19" spans="1:8" x14ac:dyDescent="0.15">
      <c r="A19" s="27" t="s">
        <v>26</v>
      </c>
      <c r="B19" s="3" t="s">
        <v>27</v>
      </c>
      <c r="C19" s="4">
        <v>3</v>
      </c>
      <c r="D19" s="5"/>
      <c r="E19" s="6">
        <f t="shared" si="1"/>
        <v>75</v>
      </c>
      <c r="F19">
        <v>25</v>
      </c>
      <c r="G19" s="32"/>
      <c r="H19" s="32"/>
    </row>
    <row r="20" spans="1:8" x14ac:dyDescent="0.15">
      <c r="A20" s="28" t="s">
        <v>26</v>
      </c>
      <c r="B20" s="8" t="s">
        <v>28</v>
      </c>
      <c r="C20" s="9">
        <v>3</v>
      </c>
      <c r="D20" s="9">
        <v>15</v>
      </c>
      <c r="E20" s="10">
        <f t="shared" si="1"/>
        <v>90</v>
      </c>
      <c r="F20">
        <v>25</v>
      </c>
      <c r="G20" s="32"/>
    </row>
    <row r="21" spans="1:8" x14ac:dyDescent="0.15">
      <c r="A21" s="28" t="s">
        <v>26</v>
      </c>
      <c r="B21" s="8" t="s">
        <v>29</v>
      </c>
      <c r="C21" s="21" t="s">
        <v>14</v>
      </c>
      <c r="D21" s="21"/>
      <c r="E21" s="22">
        <v>0</v>
      </c>
    </row>
    <row r="22" spans="1:8" x14ac:dyDescent="0.15">
      <c r="A22" s="28" t="s">
        <v>26</v>
      </c>
      <c r="B22" s="8" t="s">
        <v>30</v>
      </c>
      <c r="C22" s="9">
        <v>3</v>
      </c>
      <c r="D22" s="11"/>
      <c r="E22" s="10">
        <f t="shared" ref="E22:E23" si="2">(C22*25)+D22</f>
        <v>75</v>
      </c>
      <c r="F22">
        <v>25</v>
      </c>
      <c r="G22" s="32"/>
    </row>
    <row r="23" spans="1:8" x14ac:dyDescent="0.15">
      <c r="A23" s="28" t="s">
        <v>26</v>
      </c>
      <c r="B23" s="8" t="s">
        <v>31</v>
      </c>
      <c r="C23" s="9">
        <v>1</v>
      </c>
      <c r="D23" s="11"/>
      <c r="E23" s="10">
        <f t="shared" si="2"/>
        <v>25</v>
      </c>
      <c r="F23">
        <v>25</v>
      </c>
      <c r="G23" s="32"/>
    </row>
    <row r="24" spans="1:8" x14ac:dyDescent="0.15">
      <c r="A24" s="29" t="s">
        <v>26</v>
      </c>
      <c r="B24" s="13" t="s">
        <v>32</v>
      </c>
      <c r="C24" s="30" t="s">
        <v>14</v>
      </c>
      <c r="D24" s="30"/>
      <c r="E24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Collection</vt:lpstr>
      <vt:lpstr>After TG and Cholesterol Assays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Yu</cp:lastModifiedBy>
  <dcterms:created xsi:type="dcterms:W3CDTF">2019-03-13T19:14:44Z</dcterms:created>
  <dcterms:modified xsi:type="dcterms:W3CDTF">2019-06-06T19:41:46Z</dcterms:modified>
</cp:coreProperties>
</file>